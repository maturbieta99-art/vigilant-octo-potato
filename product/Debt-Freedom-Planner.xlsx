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onthly Budget" sheetId="2" state="visible" r:id="rId4"/>
    <sheet name="Debt Payoff" sheetId="3" state="visible" r:id="rId5"/>
    <sheet name="Calc" sheetId="4" state="hidden" r:id="rId6"/>
    <sheet name="Savings Go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Pulled automatically from the Debt Payoff tab (total monthly payment).</t>
        </r>
      </text>
    </comment>
    <comment ref="B23" authorId="0">
      <text>
        <r>
          <rPr>
            <sz val="10"/>
            <rFont val="Arial"/>
            <family val="2"/>
          </rPr>
          <t xml:space="preserve">Pulled automatically from the Savings Goals tab (total monthly contributions).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7" authorId="0">
      <text>
        <r>
          <rPr>
            <sz val="10"/>
            <rFont val="Arial"/>
            <family val="2"/>
          </rPr>
          <t xml:space="preserve">Total monthly payment = all minimums + extra.</t>
        </r>
      </text>
    </comment>
  </commentList>
</comments>
</file>

<file path=xl/sharedStrings.xml><?xml version="1.0" encoding="utf-8"?>
<sst xmlns="http://schemas.openxmlformats.org/spreadsheetml/2006/main" count="157" uniqueCount="152">
  <si>
    <t xml:space="preserve">Debt Freedom Planner</t>
  </si>
  <si>
    <t xml:space="preserve">Budget · Debt Payoff (Snowball or Avalanche) · Savings Goals</t>
  </si>
  <si>
    <t xml:space="preserve">HOW TO USE</t>
  </si>
  <si>
    <t xml:space="preserve">1.  Only edit the YELLOW cells. Everything else calculates automatically.</t>
  </si>
  <si>
    <t xml:space="preserve">2.  Monthly Budget: enter your take-home income and planned vs. actual spending.</t>
  </si>
  <si>
    <t xml:space="preserve">3.  Debt Payoff: list up to 8 debts, choose Snowball or Avalanche, and add any extra monthly payment.</t>
  </si>
  <si>
    <t xml:space="preserve">     The sheet tells you your debt-free date, total interest, and when each debt is paid off.</t>
  </si>
  <si>
    <t xml:space="preserve">4.  Savings Goals: enter each goal, what you've saved, and your monthly contribution.</t>
  </si>
  <si>
    <t xml:space="preserve">5.  The example values are there to show the format. Overwrite them with your own numbers.</t>
  </si>
  <si>
    <t xml:space="preserve">SNOWBALL vs. AVALANCHE</t>
  </si>
  <si>
    <t xml:space="preserve">Snowball pays the smallest balance first. Quick wins keep you motivated.</t>
  </si>
  <si>
    <t xml:space="preserve">Avalanche pays the highest interest rate first. It costs the least in total interest.</t>
  </si>
  <si>
    <t xml:space="preserve">Either way, when a debt is paid off its payment rolls into the next one.</t>
  </si>
  <si>
    <t xml:space="preserve">ASSUMPTIONS</t>
  </si>
  <si>
    <t xml:space="preserve">Interest is calculated monthly (APR ÷ 12) on each debt's starting balance for the month.</t>
  </si>
  <si>
    <t xml:space="preserve">Your total monthly payment stays the same (sum of minimums + extra) until every debt is paid.</t>
  </si>
  <si>
    <t xml:space="preserve">The projection runs up to 360 months (30 years). It's an estimate; your lender's statement is the final word.</t>
  </si>
  <si>
    <t xml:space="preserve">This planner is an educational tool and is not financial advice.</t>
  </si>
  <si>
    <t xml:space="preserve">Works in Microsoft Excel and Google Sheets (File → Import), and in LibreOffice.</t>
  </si>
  <si>
    <t xml:space="preserve">Example cell to edit</t>
  </si>
  <si>
    <t xml:space="preserve">Monthly Budget</t>
  </si>
  <si>
    <t xml:space="preserve">Income</t>
  </si>
  <si>
    <t xml:space="preserve">Planned</t>
  </si>
  <si>
    <t xml:space="preserve">Actual</t>
  </si>
  <si>
    <t xml:space="preserve">Difference</t>
  </si>
  <si>
    <t xml:space="preserve">This month at a glance</t>
  </si>
  <si>
    <t xml:space="preserve">Paycheck 1</t>
  </si>
  <si>
    <t xml:space="preserve">Income (actual)</t>
  </si>
  <si>
    <t xml:space="preserve">Paycheck 2</t>
  </si>
  <si>
    <t xml:space="preserve">Spending (actual)</t>
  </si>
  <si>
    <t xml:space="preserve">Side income</t>
  </si>
  <si>
    <t xml:space="preserve">Left over</t>
  </si>
  <si>
    <t xml:space="preserve">Other</t>
  </si>
  <si>
    <t xml:space="preserve">Savings rate</t>
  </si>
  <si>
    <t xml:space="preserve">Total income</t>
  </si>
  <si>
    <t xml:space="preserve">Unassigned (planned)</t>
  </si>
  <si>
    <t xml:space="preserve">Expense</t>
  </si>
  <si>
    <t xml:space="preserve">Left / (Over)</t>
  </si>
  <si>
    <t xml:space="preserve">Tip: aim for 'Unassigned (planned)' = $0. Give every dollar a job.</t>
  </si>
  <si>
    <t xml:space="preserve">Rent / Mortgage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</si>
  <si>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</si>
  <si>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</si>
  <si>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</si>
  <si>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</si>
  <si>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Phone / Internet</t>
  </si>
  <si>
    <t xml:space="preserve">Subscriptions</t>
  </si>
  <si>
    <t xml:space="preserve">Dining out</t>
  </si>
  <si>
    <t xml:space="preserve">Personal / Fun</t>
  </si>
  <si>
    <t xml:space="preserve">Health</t>
  </si>
  <si>
    <t xml:space="preserve">Debt payments</t>
  </si>
  <si>
    <t xml:space="preserve">Savings</t>
  </si>
  <si>
    <t xml:space="preserve">Total expenses</t>
  </si>
  <si>
    <t xml:space="preserve">Debt Payoff Planner</t>
  </si>
  <si>
    <t xml:space="preserve">Payoff method</t>
  </si>
  <si>
    <t xml:space="preserve">Avalanche</t>
  </si>
  <si>
    <t xml:space="preserve">← pick from list</t>
  </si>
  <si>
    <t xml:space="preserve">Extra payment / month</t>
  </si>
  <si>
    <t xml:space="preserve">← on top of all minimum payments</t>
  </si>
  <si>
    <t xml:space="preserve">Start month</t>
  </si>
  <si>
    <t xml:space="preserve">Debt name</t>
  </si>
  <si>
    <t xml:space="preserve">Balance</t>
  </si>
  <si>
    <t xml:space="preserve">APR</t>
  </si>
  <si>
    <t xml:space="preserve">Min payment</t>
  </si>
  <si>
    <t xml:space="preserve">Pay order</t>
  </si>
  <si>
    <t xml:space="preserve">Paid off in (months)</t>
  </si>
  <si>
    <t xml:space="preserve">Paid off</t>
  </si>
  <si>
    <t xml:space="preserve">Interest paid</t>
  </si>
  <si>
    <t xml:space="preserve">Credit card A</t>
  </si>
  <si>
    <t xml:space="preserve">Credit card B</t>
  </si>
  <si>
    <t xml:space="preserve">Car loan</t>
  </si>
  <si>
    <t xml:space="preserve">Student loan</t>
  </si>
  <si>
    <t xml:space="preserve">Totals</t>
  </si>
  <si>
    <t xml:space="preserve">← total paid / month</t>
  </si>
  <si>
    <t xml:space="preserve">Your results</t>
  </si>
  <si>
    <t xml:space="preserve">Debt-free date</t>
  </si>
  <si>
    <t xml:space="preserve">Months to debt-free</t>
  </si>
  <si>
    <t xml:space="preserve">Total interest you'll pay</t>
  </si>
  <si>
    <t xml:space="preserve">Paid first</t>
  </si>
  <si>
    <t xml:space="preserve">Rows highlighted green are the debt to attack first. Try switching the method and changing the extra payment to see how your date moves.</t>
  </si>
  <si>
    <t xml:space="preserve">If a minimum payment doesn't cover the monthly interest, that debt will never shrink. Check 'Paid off in' for '30+ yrs'.</t>
  </si>
  <si>
    <t xml:space="preserve">Month-by-month engine for the Debt Payoff tab. Don't edit.</t>
  </si>
  <si>
    <t xml:space="preserve">Month</t>
  </si>
  <si>
    <t xml:space="preserve">Start 1</t>
  </si>
  <si>
    <t xml:space="preserve">Start 2</t>
  </si>
  <si>
    <t xml:space="preserve">Start 3</t>
  </si>
  <si>
    <t xml:space="preserve">Start 4</t>
  </si>
  <si>
    <t xml:space="preserve">Start 5</t>
  </si>
  <si>
    <t xml:space="preserve">Start 6</t>
  </si>
  <si>
    <t xml:space="preserve">Start 7</t>
  </si>
  <si>
    <t xml:space="preserve">Start 8</t>
  </si>
  <si>
    <t xml:space="preserve">Interest 1</t>
  </si>
  <si>
    <t xml:space="preserve">Interest 2</t>
  </si>
  <si>
    <t xml:space="preserve">Interest 3</t>
  </si>
  <si>
    <t xml:space="preserve">Interest 4</t>
  </si>
  <si>
    <t xml:space="preserve">Interest 5</t>
  </si>
  <si>
    <t xml:space="preserve">Interest 6</t>
  </si>
  <si>
    <t xml:space="preserve">Interest 7</t>
  </si>
  <si>
    <t xml:space="preserve">Interest 8</t>
  </si>
  <si>
    <t xml:space="preserve">Owed 1</t>
  </si>
  <si>
    <t xml:space="preserve">Owed 2</t>
  </si>
  <si>
    <t xml:space="preserve">Owed 3</t>
  </si>
  <si>
    <t xml:space="preserve">Owed 4</t>
  </si>
  <si>
    <t xml:space="preserve">Owed 5</t>
  </si>
  <si>
    <t xml:space="preserve">Owed 6</t>
  </si>
  <si>
    <t xml:space="preserve">Owed 7</t>
  </si>
  <si>
    <t xml:space="preserve">Owed 8</t>
  </si>
  <si>
    <t xml:space="preserve">MinPay 1</t>
  </si>
  <si>
    <t xml:space="preserve">MinPay 2</t>
  </si>
  <si>
    <t xml:space="preserve">MinPay 3</t>
  </si>
  <si>
    <t xml:space="preserve">MinPay 4</t>
  </si>
  <si>
    <t xml:space="preserve">MinPay 5</t>
  </si>
  <si>
    <t xml:space="preserve">MinPay 6</t>
  </si>
  <si>
    <t xml:space="preserve">MinPay 7</t>
  </si>
  <si>
    <t xml:space="preserve">MinPay 8</t>
  </si>
  <si>
    <t xml:space="preserve">Remain 1</t>
  </si>
  <si>
    <t xml:space="preserve">Remain 2</t>
  </si>
  <si>
    <t xml:space="preserve">Remain 3</t>
  </si>
  <si>
    <t xml:space="preserve">Remain 4</t>
  </si>
  <si>
    <t xml:space="preserve">Remain 5</t>
  </si>
  <si>
    <t xml:space="preserve">Remain 6</t>
  </si>
  <si>
    <t xml:space="preserve">Remain 7</t>
  </si>
  <si>
    <t xml:space="preserve">Remain 8</t>
  </si>
  <si>
    <t xml:space="preserve">Pool</t>
  </si>
  <si>
    <t xml:space="preserve">Extra 1</t>
  </si>
  <si>
    <t xml:space="preserve">Extra 2</t>
  </si>
  <si>
    <t xml:space="preserve">Extra 3</t>
  </si>
  <si>
    <t xml:space="preserve">Extra 4</t>
  </si>
  <si>
    <t xml:space="preserve">Extra 5</t>
  </si>
  <si>
    <t xml:space="preserve">Extra 6</t>
  </si>
  <si>
    <t xml:space="preserve">Extra 7</t>
  </si>
  <si>
    <t xml:space="preserve">Extra 8</t>
  </si>
  <si>
    <t xml:space="preserve">End 1</t>
  </si>
  <si>
    <t xml:space="preserve">End 2</t>
  </si>
  <si>
    <t xml:space="preserve">End 3</t>
  </si>
  <si>
    <t xml:space="preserve">End 4</t>
  </si>
  <si>
    <t xml:space="preserve">End 5</t>
  </si>
  <si>
    <t xml:space="preserve">End 6</t>
  </si>
  <si>
    <t xml:space="preserve">End 7</t>
  </si>
  <si>
    <t xml:space="preserve">End 8</t>
  </si>
  <si>
    <t xml:space="preserve">Total end bal</t>
  </si>
  <si>
    <t xml:space="preserve">Savings Goals</t>
  </si>
  <si>
    <t xml:space="preserve">Today's date</t>
  </si>
  <si>
    <t xml:space="preserve">Goal</t>
  </si>
  <si>
    <t xml:space="preserve">Target</t>
  </si>
  <si>
    <t xml:space="preserve">Saved so far</t>
  </si>
  <si>
    <t xml:space="preserve">Monthly contribution</t>
  </si>
  <si>
    <t xml:space="preserve">Progress</t>
  </si>
  <si>
    <t xml:space="preserve">Months to go</t>
  </si>
  <si>
    <t xml:space="preserve">Reach it by</t>
  </si>
  <si>
    <t xml:space="preserve">Emergency fund</t>
  </si>
  <si>
    <t xml:space="preserve">Vacation</t>
  </si>
  <si>
    <t xml:space="preserve">New laptop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</si>
</sst>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"/>
    <numFmt numFmtId="167" formatCode="mmm\ yyyy"/>
    <numFmt numFmtId="168" formatCode="0.00%"/>
    <numFmt numFmtId="169" formatCode="General"/>
    <numFmt numFmtId="170" formatCode="mmmm\ yyyy"/>
    <numFmt numFmtId="171" formatCode="0"/>
    <numFmt numFmtId="172" formatCode="\$#,##0"/>
    <numFmt numFmtId="173" formatCode="mmm\ d&quot;, &quot;yyyy"/>
    <numFmt numFmtId="174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2A9D8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7F5EF"/>
      </patternFill>
    </fill>
    <fill>
      <patternFill patternType="solid">
        <fgColor rgb="FF1F2A44"/>
        <bgColor rgb="FF003366"/>
      </patternFill>
    </fill>
    <fill>
      <patternFill patternType="solid">
        <fgColor rgb="FFF7F5E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C0392B"/>
        <sz val="16"/>
      </font>
    </dxf>
    <dxf>
      <fill>
        <patternFill>
          <bgColor rgb="FFD8F3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2"/>
      <rgbColor rgb="FFD8F3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5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A9D8F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debt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Calc!BG2</c:f>
              <c:strCache>
                <c:ptCount val="1"/>
                <c:pt idx="0">
                  <c:v>Total end bal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Calc!$A$3:$A$122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Calc!$BG$3:$BG$122</c:f>
              <c:numCache>
                <c:formatCode>General</c:formatCode>
                <c:ptCount val="120"/>
                <c:pt idx="0">
                  <c:v>29276.02</c:v>
                </c:pt>
                <c:pt idx="1">
                  <c:v>28695.22</c:v>
                </c:pt>
                <c:pt idx="2">
                  <c:v>28107.48</c:v>
                </c:pt>
                <c:pt idx="3">
                  <c:v>27512.71</c:v>
                </c:pt>
                <c:pt idx="4">
                  <c:v>26910.78</c:v>
                </c:pt>
                <c:pt idx="5">
                  <c:v>26301.56</c:v>
                </c:pt>
                <c:pt idx="6">
                  <c:v>25684.95</c:v>
                </c:pt>
                <c:pt idx="7">
                  <c:v>25060.83</c:v>
                </c:pt>
                <c:pt idx="8">
                  <c:v>24429.05</c:v>
                </c:pt>
                <c:pt idx="9">
                  <c:v>23789.5</c:v>
                </c:pt>
                <c:pt idx="10">
                  <c:v>23142.04</c:v>
                </c:pt>
                <c:pt idx="11">
                  <c:v>22486.54</c:v>
                </c:pt>
                <c:pt idx="12">
                  <c:v>21822.87</c:v>
                </c:pt>
                <c:pt idx="13">
                  <c:v>21150.9</c:v>
                </c:pt>
                <c:pt idx="14">
                  <c:v>20470.47</c:v>
                </c:pt>
                <c:pt idx="15">
                  <c:v>19781.46</c:v>
                </c:pt>
                <c:pt idx="16">
                  <c:v>19084.38</c:v>
                </c:pt>
                <c:pt idx="17">
                  <c:v>18379.64</c:v>
                </c:pt>
                <c:pt idx="18">
                  <c:v>17667.12</c:v>
                </c:pt>
                <c:pt idx="19">
                  <c:v>16948.95</c:v>
                </c:pt>
                <c:pt idx="20">
                  <c:v>16226.77</c:v>
                </c:pt>
                <c:pt idx="21">
                  <c:v>15500.56</c:v>
                </c:pt>
                <c:pt idx="22">
                  <c:v>14770.29</c:v>
                </c:pt>
                <c:pt idx="23">
                  <c:v>14035.94</c:v>
                </c:pt>
                <c:pt idx="24">
                  <c:v>13297.49</c:v>
                </c:pt>
                <c:pt idx="25">
                  <c:v>12554.92</c:v>
                </c:pt>
                <c:pt idx="26">
                  <c:v>11808.2</c:v>
                </c:pt>
                <c:pt idx="27">
                  <c:v>11057.32</c:v>
                </c:pt>
                <c:pt idx="28">
                  <c:v>10303</c:v>
                </c:pt>
                <c:pt idx="29">
                  <c:v>9545.22</c:v>
                </c:pt>
                <c:pt idx="30">
                  <c:v>8783.97</c:v>
                </c:pt>
                <c:pt idx="31">
                  <c:v>8019.23</c:v>
                </c:pt>
                <c:pt idx="32">
                  <c:v>7250.98</c:v>
                </c:pt>
                <c:pt idx="33">
                  <c:v>6479.21</c:v>
                </c:pt>
                <c:pt idx="34">
                  <c:v>5703.91</c:v>
                </c:pt>
                <c:pt idx="35">
                  <c:v>4925.05</c:v>
                </c:pt>
                <c:pt idx="36">
                  <c:v>4142.62</c:v>
                </c:pt>
                <c:pt idx="37">
                  <c:v>3356.61</c:v>
                </c:pt>
                <c:pt idx="38">
                  <c:v>2566.99</c:v>
                </c:pt>
                <c:pt idx="39">
                  <c:v>1773.76</c:v>
                </c:pt>
                <c:pt idx="40">
                  <c:v>976.89</c:v>
                </c:pt>
                <c:pt idx="41">
                  <c:v>176.37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081663"/>
        <c:axId val="73696430"/>
      </c:lineChart>
      <c:catAx>
        <c:axId val="81081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6430"/>
        <c:crosses val="autoZero"/>
        <c:auto val="1"/>
        <c:lblAlgn val="ctr"/>
        <c:lblOffset val="100"/>
        <c:noMultiLvlLbl val="0"/>
      </c:catAx>
      <c:valAx>
        <c:axId val="73696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81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10800</xdr:rowOff>
    </xdr:from>
    <xdr:to>
      <xdr:col>7</xdr:col>
      <xdr:colOff>50040</xdr:colOff>
      <xdr:row>40</xdr:row>
      <xdr:rowOff>43560</xdr:rowOff>
    </xdr:to>
    <xdr:graphicFrame>
      <xdr:nvGraphicFramePr>
        <xdr:cNvPr id="0" name="Chart 1"/>
        <xdr:cNvGraphicFramePr/>
      </xdr:nvGraphicFramePr>
      <xdr:xfrm>
        <a:off x="211320" y="5334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/>
    </row>
    <row r="24" customFormat="false" ht="15" hidden="false" customHeight="false" outlineLevel="0" collapsed="false">
      <c r="B24" s="4" t="s">
        <v>18</v>
      </c>
    </row>
    <row r="26" customFormat="false" ht="15" hidden="false" customHeight="false" outlineLevel="0" collapsed="false">
      <c r="B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8"/>
  </cols>
  <sheetData>
    <row r="2" customFormat="false" ht="24.45" hidden="false" customHeight="false" outlineLevel="0" collapsed="false">
      <c r="B2" s="1" t="s">
        <v>20</v>
      </c>
    </row>
    <row r="4" customFormat="false" ht="30" hidden="false" customHeight="true" outlineLevel="0" collapsed="false">
      <c r="B4" s="6" t="s">
        <v>21</v>
      </c>
      <c r="C4" s="6" t="s">
        <v>22</v>
      </c>
      <c r="D4" s="6" t="s">
        <v>23</v>
      </c>
      <c r="E4" s="6" t="s">
        <v>24</v>
      </c>
      <c r="G4" s="3" t="s">
        <v>25</v>
      </c>
    </row>
    <row r="5" customFormat="false" ht="15" hidden="false" customHeight="false" outlineLevel="0" collapsed="false">
      <c r="B5" s="5" t="s">
        <v>26</v>
      </c>
      <c r="C5" s="7" t="n">
        <v>2100</v>
      </c>
      <c r="D5" s="7" t="n">
        <v>2100</v>
      </c>
      <c r="E5" s="8" t="n">
        <f aca="false">D5-C5</f>
        <v>0</v>
      </c>
      <c r="G5" s="9" t="s">
        <v>27</v>
      </c>
      <c r="H5" s="10" t="n">
        <f aca="false">D9</f>
        <v>4440</v>
      </c>
    </row>
    <row r="6" customFormat="false" ht="15" hidden="false" customHeight="false" outlineLevel="0" collapsed="false">
      <c r="B6" s="5" t="s">
        <v>28</v>
      </c>
      <c r="C6" s="7" t="n">
        <v>2100</v>
      </c>
      <c r="D6" s="7" t="n">
        <v>2100</v>
      </c>
      <c r="E6" s="8" t="n">
        <f aca="false">D6-C6</f>
        <v>0</v>
      </c>
      <c r="G6" s="9" t="s">
        <v>29</v>
      </c>
      <c r="H6" s="10" t="n">
        <f aca="false">D26</f>
        <v>4167</v>
      </c>
    </row>
    <row r="7" customFormat="false" ht="19.7" hidden="false" customHeight="false" outlineLevel="0" collapsed="false">
      <c r="B7" s="5" t="s">
        <v>30</v>
      </c>
      <c r="C7" s="7" t="n">
        <v>300</v>
      </c>
      <c r="D7" s="7" t="n">
        <v>240</v>
      </c>
      <c r="E7" s="8" t="n">
        <f aca="false">D7-C7</f>
        <v>-60</v>
      </c>
      <c r="G7" s="9" t="s">
        <v>31</v>
      </c>
      <c r="H7" s="11" t="n">
        <f aca="false">D9-D26</f>
        <v>273</v>
      </c>
    </row>
    <row r="8" customFormat="false" ht="15" hidden="false" customHeight="false" outlineLevel="0" collapsed="false">
      <c r="B8" s="5" t="s">
        <v>32</v>
      </c>
      <c r="C8" s="7" t="n">
        <v>0</v>
      </c>
      <c r="D8" s="7" t="n">
        <v>0</v>
      </c>
      <c r="E8" s="8" t="n">
        <f aca="false">D8-C8</f>
        <v>0</v>
      </c>
      <c r="G8" s="9" t="s">
        <v>33</v>
      </c>
      <c r="H8" s="12" t="n">
        <f aca="false">IFERROR('Savings Goals'!E15/D9,0)</f>
        <v>0.0788288288288288</v>
      </c>
    </row>
    <row r="9" customFormat="false" ht="15" hidden="false" customHeight="false" outlineLevel="0" collapsed="false">
      <c r="B9" s="13" t="s">
        <v>34</v>
      </c>
      <c r="C9" s="14" t="n">
        <f aca="false">SUM(C5:C8)</f>
        <v>4500</v>
      </c>
      <c r="D9" s="14" t="n">
        <f aca="false">SUM(D5:D8)</f>
        <v>4440</v>
      </c>
      <c r="E9" s="14" t="n">
        <f aca="false">D9-C9</f>
        <v>-60</v>
      </c>
      <c r="G9" s="9" t="s">
        <v>35</v>
      </c>
      <c r="H9" s="10" t="n">
        <f aca="false">C9-C26</f>
        <v>420</v>
      </c>
    </row>
    <row r="11" customFormat="false" ht="30" hidden="false" customHeight="true" outlineLevel="0" collapsed="false">
      <c r="B11" s="6" t="s">
        <v>36</v>
      </c>
      <c r="C11" s="6" t="s">
        <v>22</v>
      </c>
      <c r="D11" s="6" t="s">
        <v>23</v>
      </c>
      <c r="E11" s="6" t="s">
        <v>37</v>
      </c>
      <c r="G11" s="2" t="s">
        <v>38</v>
      </c>
    </row>
    <row r="12" customFormat="false" ht="15" hidden="false" customHeight="false" outlineLevel="0" collapsed="false">
      <c r="B12" s="5" t="s">
        <v>39</v>
      </c>
      <c r="C12" s="7" t="n">
        <v>1400</v>
      </c>
      <c r="D12" s="7" t="n">
        <v>1400</v>
      </c>
      <c r="E12" s="8" t="n">
        <f aca="false">C12-D12</f>
        <v>0</v>
      </c>
    </row>
    <row r="13" customFormat="false" ht="15" hidden="false" customHeight="false" outlineLevel="0" collapsed="false">
      <c r="B13" s="5" t="s">
        <v>40</v>
      </c>
      <c r="C13" s="7" t="n">
        <v>180</v>
      </c>
      <c r="D13" s="7" t="n">
        <v>195</v>
      </c>
      <c r="E13" s="8" t="n">
        <f aca="false">C13-D13</f>
        <v>-15</v>
      </c>
    </row>
    <row r="14" customFormat="false" ht="15" hidden="false" customHeight="false" outlineLevel="0" collapsed="false">
      <c r="B14" s="5" t="s">
        <v>41</v>
      </c>
      <c r="C14" s="7" t="n">
        <v>450</v>
      </c>
      <c r="D14" s="7" t="n">
        <v>510</v>
      </c>
      <c r="E14" s="8" t="n">
        <f aca="false">C14-D14</f>
        <v>-60</v>
      </c>
    </row>
    <row r="15" customFormat="false" ht="15" hidden="false" customHeight="false" outlineLevel="0" collapsed="false">
      <c r="B15" s="5" t="s">
        <v>42</v>
      </c>
      <c r="C15" s="7" t="n">
        <v>250</v>
      </c>
      <c r="D15" s="7" t="n">
        <v>230</v>
      </c>
      <c r="E15" s="8" t="n">
        <f aca="false">C15-D15</f>
        <v>20</v>
      </c>
    </row>
    <row r="16" customFormat="false" ht="15" hidden="false" customHeight="false" outlineLevel="0" collapsed="false">
      <c r="B16" s="5" t="s">
        <v>43</v>
      </c>
      <c r="C16" s="7" t="n">
        <v>160</v>
      </c>
      <c r="D16" s="7" t="n">
        <v>160</v>
      </c>
      <c r="E16" s="8" t="n">
        <f aca="false">C16-D16</f>
        <v>0</v>
      </c>
    </row>
    <row r="17" customFormat="false" ht="15" hidden="false" customHeight="false" outlineLevel="0" collapsed="false">
      <c r="B17" s="5" t="s">
        <v>44</v>
      </c>
      <c r="C17" s="7" t="n">
        <v>110</v>
      </c>
      <c r="D17" s="7" t="n">
        <v>110</v>
      </c>
      <c r="E17" s="8" t="n">
        <f aca="false">C17-D17</f>
        <v>0</v>
      </c>
    </row>
    <row r="18" customFormat="false" ht="15" hidden="false" customHeight="false" outlineLevel="0" collapsed="false">
      <c r="B18" s="5" t="s">
        <v>45</v>
      </c>
      <c r="C18" s="7" t="n">
        <v>45</v>
      </c>
      <c r="D18" s="7" t="n">
        <v>62</v>
      </c>
      <c r="E18" s="8" t="n">
        <f aca="false">C18-D18</f>
        <v>-17</v>
      </c>
    </row>
    <row r="19" customFormat="false" ht="15" hidden="false" customHeight="false" outlineLevel="0" collapsed="false">
      <c r="B19" s="5" t="s">
        <v>46</v>
      </c>
      <c r="C19" s="7" t="n">
        <v>150</v>
      </c>
      <c r="D19" s="7" t="n">
        <v>210</v>
      </c>
      <c r="E19" s="8" t="n">
        <f aca="false">C19-D19</f>
        <v>-60</v>
      </c>
    </row>
    <row r="20" customFormat="false" ht="15" hidden="false" customHeight="false" outlineLevel="0" collapsed="false">
      <c r="B20" s="5" t="s">
        <v>47</v>
      </c>
      <c r="C20" s="7" t="n">
        <v>120</v>
      </c>
      <c r="D20" s="7" t="n">
        <v>95</v>
      </c>
      <c r="E20" s="8" t="n">
        <f aca="false">C20-D20</f>
        <v>25</v>
      </c>
    </row>
    <row r="21" customFormat="false" ht="15" hidden="false" customHeight="false" outlineLevel="0" collapsed="false">
      <c r="B21" s="5" t="s">
        <v>48</v>
      </c>
      <c r="C21" s="7" t="n">
        <v>60</v>
      </c>
      <c r="D21" s="7" t="n">
        <v>40</v>
      </c>
      <c r="E21" s="8" t="n">
        <f aca="false">C21-D21</f>
        <v>20</v>
      </c>
    </row>
    <row r="22" customFormat="false" ht="15" hidden="false" customHeight="false" outlineLevel="0" collapsed="false">
      <c r="B22" s="15" t="s">
        <v>49</v>
      </c>
      <c r="C22" s="16" t="n">
        <f aca="false">'Debt Payoff'!D17</f>
        <v>805</v>
      </c>
      <c r="D22" s="16" t="n">
        <f aca="false">'Debt Payoff'!D17</f>
        <v>805</v>
      </c>
      <c r="E22" s="8" t="n">
        <f aca="false">C22-D22</f>
        <v>0</v>
      </c>
    </row>
    <row r="23" customFormat="false" ht="15" hidden="false" customHeight="false" outlineLevel="0" collapsed="false">
      <c r="B23" s="15" t="s">
        <v>50</v>
      </c>
      <c r="C23" s="16" t="n">
        <f aca="false">'Savings Goals'!E15</f>
        <v>350</v>
      </c>
      <c r="D23" s="16" t="n">
        <f aca="false">'Savings Goals'!E15</f>
        <v>350</v>
      </c>
      <c r="E23" s="8" t="n">
        <f aca="false">C23-D23</f>
        <v>0</v>
      </c>
    </row>
    <row r="24" customFormat="false" ht="15" hidden="false" customHeight="false" outlineLevel="0" collapsed="false">
      <c r="B24" s="5" t="s">
        <v>32</v>
      </c>
      <c r="C24" s="7" t="n">
        <v>0</v>
      </c>
      <c r="D24" s="7" t="n">
        <v>0</v>
      </c>
      <c r="E24" s="8" t="n">
        <f aca="false">C24-D24</f>
        <v>0</v>
      </c>
    </row>
    <row r="25" customFormat="false" ht="15" hidden="false" customHeight="false" outlineLevel="0" collapsed="false">
      <c r="B25" s="5" t="s">
        <v>32</v>
      </c>
      <c r="C25" s="7" t="n">
        <v>0</v>
      </c>
      <c r="D25" s="7" t="n">
        <v>0</v>
      </c>
      <c r="E25" s="8" t="n">
        <f aca="false">C25-D25</f>
        <v>0</v>
      </c>
    </row>
    <row r="26" customFormat="false" ht="15" hidden="false" customHeight="false" outlineLevel="0" collapsed="false">
      <c r="B26" s="13" t="s">
        <v>51</v>
      </c>
      <c r="C26" s="14" t="n">
        <f aca="false">SUM(C12:C25)</f>
        <v>4080</v>
      </c>
      <c r="D26" s="14" t="n">
        <f aca="false">SUM(D12:D25)</f>
        <v>4167</v>
      </c>
      <c r="E26" s="14" t="n">
        <f aca="false">C26-D26</f>
        <v>-87</v>
      </c>
    </row>
  </sheetData>
  <conditionalFormatting sqref="E12:E26">
    <cfRule type="cellIs" priority="2" operator="lessThan" aboveAverage="0" equalAverage="0" bottom="0" percent="0" rank="0" text="" dxfId="0">
      <formula>0</formula>
    </cfRule>
  </conditionalFormatting>
  <conditionalFormatting sqref="H7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B2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true" outlineLevel="0" max="12" min="12" style="0" width="13"/>
  </cols>
  <sheetData>
    <row r="2" customFormat="false" ht="24.45" hidden="false" customHeight="false" outlineLevel="0" collapsed="false">
      <c r="B2" s="1" t="s">
        <v>52</v>
      </c>
    </row>
    <row r="4" customFormat="false" ht="15" hidden="false" customHeight="false" outlineLevel="0" collapsed="false">
      <c r="B4" s="13" t="s">
        <v>53</v>
      </c>
      <c r="C4" s="5" t="s">
        <v>54</v>
      </c>
      <c r="D4" s="2" t="s">
        <v>55</v>
      </c>
    </row>
    <row r="5" customFormat="false" ht="15" hidden="false" customHeight="false" outlineLevel="0" collapsed="false">
      <c r="B5" s="13" t="s">
        <v>56</v>
      </c>
      <c r="C5" s="7" t="n">
        <v>200</v>
      </c>
      <c r="D5" s="2" t="s">
        <v>57</v>
      </c>
    </row>
    <row r="6" customFormat="false" ht="15" hidden="false" customHeight="false" outlineLevel="0" collapsed="false">
      <c r="B6" s="13" t="s">
        <v>58</v>
      </c>
      <c r="C6" s="17" t="n">
        <v>46327</v>
      </c>
    </row>
    <row r="8" customFormat="false" ht="30" hidden="false" customHeight="true" outlineLevel="0" collapsed="false"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/>
      <c r="H8" s="6" t="s">
        <v>64</v>
      </c>
      <c r="I8" s="6" t="s">
        <v>65</v>
      </c>
      <c r="J8" s="6" t="s">
        <v>66</v>
      </c>
    </row>
    <row r="9" customFormat="false" ht="15" hidden="false" customHeight="false" outlineLevel="0" collapsed="false">
      <c r="B9" s="5" t="s">
        <v>67</v>
      </c>
      <c r="C9" s="7" t="n">
        <v>4200</v>
      </c>
      <c r="D9" s="18" t="n">
        <v>0.2449</v>
      </c>
      <c r="E9" s="7" t="n">
        <v>120</v>
      </c>
      <c r="F9" s="19" t="n">
        <f aca="false">IF(N(C9)&lt;=0,"",COUNTIF($L$9:$L$16,"&lt;"&amp;L9)+1)</f>
        <v>1</v>
      </c>
      <c r="H9" s="20" t="n">
        <f aca="false">IF(N(C9)&lt;=0,"",IF(INDEX(Calc!AY:AY,363)&gt;0.005,"30+ yrs",COUNTIF(Calc!AY3:AY362,"&gt;0.005")+1))</f>
        <v>16</v>
      </c>
      <c r="I9" s="21" t="n">
        <f aca="false">IF(N(C9)&lt;=0,"",IF(ISNUMBER(H9),EDATE($C$6,H9-1),"—"))</f>
        <v>46784</v>
      </c>
      <c r="J9" s="8" t="n">
        <f aca="false">IF(N(C9)&lt;=0,"",SUM(Calc!J3:J362))</f>
        <v>739.224119333333</v>
      </c>
      <c r="L9" s="22" t="n">
        <f aca="false">IF(N(C9)&lt;=0,1000000000000,IF($C$4="Snowball",C9,-D9))+ROW()/1000000000</f>
        <v>-0.244899991</v>
      </c>
    </row>
    <row r="10" customFormat="false" ht="15" hidden="false" customHeight="false" outlineLevel="0" collapsed="false">
      <c r="B10" s="5" t="s">
        <v>68</v>
      </c>
      <c r="C10" s="7" t="n">
        <v>1350</v>
      </c>
      <c r="D10" s="18" t="n">
        <v>0.1999</v>
      </c>
      <c r="E10" s="7" t="n">
        <v>40</v>
      </c>
      <c r="F10" s="19" t="n">
        <f aca="false">IF(N(C10)&lt;=0,"",COUNTIF($L$9:$L$16,"&lt;"&amp;L10)+1)</f>
        <v>2</v>
      </c>
      <c r="H10" s="20" t="n">
        <f aca="false">IF(N(C10)&lt;=0,"",IF(INDEX(Calc!AZ:AZ,363)&gt;0.005,"30+ yrs",COUNTIF(Calc!AZ3:AZ362,"&gt;0.005")+1))</f>
        <v>19</v>
      </c>
      <c r="I10" s="21" t="n">
        <f aca="false">IF(N(C10)&lt;=0,"",IF(ISNUMBER(H10),EDATE($C$6,H10-1),"—"))</f>
        <v>46874</v>
      </c>
      <c r="J10" s="8" t="n">
        <f aca="false">IF(N(C10)&lt;=0,"",SUM(Calc!K3:K362))</f>
        <v>347.097531083333</v>
      </c>
      <c r="L10" s="22" t="n">
        <f aca="false">IF(N(C10)&lt;=0,1000000000000,IF($C$4="Snowball",C10,-D10))+ROW()/1000000000</f>
        <v>-0.19989999</v>
      </c>
    </row>
    <row r="11" customFormat="false" ht="15" hidden="false" customHeight="false" outlineLevel="0" collapsed="false">
      <c r="B11" s="5" t="s">
        <v>69</v>
      </c>
      <c r="C11" s="7" t="n">
        <v>9800</v>
      </c>
      <c r="D11" s="18" t="n">
        <v>0.069</v>
      </c>
      <c r="E11" s="7" t="n">
        <v>285</v>
      </c>
      <c r="F11" s="19" t="n">
        <f aca="false">IF(N(C11)&lt;=0,"",COUNTIF($L$9:$L$16,"&lt;"&amp;L11)+1)</f>
        <v>3</v>
      </c>
      <c r="H11" s="20" t="n">
        <f aca="false">IF(N(C11)&lt;=0,"",IF(INDEX(Calc!BA:BA,363)&gt;0.005,"30+ yrs",COUNTIF(Calc!BA3:BA362,"&gt;0.005")+1))</f>
        <v>27</v>
      </c>
      <c r="I11" s="21" t="n">
        <f aca="false">IF(N(C11)&lt;=0,"",IF(ISNUMBER(H11),EDATE($C$6,H11-1),"—"))</f>
        <v>47119</v>
      </c>
      <c r="J11" s="8" t="n">
        <f aca="false">IF(N(C11)&lt;=0,"",SUM(Calc!L3:L362))</f>
        <v>968.89087</v>
      </c>
      <c r="L11" s="22" t="n">
        <f aca="false">IF(N(C11)&lt;=0,1000000000000,IF($C$4="Snowball",C11,-D11))+ROW()/1000000000</f>
        <v>-0.068999989</v>
      </c>
    </row>
    <row r="12" customFormat="false" ht="15" hidden="false" customHeight="false" outlineLevel="0" collapsed="false">
      <c r="B12" s="5" t="s">
        <v>70</v>
      </c>
      <c r="C12" s="7" t="n">
        <v>14500</v>
      </c>
      <c r="D12" s="18" t="n">
        <v>0.055</v>
      </c>
      <c r="E12" s="7" t="n">
        <v>160</v>
      </c>
      <c r="F12" s="19" t="n">
        <f aca="false">IF(N(C12)&lt;=0,"",COUNTIF($L$9:$L$16,"&lt;"&amp;L12)+1)</f>
        <v>4</v>
      </c>
      <c r="H12" s="20" t="n">
        <f aca="false">IF(N(C12)&lt;=0,"",IF(INDEX(Calc!BB:BB,363)&gt;0.005,"30+ yrs",COUNTIF(Calc!BB3:BB362,"&gt;0.005")+1))</f>
        <v>43</v>
      </c>
      <c r="I12" s="21" t="n">
        <f aca="false">IF(N(C12)&lt;=0,"",IF(ISNUMBER(H12),EDATE($C$6,H12-1),"—"))</f>
        <v>47604</v>
      </c>
      <c r="J12" s="8" t="n">
        <f aca="false">IF(N(C12)&lt;=0,"",SUM(Calc!M3:M362))</f>
        <v>2081.96569166667</v>
      </c>
      <c r="L12" s="22" t="n">
        <f aca="false">IF(N(C12)&lt;=0,1000000000000,IF($C$4="Snowball",C12,-D12))+ROW()/1000000000</f>
        <v>-0.054999988</v>
      </c>
    </row>
    <row r="13" customFormat="false" ht="15" hidden="false" customHeight="false" outlineLevel="0" collapsed="false">
      <c r="B13" s="5"/>
      <c r="C13" s="7" t="n">
        <v>0</v>
      </c>
      <c r="D13" s="18" t="n">
        <v>0</v>
      </c>
      <c r="E13" s="7" t="n">
        <v>0</v>
      </c>
      <c r="F13" s="19" t="str">
        <f aca="false">IF(N(C13)&lt;=0,"",COUNTIF($L$9:$L$16,"&lt;"&amp;L13)+1)</f>
        <v/>
      </c>
      <c r="H13" s="20" t="str">
        <f aca="false">IF(N(C13)&lt;=0,"",IF(INDEX(Calc!BC:BC,363)&gt;0.005,"30+ yrs",COUNTIF(Calc!BC3:BC362,"&gt;0.005")+1))</f>
        <v/>
      </c>
      <c r="I13" s="21" t="str">
        <f aca="false">IF(N(C13)&lt;=0,"",IF(ISNUMBER(H13),EDATE($C$6,H13-1),"—"))</f>
        <v/>
      </c>
      <c r="J13" s="8" t="str">
        <f aca="false">IF(N(C13)&lt;=0,"",SUM(Calc!N3:N362))</f>
        <v/>
      </c>
      <c r="L13" s="22" t="n">
        <f aca="false">IF(N(C13)&lt;=0,1000000000000,IF($C$4="Snowball",C13,-D13))+ROW()/1000000000</f>
        <v>1000000000000</v>
      </c>
    </row>
    <row r="14" customFormat="false" ht="15" hidden="false" customHeight="false" outlineLevel="0" collapsed="false">
      <c r="B14" s="5"/>
      <c r="C14" s="7" t="n">
        <v>0</v>
      </c>
      <c r="D14" s="18" t="n">
        <v>0</v>
      </c>
      <c r="E14" s="7" t="n">
        <v>0</v>
      </c>
      <c r="F14" s="19" t="str">
        <f aca="false">IF(N(C14)&lt;=0,"",COUNTIF($L$9:$L$16,"&lt;"&amp;L14)+1)</f>
        <v/>
      </c>
      <c r="H14" s="20" t="str">
        <f aca="false">IF(N(C14)&lt;=0,"",IF(INDEX(Calc!BD:BD,363)&gt;0.005,"30+ yrs",COUNTIF(Calc!BD3:BD362,"&gt;0.005")+1))</f>
        <v/>
      </c>
      <c r="I14" s="21" t="str">
        <f aca="false">IF(N(C14)&lt;=0,"",IF(ISNUMBER(H14),EDATE($C$6,H14-1),"—"))</f>
        <v/>
      </c>
      <c r="J14" s="8" t="str">
        <f aca="false">IF(N(C14)&lt;=0,"",SUM(Calc!O3:O362))</f>
        <v/>
      </c>
      <c r="L14" s="22" t="n">
        <f aca="false">IF(N(C14)&lt;=0,1000000000000,IF($C$4="Snowball",C14,-D14))+ROW()/1000000000</f>
        <v>1000000000000</v>
      </c>
    </row>
    <row r="15" customFormat="false" ht="15" hidden="false" customHeight="false" outlineLevel="0" collapsed="false">
      <c r="B15" s="5"/>
      <c r="C15" s="7" t="n">
        <v>0</v>
      </c>
      <c r="D15" s="18" t="n">
        <v>0</v>
      </c>
      <c r="E15" s="7" t="n">
        <v>0</v>
      </c>
      <c r="F15" s="19" t="str">
        <f aca="false">IF(N(C15)&lt;=0,"",COUNTIF($L$9:$L$16,"&lt;"&amp;L15)+1)</f>
        <v/>
      </c>
      <c r="H15" s="20" t="str">
        <f aca="false">IF(N(C15)&lt;=0,"",IF(INDEX(Calc!BE:BE,363)&gt;0.005,"30+ yrs",COUNTIF(Calc!BE3:BE362,"&gt;0.005")+1))</f>
        <v/>
      </c>
      <c r="I15" s="21" t="str">
        <f aca="false">IF(N(C15)&lt;=0,"",IF(ISNUMBER(H15),EDATE($C$6,H15-1),"—"))</f>
        <v/>
      </c>
      <c r="J15" s="8" t="str">
        <f aca="false">IF(N(C15)&lt;=0,"",SUM(Calc!P3:P362))</f>
        <v/>
      </c>
      <c r="L15" s="22" t="n">
        <f aca="false">IF(N(C15)&lt;=0,1000000000000,IF($C$4="Snowball",C15,-D15))+ROW()/1000000000</f>
        <v>1000000000000</v>
      </c>
    </row>
    <row r="16" customFormat="false" ht="15" hidden="false" customHeight="false" outlineLevel="0" collapsed="false">
      <c r="B16" s="5"/>
      <c r="C16" s="7" t="n">
        <v>0</v>
      </c>
      <c r="D16" s="18" t="n">
        <v>0</v>
      </c>
      <c r="E16" s="7" t="n">
        <v>0</v>
      </c>
      <c r="F16" s="19" t="str">
        <f aca="false">IF(N(C16)&lt;=0,"",COUNTIF($L$9:$L$16,"&lt;"&amp;L16)+1)</f>
        <v/>
      </c>
      <c r="H16" s="20" t="str">
        <f aca="false">IF(N(C16)&lt;=0,"",IF(INDEX(Calc!BF:BF,363)&gt;0.005,"30+ yrs",COUNTIF(Calc!BF3:BF362,"&gt;0.005")+1))</f>
        <v/>
      </c>
      <c r="I16" s="21" t="str">
        <f aca="false">IF(N(C16)&lt;=0,"",IF(ISNUMBER(H16),EDATE($C$6,H16-1),"—"))</f>
        <v/>
      </c>
      <c r="J16" s="8" t="str">
        <f aca="false">IF(N(C16)&lt;=0,"",SUM(Calc!Q3:Q362))</f>
        <v/>
      </c>
      <c r="L16" s="22" t="n">
        <f aca="false">IF(N(C16)&lt;=0,1000000000000,IF($C$4="Snowball",C16,-D16))+ROW()/1000000000</f>
        <v>1000000000000</v>
      </c>
    </row>
    <row r="17" customFormat="false" ht="15" hidden="false" customHeight="false" outlineLevel="0" collapsed="false">
      <c r="B17" s="13" t="s">
        <v>71</v>
      </c>
      <c r="C17" s="14" t="n">
        <f aca="false">SUM(C9:C16)</f>
        <v>29850</v>
      </c>
      <c r="D17" s="14" t="n">
        <f aca="false">SUM(E9:E16)+C5</f>
        <v>805</v>
      </c>
      <c r="E17" s="2" t="s">
        <v>72</v>
      </c>
      <c r="J17" s="14" t="n">
        <f aca="false">SUM(J9:J16)</f>
        <v>4137.17821208333</v>
      </c>
    </row>
    <row r="19" customFormat="false" ht="15" hidden="false" customHeight="false" outlineLevel="0" collapsed="false">
      <c r="B19" s="3" t="s">
        <v>73</v>
      </c>
    </row>
    <row r="20" customFormat="false" ht="19.7" hidden="false" customHeight="false" outlineLevel="0" collapsed="false">
      <c r="B20" s="9" t="s">
        <v>74</v>
      </c>
      <c r="C20" s="23" t="n">
        <f aca="false">IF(Calc!BG362&gt;0.005,"Over 30 years: raise your payment",EDATE(C6,COUNTIF(Calc!BG3:BG362,"&gt;0.005")))</f>
        <v>47604</v>
      </c>
      <c r="D20" s="23"/>
      <c r="E20" s="23"/>
    </row>
    <row r="21" customFormat="false" ht="15" hidden="false" customHeight="false" outlineLevel="0" collapsed="false">
      <c r="B21" s="9" t="s">
        <v>75</v>
      </c>
      <c r="C21" s="24" t="n">
        <f aca="false">IF(Calc!BG362&gt;0.005,"360+",COUNTIF(Calc!BG3:BG362,"&gt;0.005")+1)</f>
        <v>43</v>
      </c>
      <c r="D21" s="24"/>
      <c r="E21" s="24"/>
    </row>
    <row r="22" customFormat="false" ht="15" hidden="false" customHeight="false" outlineLevel="0" collapsed="false">
      <c r="B22" s="9" t="s">
        <v>76</v>
      </c>
      <c r="C22" s="25" t="n">
        <f aca="false">J17</f>
        <v>4137.17821208333</v>
      </c>
      <c r="D22" s="25"/>
      <c r="E22" s="25"/>
    </row>
    <row r="23" customFormat="false" ht="15" hidden="false" customHeight="false" outlineLevel="0" collapsed="false">
      <c r="B23" s="9" t="s">
        <v>77</v>
      </c>
      <c r="C23" s="26" t="str">
        <f aca="false">IFERROR(INDEX(B9:B16,MATCH(1,F9:F16,0)),"")</f>
        <v>Credit card A</v>
      </c>
      <c r="D23" s="26"/>
      <c r="E23" s="26"/>
    </row>
    <row r="25" customFormat="false" ht="15" hidden="false" customHeight="false" outlineLevel="0" collapsed="false">
      <c r="B25" s="2" t="s">
        <v>78</v>
      </c>
    </row>
    <row r="26" customFormat="false" ht="15" hidden="false" customHeight="false" outlineLevel="0" collapsed="false">
      <c r="B26" s="2" t="s">
        <v>79</v>
      </c>
    </row>
  </sheetData>
  <mergeCells count="4">
    <mergeCell ref="C20:E20"/>
    <mergeCell ref="C21:E21"/>
    <mergeCell ref="C22:E22"/>
    <mergeCell ref="C23:E23"/>
  </mergeCells>
  <conditionalFormatting sqref="B9:J16">
    <cfRule type="expression" priority="2" aboveAverage="0" equalAverage="0" bottom="0" percent="0" rank="0" text="" dxfId="2">
      <formula>$F9=1</formula>
    </cfRule>
  </conditionalFormatting>
  <dataValidations count="1">
    <dataValidation allowBlank="false" errorStyle="stop" operator="between" showDropDown="false" showErrorMessage="false" showInputMessage="false" sqref="C4" type="list">
      <formula1>"Snowball,Avalanche"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80</v>
      </c>
      <c r="AH1" s="22" t="n">
        <f aca="false">IF('Debt Payoff'!F9="",99,'Debt Payoff'!F9)</f>
        <v>1</v>
      </c>
      <c r="AI1" s="22" t="n">
        <f aca="false">IF('Debt Payoff'!F10="",99,'Debt Payoff'!F10)</f>
        <v>2</v>
      </c>
      <c r="AJ1" s="22" t="n">
        <f aca="false">IF('Debt Payoff'!F11="",99,'Debt Payoff'!F11)</f>
        <v>3</v>
      </c>
      <c r="AK1" s="22" t="n">
        <f aca="false">IF('Debt Payoff'!F12="",99,'Debt Payoff'!F12)</f>
        <v>4</v>
      </c>
      <c r="AL1" s="22" t="n">
        <f aca="false">IF('Debt Payoff'!F13="",99,'Debt Payoff'!F13)</f>
        <v>99</v>
      </c>
      <c r="AM1" s="22" t="n">
        <f aca="false">IF('Debt Payoff'!F14="",99,'Debt Payoff'!F14)</f>
        <v>99</v>
      </c>
      <c r="AN1" s="22" t="n">
        <f aca="false">IF('Debt Payoff'!F15="",99,'Debt Payoff'!F15)</f>
        <v>99</v>
      </c>
      <c r="AO1" s="22" t="n">
        <f aca="false">IF('Debt Payoff'!F16="",99,'Debt Payoff'!F16)</f>
        <v>99</v>
      </c>
    </row>
    <row r="2" customFormat="false" ht="15" hidden="false" customHeight="false" outlineLevel="0" collapsed="false">
      <c r="A2" s="0" t="s">
        <v>81</v>
      </c>
      <c r="B2" s="0" t="s">
        <v>82</v>
      </c>
      <c r="C2" s="0" t="s">
        <v>83</v>
      </c>
      <c r="D2" s="0" t="s">
        <v>84</v>
      </c>
      <c r="E2" s="0" t="s">
        <v>85</v>
      </c>
      <c r="F2" s="0" t="s">
        <v>86</v>
      </c>
      <c r="G2" s="0" t="s">
        <v>87</v>
      </c>
      <c r="H2" s="0" t="s">
        <v>88</v>
      </c>
      <c r="I2" s="0" t="s">
        <v>89</v>
      </c>
      <c r="J2" s="0" t="s">
        <v>90</v>
      </c>
      <c r="K2" s="0" t="s">
        <v>91</v>
      </c>
      <c r="L2" s="0" t="s">
        <v>92</v>
      </c>
      <c r="M2" s="0" t="s">
        <v>93</v>
      </c>
      <c r="N2" s="0" t="s">
        <v>94</v>
      </c>
      <c r="O2" s="0" t="s">
        <v>95</v>
      </c>
      <c r="P2" s="0" t="s">
        <v>96</v>
      </c>
      <c r="Q2" s="0" t="s">
        <v>97</v>
      </c>
      <c r="R2" s="0" t="s">
        <v>98</v>
      </c>
      <c r="S2" s="0" t="s">
        <v>99</v>
      </c>
      <c r="T2" s="0" t="s">
        <v>100</v>
      </c>
      <c r="U2" s="0" t="s">
        <v>101</v>
      </c>
      <c r="V2" s="0" t="s">
        <v>102</v>
      </c>
      <c r="W2" s="0" t="s">
        <v>103</v>
      </c>
      <c r="X2" s="0" t="s">
        <v>104</v>
      </c>
      <c r="Y2" s="0" t="s">
        <v>105</v>
      </c>
      <c r="Z2" s="0" t="s">
        <v>106</v>
      </c>
      <c r="AA2" s="0" t="s">
        <v>107</v>
      </c>
      <c r="AB2" s="0" t="s">
        <v>108</v>
      </c>
      <c r="AC2" s="0" t="s">
        <v>109</v>
      </c>
      <c r="AD2" s="0" t="s">
        <v>110</v>
      </c>
      <c r="AE2" s="0" t="s">
        <v>111</v>
      </c>
      <c r="AF2" s="0" t="s">
        <v>112</v>
      </c>
      <c r="AG2" s="0" t="s">
        <v>113</v>
      </c>
      <c r="AH2" s="0" t="s">
        <v>114</v>
      </c>
      <c r="AI2" s="0" t="s">
        <v>115</v>
      </c>
      <c r="AJ2" s="0" t="s">
        <v>116</v>
      </c>
      <c r="AK2" s="0" t="s">
        <v>117</v>
      </c>
      <c r="AL2" s="0" t="s">
        <v>118</v>
      </c>
      <c r="AM2" s="0" t="s">
        <v>119</v>
      </c>
      <c r="AN2" s="0" t="s">
        <v>120</v>
      </c>
      <c r="AO2" s="0" t="s">
        <v>121</v>
      </c>
      <c r="AP2" s="0" t="s">
        <v>122</v>
      </c>
      <c r="AQ2" s="0" t="s">
        <v>123</v>
      </c>
      <c r="AR2" s="0" t="s">
        <v>124</v>
      </c>
      <c r="AS2" s="0" t="s">
        <v>125</v>
      </c>
      <c r="AT2" s="0" t="s">
        <v>126</v>
      </c>
      <c r="AU2" s="0" t="s">
        <v>127</v>
      </c>
      <c r="AV2" s="0" t="s">
        <v>128</v>
      </c>
      <c r="AW2" s="0" t="s">
        <v>129</v>
      </c>
      <c r="AX2" s="0" t="s">
        <v>130</v>
      </c>
      <c r="AY2" s="0" t="s">
        <v>131</v>
      </c>
      <c r="AZ2" s="0" t="s">
        <v>132</v>
      </c>
      <c r="BA2" s="0" t="s">
        <v>133</v>
      </c>
      <c r="BB2" s="0" t="s">
        <v>134</v>
      </c>
      <c r="BC2" s="0" t="s">
        <v>135</v>
      </c>
      <c r="BD2" s="0" t="s">
        <v>136</v>
      </c>
      <c r="BE2" s="0" t="s">
        <v>137</v>
      </c>
      <c r="BF2" s="0" t="s">
        <v>138</v>
      </c>
      <c r="BG2" s="0" t="s">
        <v>139</v>
      </c>
    </row>
    <row r="3" customFormat="false" ht="15" hidden="false" customHeight="false" outlineLevel="0" collapsed="false">
      <c r="A3" s="0" t="n">
        <v>1</v>
      </c>
      <c r="B3" s="0" t="n">
        <f aca="false">N('Debt Payoff'!C9)</f>
        <v>4200</v>
      </c>
      <c r="C3" s="0" t="n">
        <f aca="false">N('Debt Payoff'!C10)</f>
        <v>1350</v>
      </c>
      <c r="D3" s="0" t="n">
        <f aca="false">N('Debt Payoff'!C11)</f>
        <v>9800</v>
      </c>
      <c r="E3" s="0" t="n">
        <f aca="false">N('Debt Payoff'!C12)</f>
        <v>14500</v>
      </c>
      <c r="F3" s="0" t="n">
        <f aca="false">N('Debt Payoff'!C13)</f>
        <v>0</v>
      </c>
      <c r="G3" s="0" t="n">
        <f aca="false">N('Debt Payoff'!C14)</f>
        <v>0</v>
      </c>
      <c r="H3" s="0" t="n">
        <f aca="false">N('Debt Payoff'!C15)</f>
        <v>0</v>
      </c>
      <c r="I3" s="0" t="n">
        <f aca="false">N('Debt Payoff'!C16)</f>
        <v>0</v>
      </c>
      <c r="J3" s="0" t="n">
        <f aca="false">B3*N('Debt Payoff'!D9)/12</f>
        <v>85.715</v>
      </c>
      <c r="K3" s="0" t="n">
        <f aca="false">C3*N('Debt Payoff'!D10)/12</f>
        <v>22.48875</v>
      </c>
      <c r="L3" s="0" t="n">
        <f aca="false">D3*N('Debt Payoff'!D11)/12</f>
        <v>56.35</v>
      </c>
      <c r="M3" s="0" t="n">
        <f aca="false">E3*N('Debt Payoff'!D12)/12</f>
        <v>66.4583333333333</v>
      </c>
      <c r="N3" s="0" t="n">
        <f aca="false">F3*N('Debt Payoff'!D13)/12</f>
        <v>0</v>
      </c>
      <c r="O3" s="0" t="n">
        <f aca="false">G3*N('Debt Payoff'!D14)/12</f>
        <v>0</v>
      </c>
      <c r="P3" s="0" t="n">
        <f aca="false">H3*N('Debt Payoff'!D15)/12</f>
        <v>0</v>
      </c>
      <c r="Q3" s="0" t="n">
        <f aca="false">I3*N('Debt Payoff'!D16)/12</f>
        <v>0</v>
      </c>
      <c r="R3" s="0" t="n">
        <f aca="false">B3+J3</f>
        <v>4285.715</v>
      </c>
      <c r="S3" s="0" t="n">
        <f aca="false">C3+K3</f>
        <v>1372.48875</v>
      </c>
      <c r="T3" s="0" t="n">
        <f aca="false">D3+L3</f>
        <v>9856.35</v>
      </c>
      <c r="U3" s="0" t="n">
        <f aca="false">E3+M3</f>
        <v>14566.4583333333</v>
      </c>
      <c r="V3" s="0" t="n">
        <f aca="false">F3+N3</f>
        <v>0</v>
      </c>
      <c r="W3" s="0" t="n">
        <f aca="false">G3+O3</f>
        <v>0</v>
      </c>
      <c r="X3" s="0" t="n">
        <f aca="false">H3+P3</f>
        <v>0</v>
      </c>
      <c r="Y3" s="0" t="n">
        <f aca="false">I3+Q3</f>
        <v>0</v>
      </c>
      <c r="Z3" s="0" t="n">
        <f aca="false">MIN(R3,N('Debt Payoff'!E9))</f>
        <v>120</v>
      </c>
      <c r="AA3" s="0" t="n">
        <f aca="false">MIN(S3,N('Debt Payoff'!E10))</f>
        <v>40</v>
      </c>
      <c r="AB3" s="0" t="n">
        <f aca="false">MIN(T3,N('Debt Payoff'!E11))</f>
        <v>285</v>
      </c>
      <c r="AC3" s="0" t="n">
        <f aca="false">MIN(U3,N('Debt Payoff'!E12))</f>
        <v>160</v>
      </c>
      <c r="AD3" s="0" t="n">
        <f aca="false">MIN(V3,N('Debt Payoff'!E13))</f>
        <v>0</v>
      </c>
      <c r="AE3" s="0" t="n">
        <f aca="false">MIN(W3,N('Debt Payoff'!E14))</f>
        <v>0</v>
      </c>
      <c r="AF3" s="0" t="n">
        <f aca="false">MIN(X3,N('Debt Payoff'!E15))</f>
        <v>0</v>
      </c>
      <c r="AG3" s="0" t="n">
        <f aca="false">MIN(Y3,N('Debt Payoff'!E16))</f>
        <v>0</v>
      </c>
      <c r="AH3" s="0" t="n">
        <f aca="false">R3-Z3</f>
        <v>4165.715</v>
      </c>
      <c r="AI3" s="0" t="n">
        <f aca="false">S3-AA3</f>
        <v>1332.48875</v>
      </c>
      <c r="AJ3" s="0" t="n">
        <f aca="false">T3-AB3</f>
        <v>9571.35</v>
      </c>
      <c r="AK3" s="0" t="n">
        <f aca="false">U3-AC3</f>
        <v>14406.4583333333</v>
      </c>
      <c r="AL3" s="0" t="n">
        <f aca="false">V3-AD3</f>
        <v>0</v>
      </c>
      <c r="AM3" s="0" t="n">
        <f aca="false">W3-AE3</f>
        <v>0</v>
      </c>
      <c r="AN3" s="0" t="n">
        <f aca="false">X3-AF3</f>
        <v>0</v>
      </c>
      <c r="AO3" s="0" t="n">
        <f aca="false">Y3-AG3</f>
        <v>0</v>
      </c>
      <c r="AP3" s="0" t="n">
        <f aca="false">MAX(0,'Debt Payoff'!$D$17-SUM(Z3:AG3))</f>
        <v>200</v>
      </c>
      <c r="AQ3" s="0" t="n">
        <f aca="false">MIN(AH3,MAX(0,$AP3-SUMPRODUCT(($AH$1:$AO$1&lt;AH$1)*$AH3:$AO3)))</f>
        <v>200</v>
      </c>
      <c r="AR3" s="0" t="n">
        <f aca="false">MIN(AI3,MAX(0,$AP3-SUMPRODUCT(($AH$1:$AO$1&lt;AI$1)*$AH3:$AO3)))</f>
        <v>0</v>
      </c>
      <c r="AS3" s="0" t="n">
        <f aca="false">MIN(AJ3,MAX(0,$AP3-SUMPRODUCT(($AH$1:$AO$1&lt;AJ$1)*$AH3:$AO3)))</f>
        <v>0</v>
      </c>
      <c r="AT3" s="0" t="n">
        <f aca="false">MIN(AK3,MAX(0,$AP3-SUMPRODUCT(($AH$1:$AO$1&lt;AK$1)*$AH3:$AO3)))</f>
        <v>0</v>
      </c>
      <c r="AU3" s="0" t="n">
        <f aca="false">MIN(AL3,MAX(0,$AP3-SUMPRODUCT(($AH$1:$AO$1&lt;AL$1)*$AH3:$AO3)))</f>
        <v>0</v>
      </c>
      <c r="AV3" s="0" t="n">
        <f aca="false">MIN(AM3,MAX(0,$AP3-SUMPRODUCT(($AH$1:$AO$1&lt;AM$1)*$AH3:$AO3)))</f>
        <v>0</v>
      </c>
      <c r="AW3" s="0" t="n">
        <f aca="false">MIN(AN3,MAX(0,$AP3-SUMPRODUCT(($AH$1:$AO$1&lt;AN$1)*$AH3:$AO3)))</f>
        <v>0</v>
      </c>
      <c r="AX3" s="0" t="n">
        <f aca="false">MIN(AO3,MAX(0,$AP3-SUMPRODUCT(($AH$1:$AO$1&lt;AO$1)*$AH3:$AO3)))</f>
        <v>0</v>
      </c>
      <c r="AY3" s="0" t="n">
        <f aca="false">ROUND(AH3-AQ3,2)</f>
        <v>3965.72</v>
      </c>
      <c r="AZ3" s="0" t="n">
        <f aca="false">ROUND(AI3-AR3,2)</f>
        <v>1332.49</v>
      </c>
      <c r="BA3" s="0" t="n">
        <f aca="false">ROUND(AJ3-AS3,2)</f>
        <v>9571.35</v>
      </c>
      <c r="BB3" s="0" t="n">
        <f aca="false">ROUND(AK3-AT3,2)</f>
        <v>14406.46</v>
      </c>
      <c r="BC3" s="0" t="n">
        <f aca="false">ROUND(AL3-AU3,2)</f>
        <v>0</v>
      </c>
      <c r="BD3" s="0" t="n">
        <f aca="false">ROUND(AM3-AV3,2)</f>
        <v>0</v>
      </c>
      <c r="BE3" s="0" t="n">
        <f aca="false">ROUND(AN3-AW3,2)</f>
        <v>0</v>
      </c>
      <c r="BF3" s="0" t="n">
        <f aca="false">ROUND(AO3-AX3,2)</f>
        <v>0</v>
      </c>
      <c r="BG3" s="0" t="n">
        <f aca="false">SUM(AY3:BF3)</f>
        <v>29276.02</v>
      </c>
    </row>
    <row r="4" customFormat="false" ht="15" hidden="false" customHeight="false" outlineLevel="0" collapsed="false">
      <c r="A4" s="0" t="n">
        <v>2</v>
      </c>
      <c r="B4" s="0" t="n">
        <f aca="false">AY3</f>
        <v>3965.72</v>
      </c>
      <c r="C4" s="0" t="n">
        <f aca="false">AZ3</f>
        <v>1332.49</v>
      </c>
      <c r="D4" s="0" t="n">
        <f aca="false">BA3</f>
        <v>9571.35</v>
      </c>
      <c r="E4" s="0" t="n">
        <f aca="false">BB3</f>
        <v>14406.46</v>
      </c>
      <c r="F4" s="0" t="n">
        <f aca="false">BC3</f>
        <v>0</v>
      </c>
      <c r="G4" s="0" t="n">
        <f aca="false">BD3</f>
        <v>0</v>
      </c>
      <c r="H4" s="0" t="n">
        <f aca="false">BE3</f>
        <v>0</v>
      </c>
      <c r="I4" s="0" t="n">
        <f aca="false">BF3</f>
        <v>0</v>
      </c>
      <c r="J4" s="0" t="n">
        <f aca="false">B4*N('Debt Payoff'!D9)/12</f>
        <v>80.9337356666667</v>
      </c>
      <c r="K4" s="0" t="n">
        <f aca="false">C4*N('Debt Payoff'!D10)/12</f>
        <v>22.1970625833333</v>
      </c>
      <c r="L4" s="0" t="n">
        <f aca="false">D4*N('Debt Payoff'!D11)/12</f>
        <v>55.0352625</v>
      </c>
      <c r="M4" s="0" t="n">
        <f aca="false">E4*N('Debt Payoff'!D12)/12</f>
        <v>66.0296083333333</v>
      </c>
      <c r="N4" s="0" t="n">
        <f aca="false">F4*N('Debt Payoff'!D13)/12</f>
        <v>0</v>
      </c>
      <c r="O4" s="0" t="n">
        <f aca="false">G4*N('Debt Payoff'!D14)/12</f>
        <v>0</v>
      </c>
      <c r="P4" s="0" t="n">
        <f aca="false">H4*N('Debt Payoff'!D15)/12</f>
        <v>0</v>
      </c>
      <c r="Q4" s="0" t="n">
        <f aca="false">I4*N('Debt Payoff'!D16)/12</f>
        <v>0</v>
      </c>
      <c r="R4" s="0" t="n">
        <f aca="false">B4+J4</f>
        <v>4046.65373566667</v>
      </c>
      <c r="S4" s="0" t="n">
        <f aca="false">C4+K4</f>
        <v>1354.68706258333</v>
      </c>
      <c r="T4" s="0" t="n">
        <f aca="false">D4+L4</f>
        <v>9626.3852625</v>
      </c>
      <c r="U4" s="0" t="n">
        <f aca="false">E4+M4</f>
        <v>14472.4896083333</v>
      </c>
      <c r="V4" s="0" t="n">
        <f aca="false">F4+N4</f>
        <v>0</v>
      </c>
      <c r="W4" s="0" t="n">
        <f aca="false">G4+O4</f>
        <v>0</v>
      </c>
      <c r="X4" s="0" t="n">
        <f aca="false">H4+P4</f>
        <v>0</v>
      </c>
      <c r="Y4" s="0" t="n">
        <f aca="false">I4+Q4</f>
        <v>0</v>
      </c>
      <c r="Z4" s="0" t="n">
        <f aca="false">MIN(R4,N('Debt Payoff'!E9))</f>
        <v>120</v>
      </c>
      <c r="AA4" s="0" t="n">
        <f aca="false">MIN(S4,N('Debt Payoff'!E10))</f>
        <v>40</v>
      </c>
      <c r="AB4" s="0" t="n">
        <f aca="false">MIN(T4,N('Debt Payoff'!E11))</f>
        <v>285</v>
      </c>
      <c r="AC4" s="0" t="n">
        <f aca="false">MIN(U4,N('Debt Payoff'!E12))</f>
        <v>160</v>
      </c>
      <c r="AD4" s="0" t="n">
        <f aca="false">MIN(V4,N('Debt Payoff'!E13))</f>
        <v>0</v>
      </c>
      <c r="AE4" s="0" t="n">
        <f aca="false">MIN(W4,N('Debt Payoff'!E14))</f>
        <v>0</v>
      </c>
      <c r="AF4" s="0" t="n">
        <f aca="false">MIN(X4,N('Debt Payoff'!E15))</f>
        <v>0</v>
      </c>
      <c r="AG4" s="0" t="n">
        <f aca="false">MIN(Y4,N('Debt Payoff'!E16))</f>
        <v>0</v>
      </c>
      <c r="AH4" s="0" t="n">
        <f aca="false">R4-Z4</f>
        <v>3926.65373566667</v>
      </c>
      <c r="AI4" s="0" t="n">
        <f aca="false">S4-AA4</f>
        <v>1314.68706258333</v>
      </c>
      <c r="AJ4" s="0" t="n">
        <f aca="false">T4-AB4</f>
        <v>9341.3852625</v>
      </c>
      <c r="AK4" s="0" t="n">
        <f aca="false">U4-AC4</f>
        <v>14312.4896083333</v>
      </c>
      <c r="AL4" s="0" t="n">
        <f aca="false">V4-AD4</f>
        <v>0</v>
      </c>
      <c r="AM4" s="0" t="n">
        <f aca="false">W4-AE4</f>
        <v>0</v>
      </c>
      <c r="AN4" s="0" t="n">
        <f aca="false">X4-AF4</f>
        <v>0</v>
      </c>
      <c r="AO4" s="0" t="n">
        <f aca="false">Y4-AG4</f>
        <v>0</v>
      </c>
      <c r="AP4" s="0" t="n">
        <f aca="false">MAX(0,'Debt Payoff'!$D$17-SUM(Z4:AG4))</f>
        <v>200</v>
      </c>
      <c r="AQ4" s="0" t="n">
        <f aca="false">MIN(AH4,MAX(0,$AP4-SUMPRODUCT(($AH$1:$AO$1&lt;AH$1)*$AH4:$AO4)))</f>
        <v>200</v>
      </c>
      <c r="AR4" s="0" t="n">
        <f aca="false">MIN(AI4,MAX(0,$AP4-SUMPRODUCT(($AH$1:$AO$1&lt;AI$1)*$AH4:$AO4)))</f>
        <v>0</v>
      </c>
      <c r="AS4" s="0" t="n">
        <f aca="false">MIN(AJ4,MAX(0,$AP4-SUMPRODUCT(($AH$1:$AO$1&lt;AJ$1)*$AH4:$AO4)))</f>
        <v>0</v>
      </c>
      <c r="AT4" s="0" t="n">
        <f aca="false">MIN(AK4,MAX(0,$AP4-SUMPRODUCT(($AH$1:$AO$1&lt;AK$1)*$AH4:$AO4)))</f>
        <v>0</v>
      </c>
      <c r="AU4" s="0" t="n">
        <f aca="false">MIN(AL4,MAX(0,$AP4-SUMPRODUCT(($AH$1:$AO$1&lt;AL$1)*$AH4:$AO4)))</f>
        <v>0</v>
      </c>
      <c r="AV4" s="0" t="n">
        <f aca="false">MIN(AM4,MAX(0,$AP4-SUMPRODUCT(($AH$1:$AO$1&lt;AM$1)*$AH4:$AO4)))</f>
        <v>0</v>
      </c>
      <c r="AW4" s="0" t="n">
        <f aca="false">MIN(AN4,MAX(0,$AP4-SUMPRODUCT(($AH$1:$AO$1&lt;AN$1)*$AH4:$AO4)))</f>
        <v>0</v>
      </c>
      <c r="AX4" s="0" t="n">
        <f aca="false">MIN(AO4,MAX(0,$AP4-SUMPRODUCT(($AH$1:$AO$1&lt;AO$1)*$AH4:$AO4)))</f>
        <v>0</v>
      </c>
      <c r="AY4" s="0" t="n">
        <f aca="false">ROUND(AH4-AQ4,2)</f>
        <v>3726.65</v>
      </c>
      <c r="AZ4" s="0" t="n">
        <f aca="false">ROUND(AI4-AR4,2)</f>
        <v>1314.69</v>
      </c>
      <c r="BA4" s="0" t="n">
        <f aca="false">ROUND(AJ4-AS4,2)</f>
        <v>9341.39</v>
      </c>
      <c r="BB4" s="0" t="n">
        <f aca="false">ROUND(AK4-AT4,2)</f>
        <v>14312.49</v>
      </c>
      <c r="BC4" s="0" t="n">
        <f aca="false">ROUND(AL4-AU4,2)</f>
        <v>0</v>
      </c>
      <c r="BD4" s="0" t="n">
        <f aca="false">ROUND(AM4-AV4,2)</f>
        <v>0</v>
      </c>
      <c r="BE4" s="0" t="n">
        <f aca="false">ROUND(AN4-AW4,2)</f>
        <v>0</v>
      </c>
      <c r="BF4" s="0" t="n">
        <f aca="false">ROUND(AO4-AX4,2)</f>
        <v>0</v>
      </c>
      <c r="BG4" s="0" t="n">
        <f aca="false">SUM(AY4:BF4)</f>
        <v>28695.22</v>
      </c>
    </row>
    <row r="5" customFormat="false" ht="15" hidden="false" customHeight="false" outlineLevel="0" collapsed="false">
      <c r="A5" s="0" t="n">
        <v>3</v>
      </c>
      <c r="B5" s="0" t="n">
        <f aca="false">AY4</f>
        <v>3726.65</v>
      </c>
      <c r="C5" s="0" t="n">
        <f aca="false">AZ4</f>
        <v>1314.69</v>
      </c>
      <c r="D5" s="0" t="n">
        <f aca="false">BA4</f>
        <v>9341.39</v>
      </c>
      <c r="E5" s="0" t="n">
        <f aca="false">BB4</f>
        <v>14312.49</v>
      </c>
      <c r="F5" s="0" t="n">
        <f aca="false">BC4</f>
        <v>0</v>
      </c>
      <c r="G5" s="0" t="n">
        <f aca="false">BD4</f>
        <v>0</v>
      </c>
      <c r="H5" s="0" t="n">
        <f aca="false">BE4</f>
        <v>0</v>
      </c>
      <c r="I5" s="0" t="n">
        <f aca="false">BF4</f>
        <v>0</v>
      </c>
      <c r="J5" s="0" t="n">
        <f aca="false">B5*N('Debt Payoff'!D9)/12</f>
        <v>76.0547154166667</v>
      </c>
      <c r="K5" s="0" t="n">
        <f aca="false">C5*N('Debt Payoff'!D10)/12</f>
        <v>21.90054425</v>
      </c>
      <c r="L5" s="0" t="n">
        <f aca="false">D5*N('Debt Payoff'!D11)/12</f>
        <v>53.7129925</v>
      </c>
      <c r="M5" s="0" t="n">
        <f aca="false">E5*N('Debt Payoff'!D12)/12</f>
        <v>65.5989125</v>
      </c>
      <c r="N5" s="0" t="n">
        <f aca="false">F5*N('Debt Payoff'!D13)/12</f>
        <v>0</v>
      </c>
      <c r="O5" s="0" t="n">
        <f aca="false">G5*N('Debt Payoff'!D14)/12</f>
        <v>0</v>
      </c>
      <c r="P5" s="0" t="n">
        <f aca="false">H5*N('Debt Payoff'!D15)/12</f>
        <v>0</v>
      </c>
      <c r="Q5" s="0" t="n">
        <f aca="false">I5*N('Debt Payoff'!D16)/12</f>
        <v>0</v>
      </c>
      <c r="R5" s="0" t="n">
        <f aca="false">B5+J5</f>
        <v>3802.70471541667</v>
      </c>
      <c r="S5" s="0" t="n">
        <f aca="false">C5+K5</f>
        <v>1336.59054425</v>
      </c>
      <c r="T5" s="0" t="n">
        <f aca="false">D5+L5</f>
        <v>9395.1029925</v>
      </c>
      <c r="U5" s="0" t="n">
        <f aca="false">E5+M5</f>
        <v>14378.0889125</v>
      </c>
      <c r="V5" s="0" t="n">
        <f aca="false">F5+N5</f>
        <v>0</v>
      </c>
      <c r="W5" s="0" t="n">
        <f aca="false">G5+O5</f>
        <v>0</v>
      </c>
      <c r="X5" s="0" t="n">
        <f aca="false">H5+P5</f>
        <v>0</v>
      </c>
      <c r="Y5" s="0" t="n">
        <f aca="false">I5+Q5</f>
        <v>0</v>
      </c>
      <c r="Z5" s="0" t="n">
        <f aca="false">MIN(R5,N('Debt Payoff'!E9))</f>
        <v>120</v>
      </c>
      <c r="AA5" s="0" t="n">
        <f aca="false">MIN(S5,N('Debt Payoff'!E10))</f>
        <v>40</v>
      </c>
      <c r="AB5" s="0" t="n">
        <f aca="false">MIN(T5,N('Debt Payoff'!E11))</f>
        <v>285</v>
      </c>
      <c r="AC5" s="0" t="n">
        <f aca="false">MIN(U5,N('Debt Payoff'!E12))</f>
        <v>160</v>
      </c>
      <c r="AD5" s="0" t="n">
        <f aca="false">MIN(V5,N('Debt Payoff'!E13))</f>
        <v>0</v>
      </c>
      <c r="AE5" s="0" t="n">
        <f aca="false">MIN(W5,N('Debt Payoff'!E14))</f>
        <v>0</v>
      </c>
      <c r="AF5" s="0" t="n">
        <f aca="false">MIN(X5,N('Debt Payoff'!E15))</f>
        <v>0</v>
      </c>
      <c r="AG5" s="0" t="n">
        <f aca="false">MIN(Y5,N('Debt Payoff'!E16))</f>
        <v>0</v>
      </c>
      <c r="AH5" s="0" t="n">
        <f aca="false">R5-Z5</f>
        <v>3682.70471541667</v>
      </c>
      <c r="AI5" s="0" t="n">
        <f aca="false">S5-AA5</f>
        <v>1296.59054425</v>
      </c>
      <c r="AJ5" s="0" t="n">
        <f aca="false">T5-AB5</f>
        <v>9110.1029925</v>
      </c>
      <c r="AK5" s="0" t="n">
        <f aca="false">U5-AC5</f>
        <v>14218.0889125</v>
      </c>
      <c r="AL5" s="0" t="n">
        <f aca="false">V5-AD5</f>
        <v>0</v>
      </c>
      <c r="AM5" s="0" t="n">
        <f aca="false">W5-AE5</f>
        <v>0</v>
      </c>
      <c r="AN5" s="0" t="n">
        <f aca="false">X5-AF5</f>
        <v>0</v>
      </c>
      <c r="AO5" s="0" t="n">
        <f aca="false">Y5-AG5</f>
        <v>0</v>
      </c>
      <c r="AP5" s="0" t="n">
        <f aca="false">MAX(0,'Debt Payoff'!$D$17-SUM(Z5:AG5))</f>
        <v>200</v>
      </c>
      <c r="AQ5" s="0" t="n">
        <f aca="false">MIN(AH5,MAX(0,$AP5-SUMPRODUCT(($AH$1:$AO$1&lt;AH$1)*$AH5:$AO5)))</f>
        <v>200</v>
      </c>
      <c r="AR5" s="0" t="n">
        <f aca="false">MIN(AI5,MAX(0,$AP5-SUMPRODUCT(($AH$1:$AO$1&lt;AI$1)*$AH5:$AO5)))</f>
        <v>0</v>
      </c>
      <c r="AS5" s="0" t="n">
        <f aca="false">MIN(AJ5,MAX(0,$AP5-SUMPRODUCT(($AH$1:$AO$1&lt;AJ$1)*$AH5:$AO5)))</f>
        <v>0</v>
      </c>
      <c r="AT5" s="0" t="n">
        <f aca="false">MIN(AK5,MAX(0,$AP5-SUMPRODUCT(($AH$1:$AO$1&lt;AK$1)*$AH5:$AO5)))</f>
        <v>0</v>
      </c>
      <c r="AU5" s="0" t="n">
        <f aca="false">MIN(AL5,MAX(0,$AP5-SUMPRODUCT(($AH$1:$AO$1&lt;AL$1)*$AH5:$AO5)))</f>
        <v>0</v>
      </c>
      <c r="AV5" s="0" t="n">
        <f aca="false">MIN(AM5,MAX(0,$AP5-SUMPRODUCT(($AH$1:$AO$1&lt;AM$1)*$AH5:$AO5)))</f>
        <v>0</v>
      </c>
      <c r="AW5" s="0" t="n">
        <f aca="false">MIN(AN5,MAX(0,$AP5-SUMPRODUCT(($AH$1:$AO$1&lt;AN$1)*$AH5:$AO5)))</f>
        <v>0</v>
      </c>
      <c r="AX5" s="0" t="n">
        <f aca="false">MIN(AO5,MAX(0,$AP5-SUMPRODUCT(($AH$1:$AO$1&lt;AO$1)*$AH5:$AO5)))</f>
        <v>0</v>
      </c>
      <c r="AY5" s="0" t="n">
        <f aca="false">ROUND(AH5-AQ5,2)</f>
        <v>3482.7</v>
      </c>
      <c r="AZ5" s="0" t="n">
        <f aca="false">ROUND(AI5-AR5,2)</f>
        <v>1296.59</v>
      </c>
      <c r="BA5" s="0" t="n">
        <f aca="false">ROUND(AJ5-AS5,2)</f>
        <v>9110.1</v>
      </c>
      <c r="BB5" s="0" t="n">
        <f aca="false">ROUND(AK5-AT5,2)</f>
        <v>14218.09</v>
      </c>
      <c r="BC5" s="0" t="n">
        <f aca="false">ROUND(AL5-AU5,2)</f>
        <v>0</v>
      </c>
      <c r="BD5" s="0" t="n">
        <f aca="false">ROUND(AM5-AV5,2)</f>
        <v>0</v>
      </c>
      <c r="BE5" s="0" t="n">
        <f aca="false">ROUND(AN5-AW5,2)</f>
        <v>0</v>
      </c>
      <c r="BF5" s="0" t="n">
        <f aca="false">ROUND(AO5-AX5,2)</f>
        <v>0</v>
      </c>
      <c r="BG5" s="0" t="n">
        <f aca="false">SUM(AY5:BF5)</f>
        <v>28107.48</v>
      </c>
    </row>
    <row r="6" customFormat="false" ht="15" hidden="false" customHeight="false" outlineLevel="0" collapsed="false">
      <c r="A6" s="0" t="n">
        <v>4</v>
      </c>
      <c r="B6" s="0" t="n">
        <f aca="false">AY5</f>
        <v>3482.7</v>
      </c>
      <c r="C6" s="0" t="n">
        <f aca="false">AZ5</f>
        <v>1296.59</v>
      </c>
      <c r="D6" s="0" t="n">
        <f aca="false">BA5</f>
        <v>9110.1</v>
      </c>
      <c r="E6" s="0" t="n">
        <f aca="false">BB5</f>
        <v>14218.09</v>
      </c>
      <c r="F6" s="0" t="n">
        <f aca="false">BC5</f>
        <v>0</v>
      </c>
      <c r="G6" s="0" t="n">
        <f aca="false">BD5</f>
        <v>0</v>
      </c>
      <c r="H6" s="0" t="n">
        <f aca="false">BE5</f>
        <v>0</v>
      </c>
      <c r="I6" s="0" t="n">
        <f aca="false">BF5</f>
        <v>0</v>
      </c>
      <c r="J6" s="0" t="n">
        <f aca="false">B6*N('Debt Payoff'!D9)/12</f>
        <v>71.0761025</v>
      </c>
      <c r="K6" s="0" t="n">
        <f aca="false">C6*N('Debt Payoff'!D10)/12</f>
        <v>21.5990284166667</v>
      </c>
      <c r="L6" s="0" t="n">
        <f aca="false">D6*N('Debt Payoff'!D11)/12</f>
        <v>52.383075</v>
      </c>
      <c r="M6" s="0" t="n">
        <f aca="false">E6*N('Debt Payoff'!D12)/12</f>
        <v>65.1662458333333</v>
      </c>
      <c r="N6" s="0" t="n">
        <f aca="false">F6*N('Debt Payoff'!D13)/12</f>
        <v>0</v>
      </c>
      <c r="O6" s="0" t="n">
        <f aca="false">G6*N('Debt Payoff'!D14)/12</f>
        <v>0</v>
      </c>
      <c r="P6" s="0" t="n">
        <f aca="false">H6*N('Debt Payoff'!D15)/12</f>
        <v>0</v>
      </c>
      <c r="Q6" s="0" t="n">
        <f aca="false">I6*N('Debt Payoff'!D16)/12</f>
        <v>0</v>
      </c>
      <c r="R6" s="0" t="n">
        <f aca="false">B6+J6</f>
        <v>3553.7761025</v>
      </c>
      <c r="S6" s="0" t="n">
        <f aca="false">C6+K6</f>
        <v>1318.18902841667</v>
      </c>
      <c r="T6" s="0" t="n">
        <f aca="false">D6+L6</f>
        <v>9162.483075</v>
      </c>
      <c r="U6" s="0" t="n">
        <f aca="false">E6+M6</f>
        <v>14283.2562458333</v>
      </c>
      <c r="V6" s="0" t="n">
        <f aca="false">F6+N6</f>
        <v>0</v>
      </c>
      <c r="W6" s="0" t="n">
        <f aca="false">G6+O6</f>
        <v>0</v>
      </c>
      <c r="X6" s="0" t="n">
        <f aca="false">H6+P6</f>
        <v>0</v>
      </c>
      <c r="Y6" s="0" t="n">
        <f aca="false">I6+Q6</f>
        <v>0</v>
      </c>
      <c r="Z6" s="0" t="n">
        <f aca="false">MIN(R6,N('Debt Payoff'!E9))</f>
        <v>120</v>
      </c>
      <c r="AA6" s="0" t="n">
        <f aca="false">MIN(S6,N('Debt Payoff'!E10))</f>
        <v>40</v>
      </c>
      <c r="AB6" s="0" t="n">
        <f aca="false">MIN(T6,N('Debt Payoff'!E11))</f>
        <v>285</v>
      </c>
      <c r="AC6" s="0" t="n">
        <f aca="false">MIN(U6,N('Debt Payoff'!E12))</f>
        <v>160</v>
      </c>
      <c r="AD6" s="0" t="n">
        <f aca="false">MIN(V6,N('Debt Payoff'!E13))</f>
        <v>0</v>
      </c>
      <c r="AE6" s="0" t="n">
        <f aca="false">MIN(W6,N('Debt Payoff'!E14))</f>
        <v>0</v>
      </c>
      <c r="AF6" s="0" t="n">
        <f aca="false">MIN(X6,N('Debt Payoff'!E15))</f>
        <v>0</v>
      </c>
      <c r="AG6" s="0" t="n">
        <f aca="false">MIN(Y6,N('Debt Payoff'!E16))</f>
        <v>0</v>
      </c>
      <c r="AH6" s="0" t="n">
        <f aca="false">R6-Z6</f>
        <v>3433.7761025</v>
      </c>
      <c r="AI6" s="0" t="n">
        <f aca="false">S6-AA6</f>
        <v>1278.18902841667</v>
      </c>
      <c r="AJ6" s="0" t="n">
        <f aca="false">T6-AB6</f>
        <v>8877.483075</v>
      </c>
      <c r="AK6" s="0" t="n">
        <f aca="false">U6-AC6</f>
        <v>14123.2562458333</v>
      </c>
      <c r="AL6" s="0" t="n">
        <f aca="false">V6-AD6</f>
        <v>0</v>
      </c>
      <c r="AM6" s="0" t="n">
        <f aca="false">W6-AE6</f>
        <v>0</v>
      </c>
      <c r="AN6" s="0" t="n">
        <f aca="false">X6-AF6</f>
        <v>0</v>
      </c>
      <c r="AO6" s="0" t="n">
        <f aca="false">Y6-AG6</f>
        <v>0</v>
      </c>
      <c r="AP6" s="0" t="n">
        <f aca="false">MAX(0,'Debt Payoff'!$D$17-SUM(Z6:AG6))</f>
        <v>200</v>
      </c>
      <c r="AQ6" s="0" t="n">
        <f aca="false">MIN(AH6,MAX(0,$AP6-SUMPRODUCT(($AH$1:$AO$1&lt;AH$1)*$AH6:$AO6)))</f>
        <v>200</v>
      </c>
      <c r="AR6" s="0" t="n">
        <f aca="false">MIN(AI6,MAX(0,$AP6-SUMPRODUCT(($AH$1:$AO$1&lt;AI$1)*$AH6:$AO6)))</f>
        <v>0</v>
      </c>
      <c r="AS6" s="0" t="n">
        <f aca="false">MIN(AJ6,MAX(0,$AP6-SUMPRODUCT(($AH$1:$AO$1&lt;AJ$1)*$AH6:$AO6)))</f>
        <v>0</v>
      </c>
      <c r="AT6" s="0" t="n">
        <f aca="false">MIN(AK6,MAX(0,$AP6-SUMPRODUCT(($AH$1:$AO$1&lt;AK$1)*$AH6:$AO6)))</f>
        <v>0</v>
      </c>
      <c r="AU6" s="0" t="n">
        <f aca="false">MIN(AL6,MAX(0,$AP6-SUMPRODUCT(($AH$1:$AO$1&lt;AL$1)*$AH6:$AO6)))</f>
        <v>0</v>
      </c>
      <c r="AV6" s="0" t="n">
        <f aca="false">MIN(AM6,MAX(0,$AP6-SUMPRODUCT(($AH$1:$AO$1&lt;AM$1)*$AH6:$AO6)))</f>
        <v>0</v>
      </c>
      <c r="AW6" s="0" t="n">
        <f aca="false">MIN(AN6,MAX(0,$AP6-SUMPRODUCT(($AH$1:$AO$1&lt;AN$1)*$AH6:$AO6)))</f>
        <v>0</v>
      </c>
      <c r="AX6" s="0" t="n">
        <f aca="false">MIN(AO6,MAX(0,$AP6-SUMPRODUCT(($AH$1:$AO$1&lt;AO$1)*$AH6:$AO6)))</f>
        <v>0</v>
      </c>
      <c r="AY6" s="0" t="n">
        <f aca="false">ROUND(AH6-AQ6,2)</f>
        <v>3233.78</v>
      </c>
      <c r="AZ6" s="0" t="n">
        <f aca="false">ROUND(AI6-AR6,2)</f>
        <v>1278.19</v>
      </c>
      <c r="BA6" s="0" t="n">
        <f aca="false">ROUND(AJ6-AS6,2)</f>
        <v>8877.48</v>
      </c>
      <c r="BB6" s="0" t="n">
        <f aca="false">ROUND(AK6-AT6,2)</f>
        <v>14123.26</v>
      </c>
      <c r="BC6" s="0" t="n">
        <f aca="false">ROUND(AL6-AU6,2)</f>
        <v>0</v>
      </c>
      <c r="BD6" s="0" t="n">
        <f aca="false">ROUND(AM6-AV6,2)</f>
        <v>0</v>
      </c>
      <c r="BE6" s="0" t="n">
        <f aca="false">ROUND(AN6-AW6,2)</f>
        <v>0</v>
      </c>
      <c r="BF6" s="0" t="n">
        <f aca="false">ROUND(AO6-AX6,2)</f>
        <v>0</v>
      </c>
      <c r="BG6" s="0" t="n">
        <f aca="false">SUM(AY6:BF6)</f>
        <v>27512.71</v>
      </c>
    </row>
    <row r="7" customFormat="false" ht="15" hidden="false" customHeight="false" outlineLevel="0" collapsed="false">
      <c r="A7" s="0" t="n">
        <v>5</v>
      </c>
      <c r="B7" s="0" t="n">
        <f aca="false">AY6</f>
        <v>3233.78</v>
      </c>
      <c r="C7" s="0" t="n">
        <f aca="false">AZ6</f>
        <v>1278.19</v>
      </c>
      <c r="D7" s="0" t="n">
        <f aca="false">BA6</f>
        <v>8877.48</v>
      </c>
      <c r="E7" s="0" t="n">
        <f aca="false">BB6</f>
        <v>14123.26</v>
      </c>
      <c r="F7" s="0" t="n">
        <f aca="false">BC6</f>
        <v>0</v>
      </c>
      <c r="G7" s="0" t="n">
        <f aca="false">BD6</f>
        <v>0</v>
      </c>
      <c r="H7" s="0" t="n">
        <f aca="false">BE6</f>
        <v>0</v>
      </c>
      <c r="I7" s="0" t="n">
        <f aca="false">BF6</f>
        <v>0</v>
      </c>
      <c r="J7" s="0" t="n">
        <f aca="false">B7*N('Debt Payoff'!D9)/12</f>
        <v>65.9960601666667</v>
      </c>
      <c r="K7" s="0" t="n">
        <f aca="false">C7*N('Debt Payoff'!D10)/12</f>
        <v>21.2925150833333</v>
      </c>
      <c r="L7" s="0" t="n">
        <f aca="false">D7*N('Debt Payoff'!D11)/12</f>
        <v>51.04551</v>
      </c>
      <c r="M7" s="0" t="n">
        <f aca="false">E7*N('Debt Payoff'!D12)/12</f>
        <v>64.7316083333333</v>
      </c>
      <c r="N7" s="0" t="n">
        <f aca="false">F7*N('Debt Payoff'!D13)/12</f>
        <v>0</v>
      </c>
      <c r="O7" s="0" t="n">
        <f aca="false">G7*N('Debt Payoff'!D14)/12</f>
        <v>0</v>
      </c>
      <c r="P7" s="0" t="n">
        <f aca="false">H7*N('Debt Payoff'!D15)/12</f>
        <v>0</v>
      </c>
      <c r="Q7" s="0" t="n">
        <f aca="false">I7*N('Debt Payoff'!D16)/12</f>
        <v>0</v>
      </c>
      <c r="R7" s="0" t="n">
        <f aca="false">B7+J7</f>
        <v>3299.77606016667</v>
      </c>
      <c r="S7" s="0" t="n">
        <f aca="false">C7+K7</f>
        <v>1299.48251508333</v>
      </c>
      <c r="T7" s="0" t="n">
        <f aca="false">D7+L7</f>
        <v>8928.52551</v>
      </c>
      <c r="U7" s="0" t="n">
        <f aca="false">E7+M7</f>
        <v>14187.9916083333</v>
      </c>
      <c r="V7" s="0" t="n">
        <f aca="false">F7+N7</f>
        <v>0</v>
      </c>
      <c r="W7" s="0" t="n">
        <f aca="false">G7+O7</f>
        <v>0</v>
      </c>
      <c r="X7" s="0" t="n">
        <f aca="false">H7+P7</f>
        <v>0</v>
      </c>
      <c r="Y7" s="0" t="n">
        <f aca="false">I7+Q7</f>
        <v>0</v>
      </c>
      <c r="Z7" s="0" t="n">
        <f aca="false">MIN(R7,N('Debt Payoff'!E9))</f>
        <v>120</v>
      </c>
      <c r="AA7" s="0" t="n">
        <f aca="false">MIN(S7,N('Debt Payoff'!E10))</f>
        <v>40</v>
      </c>
      <c r="AB7" s="0" t="n">
        <f aca="false">MIN(T7,N('Debt Payoff'!E11))</f>
        <v>285</v>
      </c>
      <c r="AC7" s="0" t="n">
        <f aca="false">MIN(U7,N('Debt Payoff'!E12))</f>
        <v>160</v>
      </c>
      <c r="AD7" s="0" t="n">
        <f aca="false">MIN(V7,N('Debt Payoff'!E13))</f>
        <v>0</v>
      </c>
      <c r="AE7" s="0" t="n">
        <f aca="false">MIN(W7,N('Debt Payoff'!E14))</f>
        <v>0</v>
      </c>
      <c r="AF7" s="0" t="n">
        <f aca="false">MIN(X7,N('Debt Payoff'!E15))</f>
        <v>0</v>
      </c>
      <c r="AG7" s="0" t="n">
        <f aca="false">MIN(Y7,N('Debt Payoff'!E16))</f>
        <v>0</v>
      </c>
      <c r="AH7" s="0" t="n">
        <f aca="false">R7-Z7</f>
        <v>3179.77606016667</v>
      </c>
      <c r="AI7" s="0" t="n">
        <f aca="false">S7-AA7</f>
        <v>1259.48251508333</v>
      </c>
      <c r="AJ7" s="0" t="n">
        <f aca="false">T7-AB7</f>
        <v>8643.52551</v>
      </c>
      <c r="AK7" s="0" t="n">
        <f aca="false">U7-AC7</f>
        <v>14027.9916083333</v>
      </c>
      <c r="AL7" s="0" t="n">
        <f aca="false">V7-AD7</f>
        <v>0</v>
      </c>
      <c r="AM7" s="0" t="n">
        <f aca="false">W7-AE7</f>
        <v>0</v>
      </c>
      <c r="AN7" s="0" t="n">
        <f aca="false">X7-AF7</f>
        <v>0</v>
      </c>
      <c r="AO7" s="0" t="n">
        <f aca="false">Y7-AG7</f>
        <v>0</v>
      </c>
      <c r="AP7" s="0" t="n">
        <f aca="false">MAX(0,'Debt Payoff'!$D$17-SUM(Z7:AG7))</f>
        <v>200</v>
      </c>
      <c r="AQ7" s="0" t="n">
        <f aca="false">MIN(AH7,MAX(0,$AP7-SUMPRODUCT(($AH$1:$AO$1&lt;AH$1)*$AH7:$AO7)))</f>
        <v>200</v>
      </c>
      <c r="AR7" s="0" t="n">
        <f aca="false">MIN(AI7,MAX(0,$AP7-SUMPRODUCT(($AH$1:$AO$1&lt;AI$1)*$AH7:$AO7)))</f>
        <v>0</v>
      </c>
      <c r="AS7" s="0" t="n">
        <f aca="false">MIN(AJ7,MAX(0,$AP7-SUMPRODUCT(($AH$1:$AO$1&lt;AJ$1)*$AH7:$AO7)))</f>
        <v>0</v>
      </c>
      <c r="AT7" s="0" t="n">
        <f aca="false">MIN(AK7,MAX(0,$AP7-SUMPRODUCT(($AH$1:$AO$1&lt;AK$1)*$AH7:$AO7)))</f>
        <v>0</v>
      </c>
      <c r="AU7" s="0" t="n">
        <f aca="false">MIN(AL7,MAX(0,$AP7-SUMPRODUCT(($AH$1:$AO$1&lt;AL$1)*$AH7:$AO7)))</f>
        <v>0</v>
      </c>
      <c r="AV7" s="0" t="n">
        <f aca="false">MIN(AM7,MAX(0,$AP7-SUMPRODUCT(($AH$1:$AO$1&lt;AM$1)*$AH7:$AO7)))</f>
        <v>0</v>
      </c>
      <c r="AW7" s="0" t="n">
        <f aca="false">MIN(AN7,MAX(0,$AP7-SUMPRODUCT(($AH$1:$AO$1&lt;AN$1)*$AH7:$AO7)))</f>
        <v>0</v>
      </c>
      <c r="AX7" s="0" t="n">
        <f aca="false">MIN(AO7,MAX(0,$AP7-SUMPRODUCT(($AH$1:$AO$1&lt;AO$1)*$AH7:$AO7)))</f>
        <v>0</v>
      </c>
      <c r="AY7" s="0" t="n">
        <f aca="false">ROUND(AH7-AQ7,2)</f>
        <v>2979.78</v>
      </c>
      <c r="AZ7" s="0" t="n">
        <f aca="false">ROUND(AI7-AR7,2)</f>
        <v>1259.48</v>
      </c>
      <c r="BA7" s="0" t="n">
        <f aca="false">ROUND(AJ7-AS7,2)</f>
        <v>8643.53</v>
      </c>
      <c r="BB7" s="0" t="n">
        <f aca="false">ROUND(AK7-AT7,2)</f>
        <v>14027.99</v>
      </c>
      <c r="BC7" s="0" t="n">
        <f aca="false">ROUND(AL7-AU7,2)</f>
        <v>0</v>
      </c>
      <c r="BD7" s="0" t="n">
        <f aca="false">ROUND(AM7-AV7,2)</f>
        <v>0</v>
      </c>
      <c r="BE7" s="0" t="n">
        <f aca="false">ROUND(AN7-AW7,2)</f>
        <v>0</v>
      </c>
      <c r="BF7" s="0" t="n">
        <f aca="false">ROUND(AO7-AX7,2)</f>
        <v>0</v>
      </c>
      <c r="BG7" s="0" t="n">
        <f aca="false">SUM(AY7:BF7)</f>
        <v>26910.78</v>
      </c>
    </row>
    <row r="8" customFormat="false" ht="15" hidden="false" customHeight="false" outlineLevel="0" collapsed="false">
      <c r="A8" s="0" t="n">
        <v>6</v>
      </c>
      <c r="B8" s="0" t="n">
        <f aca="false">AY7</f>
        <v>2979.78</v>
      </c>
      <c r="C8" s="0" t="n">
        <f aca="false">AZ7</f>
        <v>1259.48</v>
      </c>
      <c r="D8" s="0" t="n">
        <f aca="false">BA7</f>
        <v>8643.53</v>
      </c>
      <c r="E8" s="0" t="n">
        <f aca="false">BB7</f>
        <v>14027.99</v>
      </c>
      <c r="F8" s="0" t="n">
        <f aca="false">BC7</f>
        <v>0</v>
      </c>
      <c r="G8" s="0" t="n">
        <f aca="false">BD7</f>
        <v>0</v>
      </c>
      <c r="H8" s="0" t="n">
        <f aca="false">BE7</f>
        <v>0</v>
      </c>
      <c r="I8" s="0" t="n">
        <f aca="false">BF7</f>
        <v>0</v>
      </c>
      <c r="J8" s="0" t="n">
        <f aca="false">B8*N('Debt Payoff'!D9)/12</f>
        <v>60.8123435</v>
      </c>
      <c r="K8" s="0" t="n">
        <f aca="false">C8*N('Debt Payoff'!D10)/12</f>
        <v>20.9808376666667</v>
      </c>
      <c r="L8" s="0" t="n">
        <f aca="false">D8*N('Debt Payoff'!D11)/12</f>
        <v>49.7002975</v>
      </c>
      <c r="M8" s="0" t="n">
        <f aca="false">E8*N('Debt Payoff'!D12)/12</f>
        <v>64.2949541666667</v>
      </c>
      <c r="N8" s="0" t="n">
        <f aca="false">F8*N('Debt Payoff'!D13)/12</f>
        <v>0</v>
      </c>
      <c r="O8" s="0" t="n">
        <f aca="false">G8*N('Debt Payoff'!D14)/12</f>
        <v>0</v>
      </c>
      <c r="P8" s="0" t="n">
        <f aca="false">H8*N('Debt Payoff'!D15)/12</f>
        <v>0</v>
      </c>
      <c r="Q8" s="0" t="n">
        <f aca="false">I8*N('Debt Payoff'!D16)/12</f>
        <v>0</v>
      </c>
      <c r="R8" s="0" t="n">
        <f aca="false">B8+J8</f>
        <v>3040.5923435</v>
      </c>
      <c r="S8" s="0" t="n">
        <f aca="false">C8+K8</f>
        <v>1280.46083766667</v>
      </c>
      <c r="T8" s="0" t="n">
        <f aca="false">D8+L8</f>
        <v>8693.2302975</v>
      </c>
      <c r="U8" s="0" t="n">
        <f aca="false">E8+M8</f>
        <v>14092.2849541667</v>
      </c>
      <c r="V8" s="0" t="n">
        <f aca="false">F8+N8</f>
        <v>0</v>
      </c>
      <c r="W8" s="0" t="n">
        <f aca="false">G8+O8</f>
        <v>0</v>
      </c>
      <c r="X8" s="0" t="n">
        <f aca="false">H8+P8</f>
        <v>0</v>
      </c>
      <c r="Y8" s="0" t="n">
        <f aca="false">I8+Q8</f>
        <v>0</v>
      </c>
      <c r="Z8" s="0" t="n">
        <f aca="false">MIN(R8,N('Debt Payoff'!E9))</f>
        <v>120</v>
      </c>
      <c r="AA8" s="0" t="n">
        <f aca="false">MIN(S8,N('Debt Payoff'!E10))</f>
        <v>40</v>
      </c>
      <c r="AB8" s="0" t="n">
        <f aca="false">MIN(T8,N('Debt Payoff'!E11))</f>
        <v>285</v>
      </c>
      <c r="AC8" s="0" t="n">
        <f aca="false">MIN(U8,N('Debt Payoff'!E12))</f>
        <v>160</v>
      </c>
      <c r="AD8" s="0" t="n">
        <f aca="false">MIN(V8,N('Debt Payoff'!E13))</f>
        <v>0</v>
      </c>
      <c r="AE8" s="0" t="n">
        <f aca="false">MIN(W8,N('Debt Payoff'!E14))</f>
        <v>0</v>
      </c>
      <c r="AF8" s="0" t="n">
        <f aca="false">MIN(X8,N('Debt Payoff'!E15))</f>
        <v>0</v>
      </c>
      <c r="AG8" s="0" t="n">
        <f aca="false">MIN(Y8,N('Debt Payoff'!E16))</f>
        <v>0</v>
      </c>
      <c r="AH8" s="0" t="n">
        <f aca="false">R8-Z8</f>
        <v>2920.5923435</v>
      </c>
      <c r="AI8" s="0" t="n">
        <f aca="false">S8-AA8</f>
        <v>1240.46083766667</v>
      </c>
      <c r="AJ8" s="0" t="n">
        <f aca="false">T8-AB8</f>
        <v>8408.2302975</v>
      </c>
      <c r="AK8" s="0" t="n">
        <f aca="false">U8-AC8</f>
        <v>13932.2849541667</v>
      </c>
      <c r="AL8" s="0" t="n">
        <f aca="false">V8-AD8</f>
        <v>0</v>
      </c>
      <c r="AM8" s="0" t="n">
        <f aca="false">W8-AE8</f>
        <v>0</v>
      </c>
      <c r="AN8" s="0" t="n">
        <f aca="false">X8-AF8</f>
        <v>0</v>
      </c>
      <c r="AO8" s="0" t="n">
        <f aca="false">Y8-AG8</f>
        <v>0</v>
      </c>
      <c r="AP8" s="0" t="n">
        <f aca="false">MAX(0,'Debt Payoff'!$D$17-SUM(Z8:AG8))</f>
        <v>200</v>
      </c>
      <c r="AQ8" s="0" t="n">
        <f aca="false">MIN(AH8,MAX(0,$AP8-SUMPRODUCT(($AH$1:$AO$1&lt;AH$1)*$AH8:$AO8)))</f>
        <v>200</v>
      </c>
      <c r="AR8" s="0" t="n">
        <f aca="false">MIN(AI8,MAX(0,$AP8-SUMPRODUCT(($AH$1:$AO$1&lt;AI$1)*$AH8:$AO8)))</f>
        <v>0</v>
      </c>
      <c r="AS8" s="0" t="n">
        <f aca="false">MIN(AJ8,MAX(0,$AP8-SUMPRODUCT(($AH$1:$AO$1&lt;AJ$1)*$AH8:$AO8)))</f>
        <v>0</v>
      </c>
      <c r="AT8" s="0" t="n">
        <f aca="false">MIN(AK8,MAX(0,$AP8-SUMPRODUCT(($AH$1:$AO$1&lt;AK$1)*$AH8:$AO8)))</f>
        <v>0</v>
      </c>
      <c r="AU8" s="0" t="n">
        <f aca="false">MIN(AL8,MAX(0,$AP8-SUMPRODUCT(($AH$1:$AO$1&lt;AL$1)*$AH8:$AO8)))</f>
        <v>0</v>
      </c>
      <c r="AV8" s="0" t="n">
        <f aca="false">MIN(AM8,MAX(0,$AP8-SUMPRODUCT(($AH$1:$AO$1&lt;AM$1)*$AH8:$AO8)))</f>
        <v>0</v>
      </c>
      <c r="AW8" s="0" t="n">
        <f aca="false">MIN(AN8,MAX(0,$AP8-SUMPRODUCT(($AH$1:$AO$1&lt;AN$1)*$AH8:$AO8)))</f>
        <v>0</v>
      </c>
      <c r="AX8" s="0" t="n">
        <f aca="false">MIN(AO8,MAX(0,$AP8-SUMPRODUCT(($AH$1:$AO$1&lt;AO$1)*$AH8:$AO8)))</f>
        <v>0</v>
      </c>
      <c r="AY8" s="0" t="n">
        <f aca="false">ROUND(AH8-AQ8,2)</f>
        <v>2720.59</v>
      </c>
      <c r="AZ8" s="0" t="n">
        <f aca="false">ROUND(AI8-AR8,2)</f>
        <v>1240.46</v>
      </c>
      <c r="BA8" s="0" t="n">
        <f aca="false">ROUND(AJ8-AS8,2)</f>
        <v>8408.23</v>
      </c>
      <c r="BB8" s="0" t="n">
        <f aca="false">ROUND(AK8-AT8,2)</f>
        <v>13932.28</v>
      </c>
      <c r="BC8" s="0" t="n">
        <f aca="false">ROUND(AL8-AU8,2)</f>
        <v>0</v>
      </c>
      <c r="BD8" s="0" t="n">
        <f aca="false">ROUND(AM8-AV8,2)</f>
        <v>0</v>
      </c>
      <c r="BE8" s="0" t="n">
        <f aca="false">ROUND(AN8-AW8,2)</f>
        <v>0</v>
      </c>
      <c r="BF8" s="0" t="n">
        <f aca="false">ROUND(AO8-AX8,2)</f>
        <v>0</v>
      </c>
      <c r="BG8" s="0" t="n">
        <f aca="false">SUM(AY8:BF8)</f>
        <v>26301.56</v>
      </c>
    </row>
    <row r="9" customFormat="false" ht="15" hidden="false" customHeight="false" outlineLevel="0" collapsed="false">
      <c r="A9" s="0" t="n">
        <v>7</v>
      </c>
      <c r="B9" s="0" t="n">
        <f aca="false">AY8</f>
        <v>2720.59</v>
      </c>
      <c r="C9" s="0" t="n">
        <f aca="false">AZ8</f>
        <v>1240.46</v>
      </c>
      <c r="D9" s="0" t="n">
        <f aca="false">BA8</f>
        <v>8408.23</v>
      </c>
      <c r="E9" s="0" t="n">
        <f aca="false">BB8</f>
        <v>13932.28</v>
      </c>
      <c r="F9" s="0" t="n">
        <f aca="false">BC8</f>
        <v>0</v>
      </c>
      <c r="G9" s="0" t="n">
        <f aca="false">BD8</f>
        <v>0</v>
      </c>
      <c r="H9" s="0" t="n">
        <f aca="false">BE8</f>
        <v>0</v>
      </c>
      <c r="I9" s="0" t="n">
        <f aca="false">BF8</f>
        <v>0</v>
      </c>
      <c r="J9" s="0" t="n">
        <f aca="false">B9*N('Debt Payoff'!D9)/12</f>
        <v>55.5227075833333</v>
      </c>
      <c r="K9" s="0" t="n">
        <f aca="false">C9*N('Debt Payoff'!D10)/12</f>
        <v>20.6639961666667</v>
      </c>
      <c r="L9" s="0" t="n">
        <f aca="false">D9*N('Debt Payoff'!D11)/12</f>
        <v>48.3473225</v>
      </c>
      <c r="M9" s="0" t="n">
        <f aca="false">E9*N('Debt Payoff'!D12)/12</f>
        <v>63.8562833333333</v>
      </c>
      <c r="N9" s="0" t="n">
        <f aca="false">F9*N('Debt Payoff'!D13)/12</f>
        <v>0</v>
      </c>
      <c r="O9" s="0" t="n">
        <f aca="false">G9*N('Debt Payoff'!D14)/12</f>
        <v>0</v>
      </c>
      <c r="P9" s="0" t="n">
        <f aca="false">H9*N('Debt Payoff'!D15)/12</f>
        <v>0</v>
      </c>
      <c r="Q9" s="0" t="n">
        <f aca="false">I9*N('Debt Payoff'!D16)/12</f>
        <v>0</v>
      </c>
      <c r="R9" s="0" t="n">
        <f aca="false">B9+J9</f>
        <v>2776.11270758333</v>
      </c>
      <c r="S9" s="0" t="n">
        <f aca="false">C9+K9</f>
        <v>1261.12399616667</v>
      </c>
      <c r="T9" s="0" t="n">
        <f aca="false">D9+L9</f>
        <v>8456.5773225</v>
      </c>
      <c r="U9" s="0" t="n">
        <f aca="false">E9+M9</f>
        <v>13996.1362833333</v>
      </c>
      <c r="V9" s="0" t="n">
        <f aca="false">F9+N9</f>
        <v>0</v>
      </c>
      <c r="W9" s="0" t="n">
        <f aca="false">G9+O9</f>
        <v>0</v>
      </c>
      <c r="X9" s="0" t="n">
        <f aca="false">H9+P9</f>
        <v>0</v>
      </c>
      <c r="Y9" s="0" t="n">
        <f aca="false">I9+Q9</f>
        <v>0</v>
      </c>
      <c r="Z9" s="0" t="n">
        <f aca="false">MIN(R9,N('Debt Payoff'!E9))</f>
        <v>120</v>
      </c>
      <c r="AA9" s="0" t="n">
        <f aca="false">MIN(S9,N('Debt Payoff'!E10))</f>
        <v>40</v>
      </c>
      <c r="AB9" s="0" t="n">
        <f aca="false">MIN(T9,N('Debt Payoff'!E11))</f>
        <v>285</v>
      </c>
      <c r="AC9" s="0" t="n">
        <f aca="false">MIN(U9,N('Debt Payoff'!E12))</f>
        <v>160</v>
      </c>
      <c r="AD9" s="0" t="n">
        <f aca="false">MIN(V9,N('Debt Payoff'!E13))</f>
        <v>0</v>
      </c>
      <c r="AE9" s="0" t="n">
        <f aca="false">MIN(W9,N('Debt Payoff'!E14))</f>
        <v>0</v>
      </c>
      <c r="AF9" s="0" t="n">
        <f aca="false">MIN(X9,N('Debt Payoff'!E15))</f>
        <v>0</v>
      </c>
      <c r="AG9" s="0" t="n">
        <f aca="false">MIN(Y9,N('Debt Payoff'!E16))</f>
        <v>0</v>
      </c>
      <c r="AH9" s="0" t="n">
        <f aca="false">R9-Z9</f>
        <v>2656.11270758333</v>
      </c>
      <c r="AI9" s="0" t="n">
        <f aca="false">S9-AA9</f>
        <v>1221.12399616667</v>
      </c>
      <c r="AJ9" s="0" t="n">
        <f aca="false">T9-AB9</f>
        <v>8171.5773225</v>
      </c>
      <c r="AK9" s="0" t="n">
        <f aca="false">U9-AC9</f>
        <v>13836.1362833333</v>
      </c>
      <c r="AL9" s="0" t="n">
        <f aca="false">V9-AD9</f>
        <v>0</v>
      </c>
      <c r="AM9" s="0" t="n">
        <f aca="false">W9-AE9</f>
        <v>0</v>
      </c>
      <c r="AN9" s="0" t="n">
        <f aca="false">X9-AF9</f>
        <v>0</v>
      </c>
      <c r="AO9" s="0" t="n">
        <f aca="false">Y9-AG9</f>
        <v>0</v>
      </c>
      <c r="AP9" s="0" t="n">
        <f aca="false">MAX(0,'Debt Payoff'!$D$17-SUM(Z9:AG9))</f>
        <v>200</v>
      </c>
      <c r="AQ9" s="0" t="n">
        <f aca="false">MIN(AH9,MAX(0,$AP9-SUMPRODUCT(($AH$1:$AO$1&lt;AH$1)*$AH9:$AO9)))</f>
        <v>200</v>
      </c>
      <c r="AR9" s="0" t="n">
        <f aca="false">MIN(AI9,MAX(0,$AP9-SUMPRODUCT(($AH$1:$AO$1&lt;AI$1)*$AH9:$AO9)))</f>
        <v>0</v>
      </c>
      <c r="AS9" s="0" t="n">
        <f aca="false">MIN(AJ9,MAX(0,$AP9-SUMPRODUCT(($AH$1:$AO$1&lt;AJ$1)*$AH9:$AO9)))</f>
        <v>0</v>
      </c>
      <c r="AT9" s="0" t="n">
        <f aca="false">MIN(AK9,MAX(0,$AP9-SUMPRODUCT(($AH$1:$AO$1&lt;AK$1)*$AH9:$AO9)))</f>
        <v>0</v>
      </c>
      <c r="AU9" s="0" t="n">
        <f aca="false">MIN(AL9,MAX(0,$AP9-SUMPRODUCT(($AH$1:$AO$1&lt;AL$1)*$AH9:$AO9)))</f>
        <v>0</v>
      </c>
      <c r="AV9" s="0" t="n">
        <f aca="false">MIN(AM9,MAX(0,$AP9-SUMPRODUCT(($AH$1:$AO$1&lt;AM$1)*$AH9:$AO9)))</f>
        <v>0</v>
      </c>
      <c r="AW9" s="0" t="n">
        <f aca="false">MIN(AN9,MAX(0,$AP9-SUMPRODUCT(($AH$1:$AO$1&lt;AN$1)*$AH9:$AO9)))</f>
        <v>0</v>
      </c>
      <c r="AX9" s="0" t="n">
        <f aca="false">MIN(AO9,MAX(0,$AP9-SUMPRODUCT(($AH$1:$AO$1&lt;AO$1)*$AH9:$AO9)))</f>
        <v>0</v>
      </c>
      <c r="AY9" s="0" t="n">
        <f aca="false">ROUND(AH9-AQ9,2)</f>
        <v>2456.11</v>
      </c>
      <c r="AZ9" s="0" t="n">
        <f aca="false">ROUND(AI9-AR9,2)</f>
        <v>1221.12</v>
      </c>
      <c r="BA9" s="0" t="n">
        <f aca="false">ROUND(AJ9-AS9,2)</f>
        <v>8171.58</v>
      </c>
      <c r="BB9" s="0" t="n">
        <f aca="false">ROUND(AK9-AT9,2)</f>
        <v>13836.14</v>
      </c>
      <c r="BC9" s="0" t="n">
        <f aca="false">ROUND(AL9-AU9,2)</f>
        <v>0</v>
      </c>
      <c r="BD9" s="0" t="n">
        <f aca="false">ROUND(AM9-AV9,2)</f>
        <v>0</v>
      </c>
      <c r="BE9" s="0" t="n">
        <f aca="false">ROUND(AN9-AW9,2)</f>
        <v>0</v>
      </c>
      <c r="BF9" s="0" t="n">
        <f aca="false">ROUND(AO9-AX9,2)</f>
        <v>0</v>
      </c>
      <c r="BG9" s="0" t="n">
        <f aca="false">SUM(AY9:BF9)</f>
        <v>25684.95</v>
      </c>
    </row>
    <row r="10" customFormat="false" ht="15" hidden="false" customHeight="false" outlineLevel="0" collapsed="false">
      <c r="A10" s="0" t="n">
        <v>8</v>
      </c>
      <c r="B10" s="0" t="n">
        <f aca="false">AY9</f>
        <v>2456.11</v>
      </c>
      <c r="C10" s="0" t="n">
        <f aca="false">AZ9</f>
        <v>1221.12</v>
      </c>
      <c r="D10" s="0" t="n">
        <f aca="false">BA9</f>
        <v>8171.58</v>
      </c>
      <c r="E10" s="0" t="n">
        <f aca="false">BB9</f>
        <v>13836.14</v>
      </c>
      <c r="F10" s="0" t="n">
        <f aca="false">BC9</f>
        <v>0</v>
      </c>
      <c r="G10" s="0" t="n">
        <f aca="false">BD9</f>
        <v>0</v>
      </c>
      <c r="H10" s="0" t="n">
        <f aca="false">BE9</f>
        <v>0</v>
      </c>
      <c r="I10" s="0" t="n">
        <f aca="false">BF9</f>
        <v>0</v>
      </c>
      <c r="J10" s="0" t="n">
        <f aca="false">B10*N('Debt Payoff'!D9)/12</f>
        <v>50.1251115833333</v>
      </c>
      <c r="K10" s="0" t="n">
        <f aca="false">C10*N('Debt Payoff'!D10)/12</f>
        <v>20.341824</v>
      </c>
      <c r="L10" s="0" t="n">
        <f aca="false">D10*N('Debt Payoff'!D11)/12</f>
        <v>46.986585</v>
      </c>
      <c r="M10" s="0" t="n">
        <f aca="false">E10*N('Debt Payoff'!D12)/12</f>
        <v>63.4156416666667</v>
      </c>
      <c r="N10" s="0" t="n">
        <f aca="false">F10*N('Debt Payoff'!D13)/12</f>
        <v>0</v>
      </c>
      <c r="O10" s="0" t="n">
        <f aca="false">G10*N('Debt Payoff'!D14)/12</f>
        <v>0</v>
      </c>
      <c r="P10" s="0" t="n">
        <f aca="false">H10*N('Debt Payoff'!D15)/12</f>
        <v>0</v>
      </c>
      <c r="Q10" s="0" t="n">
        <f aca="false">I10*N('Debt Payoff'!D16)/12</f>
        <v>0</v>
      </c>
      <c r="R10" s="0" t="n">
        <f aca="false">B10+J10</f>
        <v>2506.23511158333</v>
      </c>
      <c r="S10" s="0" t="n">
        <f aca="false">C10+K10</f>
        <v>1241.461824</v>
      </c>
      <c r="T10" s="0" t="n">
        <f aca="false">D10+L10</f>
        <v>8218.566585</v>
      </c>
      <c r="U10" s="0" t="n">
        <f aca="false">E10+M10</f>
        <v>13899.5556416667</v>
      </c>
      <c r="V10" s="0" t="n">
        <f aca="false">F10+N10</f>
        <v>0</v>
      </c>
      <c r="W10" s="0" t="n">
        <f aca="false">G10+O10</f>
        <v>0</v>
      </c>
      <c r="X10" s="0" t="n">
        <f aca="false">H10+P10</f>
        <v>0</v>
      </c>
      <c r="Y10" s="0" t="n">
        <f aca="false">I10+Q10</f>
        <v>0</v>
      </c>
      <c r="Z10" s="0" t="n">
        <f aca="false">MIN(R10,N('Debt Payoff'!E9))</f>
        <v>120</v>
      </c>
      <c r="AA10" s="0" t="n">
        <f aca="false">MIN(S10,N('Debt Payoff'!E10))</f>
        <v>40</v>
      </c>
      <c r="AB10" s="0" t="n">
        <f aca="false">MIN(T10,N('Debt Payoff'!E11))</f>
        <v>285</v>
      </c>
      <c r="AC10" s="0" t="n">
        <f aca="false">MIN(U10,N('Debt Payoff'!E12))</f>
        <v>160</v>
      </c>
      <c r="AD10" s="0" t="n">
        <f aca="false">MIN(V10,N('Debt Payoff'!E13))</f>
        <v>0</v>
      </c>
      <c r="AE10" s="0" t="n">
        <f aca="false">MIN(W10,N('Debt Payoff'!E14))</f>
        <v>0</v>
      </c>
      <c r="AF10" s="0" t="n">
        <f aca="false">MIN(X10,N('Debt Payoff'!E15))</f>
        <v>0</v>
      </c>
      <c r="AG10" s="0" t="n">
        <f aca="false">MIN(Y10,N('Debt Payoff'!E16))</f>
        <v>0</v>
      </c>
      <c r="AH10" s="0" t="n">
        <f aca="false">R10-Z10</f>
        <v>2386.23511158333</v>
      </c>
      <c r="AI10" s="0" t="n">
        <f aca="false">S10-AA10</f>
        <v>1201.461824</v>
      </c>
      <c r="AJ10" s="0" t="n">
        <f aca="false">T10-AB10</f>
        <v>7933.566585</v>
      </c>
      <c r="AK10" s="0" t="n">
        <f aca="false">U10-AC10</f>
        <v>13739.5556416667</v>
      </c>
      <c r="AL10" s="0" t="n">
        <f aca="false">V10-AD10</f>
        <v>0</v>
      </c>
      <c r="AM10" s="0" t="n">
        <f aca="false">W10-AE10</f>
        <v>0</v>
      </c>
      <c r="AN10" s="0" t="n">
        <f aca="false">X10-AF10</f>
        <v>0</v>
      </c>
      <c r="AO10" s="0" t="n">
        <f aca="false">Y10-AG10</f>
        <v>0</v>
      </c>
      <c r="AP10" s="0" t="n">
        <f aca="false">MAX(0,'Debt Payoff'!$D$17-SUM(Z10:AG10))</f>
        <v>200</v>
      </c>
      <c r="AQ10" s="0" t="n">
        <f aca="false">MIN(AH10,MAX(0,$AP10-SUMPRODUCT(($AH$1:$AO$1&lt;AH$1)*$AH10:$AO10)))</f>
        <v>200</v>
      </c>
      <c r="AR10" s="0" t="n">
        <f aca="false">MIN(AI10,MAX(0,$AP10-SUMPRODUCT(($AH$1:$AO$1&lt;AI$1)*$AH10:$AO10)))</f>
        <v>0</v>
      </c>
      <c r="AS10" s="0" t="n">
        <f aca="false">MIN(AJ10,MAX(0,$AP10-SUMPRODUCT(($AH$1:$AO$1&lt;AJ$1)*$AH10:$AO10)))</f>
        <v>0</v>
      </c>
      <c r="AT10" s="0" t="n">
        <f aca="false">MIN(AK10,MAX(0,$AP10-SUMPRODUCT(($AH$1:$AO$1&lt;AK$1)*$AH10:$AO10)))</f>
        <v>0</v>
      </c>
      <c r="AU10" s="0" t="n">
        <f aca="false">MIN(AL10,MAX(0,$AP10-SUMPRODUCT(($AH$1:$AO$1&lt;AL$1)*$AH10:$AO10)))</f>
        <v>0</v>
      </c>
      <c r="AV10" s="0" t="n">
        <f aca="false">MIN(AM10,MAX(0,$AP10-SUMPRODUCT(($AH$1:$AO$1&lt;AM$1)*$AH10:$AO10)))</f>
        <v>0</v>
      </c>
      <c r="AW10" s="0" t="n">
        <f aca="false">MIN(AN10,MAX(0,$AP10-SUMPRODUCT(($AH$1:$AO$1&lt;AN$1)*$AH10:$AO10)))</f>
        <v>0</v>
      </c>
      <c r="AX10" s="0" t="n">
        <f aca="false">MIN(AO10,MAX(0,$AP10-SUMPRODUCT(($AH$1:$AO$1&lt;AO$1)*$AH10:$AO10)))</f>
        <v>0</v>
      </c>
      <c r="AY10" s="0" t="n">
        <f aca="false">ROUND(AH10-AQ10,2)</f>
        <v>2186.24</v>
      </c>
      <c r="AZ10" s="0" t="n">
        <f aca="false">ROUND(AI10-AR10,2)</f>
        <v>1201.46</v>
      </c>
      <c r="BA10" s="0" t="n">
        <f aca="false">ROUND(AJ10-AS10,2)</f>
        <v>7933.57</v>
      </c>
      <c r="BB10" s="0" t="n">
        <f aca="false">ROUND(AK10-AT10,2)</f>
        <v>13739.56</v>
      </c>
      <c r="BC10" s="0" t="n">
        <f aca="false">ROUND(AL10-AU10,2)</f>
        <v>0</v>
      </c>
      <c r="BD10" s="0" t="n">
        <f aca="false">ROUND(AM10-AV10,2)</f>
        <v>0</v>
      </c>
      <c r="BE10" s="0" t="n">
        <f aca="false">ROUND(AN10-AW10,2)</f>
        <v>0</v>
      </c>
      <c r="BF10" s="0" t="n">
        <f aca="false">ROUND(AO10-AX10,2)</f>
        <v>0</v>
      </c>
      <c r="BG10" s="0" t="n">
        <f aca="false">SUM(AY10:BF10)</f>
        <v>25060.83</v>
      </c>
    </row>
    <row r="11" customFormat="false" ht="15" hidden="false" customHeight="false" outlineLevel="0" collapsed="false">
      <c r="A11" s="0" t="n">
        <v>9</v>
      </c>
      <c r="B11" s="0" t="n">
        <f aca="false">AY10</f>
        <v>2186.24</v>
      </c>
      <c r="C11" s="0" t="n">
        <f aca="false">AZ10</f>
        <v>1201.46</v>
      </c>
      <c r="D11" s="0" t="n">
        <f aca="false">BA10</f>
        <v>7933.57</v>
      </c>
      <c r="E11" s="0" t="n">
        <f aca="false">BB10</f>
        <v>13739.56</v>
      </c>
      <c r="F11" s="0" t="n">
        <f aca="false">BC10</f>
        <v>0</v>
      </c>
      <c r="G11" s="0" t="n">
        <f aca="false">BD10</f>
        <v>0</v>
      </c>
      <c r="H11" s="0" t="n">
        <f aca="false">BE10</f>
        <v>0</v>
      </c>
      <c r="I11" s="0" t="n">
        <f aca="false">BF10</f>
        <v>0</v>
      </c>
      <c r="J11" s="0" t="n">
        <f aca="false">B11*N('Debt Payoff'!D9)/12</f>
        <v>44.6175146666667</v>
      </c>
      <c r="K11" s="0" t="n">
        <f aca="false">C11*N('Debt Payoff'!D10)/12</f>
        <v>20.0143211666667</v>
      </c>
      <c r="L11" s="0" t="n">
        <f aca="false">D11*N('Debt Payoff'!D11)/12</f>
        <v>45.6180275</v>
      </c>
      <c r="M11" s="0" t="n">
        <f aca="false">E11*N('Debt Payoff'!D12)/12</f>
        <v>62.9729833333333</v>
      </c>
      <c r="N11" s="0" t="n">
        <f aca="false">F11*N('Debt Payoff'!D13)/12</f>
        <v>0</v>
      </c>
      <c r="O11" s="0" t="n">
        <f aca="false">G11*N('Debt Payoff'!D14)/12</f>
        <v>0</v>
      </c>
      <c r="P11" s="0" t="n">
        <f aca="false">H11*N('Debt Payoff'!D15)/12</f>
        <v>0</v>
      </c>
      <c r="Q11" s="0" t="n">
        <f aca="false">I11*N('Debt Payoff'!D16)/12</f>
        <v>0</v>
      </c>
      <c r="R11" s="0" t="n">
        <f aca="false">B11+J11</f>
        <v>2230.85751466667</v>
      </c>
      <c r="S11" s="0" t="n">
        <f aca="false">C11+K11</f>
        <v>1221.47432116667</v>
      </c>
      <c r="T11" s="0" t="n">
        <f aca="false">D11+L11</f>
        <v>7979.1880275</v>
      </c>
      <c r="U11" s="0" t="n">
        <f aca="false">E11+M11</f>
        <v>13802.5329833333</v>
      </c>
      <c r="V11" s="0" t="n">
        <f aca="false">F11+N11</f>
        <v>0</v>
      </c>
      <c r="W11" s="0" t="n">
        <f aca="false">G11+O11</f>
        <v>0</v>
      </c>
      <c r="X11" s="0" t="n">
        <f aca="false">H11+P11</f>
        <v>0</v>
      </c>
      <c r="Y11" s="0" t="n">
        <f aca="false">I11+Q11</f>
        <v>0</v>
      </c>
      <c r="Z11" s="0" t="n">
        <f aca="false">MIN(R11,N('Debt Payoff'!E9))</f>
        <v>120</v>
      </c>
      <c r="AA11" s="0" t="n">
        <f aca="false">MIN(S11,N('Debt Payoff'!E10))</f>
        <v>40</v>
      </c>
      <c r="AB11" s="0" t="n">
        <f aca="false">MIN(T11,N('Debt Payoff'!E11))</f>
        <v>285</v>
      </c>
      <c r="AC11" s="0" t="n">
        <f aca="false">MIN(U11,N('Debt Payoff'!E12))</f>
        <v>160</v>
      </c>
      <c r="AD11" s="0" t="n">
        <f aca="false">MIN(V11,N('Debt Payoff'!E13))</f>
        <v>0</v>
      </c>
      <c r="AE11" s="0" t="n">
        <f aca="false">MIN(W11,N('Debt Payoff'!E14))</f>
        <v>0</v>
      </c>
      <c r="AF11" s="0" t="n">
        <f aca="false">MIN(X11,N('Debt Payoff'!E15))</f>
        <v>0</v>
      </c>
      <c r="AG11" s="0" t="n">
        <f aca="false">MIN(Y11,N('Debt Payoff'!E16))</f>
        <v>0</v>
      </c>
      <c r="AH11" s="0" t="n">
        <f aca="false">R11-Z11</f>
        <v>2110.85751466667</v>
      </c>
      <c r="AI11" s="0" t="n">
        <f aca="false">S11-AA11</f>
        <v>1181.47432116667</v>
      </c>
      <c r="AJ11" s="0" t="n">
        <f aca="false">T11-AB11</f>
        <v>7694.1880275</v>
      </c>
      <c r="AK11" s="0" t="n">
        <f aca="false">U11-AC11</f>
        <v>13642.5329833333</v>
      </c>
      <c r="AL11" s="0" t="n">
        <f aca="false">V11-AD11</f>
        <v>0</v>
      </c>
      <c r="AM11" s="0" t="n">
        <f aca="false">W11-AE11</f>
        <v>0</v>
      </c>
      <c r="AN11" s="0" t="n">
        <f aca="false">X11-AF11</f>
        <v>0</v>
      </c>
      <c r="AO11" s="0" t="n">
        <f aca="false">Y11-AG11</f>
        <v>0</v>
      </c>
      <c r="AP11" s="0" t="n">
        <f aca="false">MAX(0,'Debt Payoff'!$D$17-SUM(Z11:AG11))</f>
        <v>200</v>
      </c>
      <c r="AQ11" s="0" t="n">
        <f aca="false">MIN(AH11,MAX(0,$AP11-SUMPRODUCT(($AH$1:$AO$1&lt;AH$1)*$AH11:$AO11)))</f>
        <v>200</v>
      </c>
      <c r="AR11" s="0" t="n">
        <f aca="false">MIN(AI11,MAX(0,$AP11-SUMPRODUCT(($AH$1:$AO$1&lt;AI$1)*$AH11:$AO11)))</f>
        <v>0</v>
      </c>
      <c r="AS11" s="0" t="n">
        <f aca="false">MIN(AJ11,MAX(0,$AP11-SUMPRODUCT(($AH$1:$AO$1&lt;AJ$1)*$AH11:$AO11)))</f>
        <v>0</v>
      </c>
      <c r="AT11" s="0" t="n">
        <f aca="false">MIN(AK11,MAX(0,$AP11-SUMPRODUCT(($AH$1:$AO$1&lt;AK$1)*$AH11:$AO11)))</f>
        <v>0</v>
      </c>
      <c r="AU11" s="0" t="n">
        <f aca="false">MIN(AL11,MAX(0,$AP11-SUMPRODUCT(($AH$1:$AO$1&lt;AL$1)*$AH11:$AO11)))</f>
        <v>0</v>
      </c>
      <c r="AV11" s="0" t="n">
        <f aca="false">MIN(AM11,MAX(0,$AP11-SUMPRODUCT(($AH$1:$AO$1&lt;AM$1)*$AH11:$AO11)))</f>
        <v>0</v>
      </c>
      <c r="AW11" s="0" t="n">
        <f aca="false">MIN(AN11,MAX(0,$AP11-SUMPRODUCT(($AH$1:$AO$1&lt;AN$1)*$AH11:$AO11)))</f>
        <v>0</v>
      </c>
      <c r="AX11" s="0" t="n">
        <f aca="false">MIN(AO11,MAX(0,$AP11-SUMPRODUCT(($AH$1:$AO$1&lt;AO$1)*$AH11:$AO11)))</f>
        <v>0</v>
      </c>
      <c r="AY11" s="0" t="n">
        <f aca="false">ROUND(AH11-AQ11,2)</f>
        <v>1910.86</v>
      </c>
      <c r="AZ11" s="0" t="n">
        <f aca="false">ROUND(AI11-AR11,2)</f>
        <v>1181.47</v>
      </c>
      <c r="BA11" s="0" t="n">
        <f aca="false">ROUND(AJ11-AS11,2)</f>
        <v>7694.19</v>
      </c>
      <c r="BB11" s="0" t="n">
        <f aca="false">ROUND(AK11-AT11,2)</f>
        <v>13642.53</v>
      </c>
      <c r="BC11" s="0" t="n">
        <f aca="false">ROUND(AL11-AU11,2)</f>
        <v>0</v>
      </c>
      <c r="BD11" s="0" t="n">
        <f aca="false">ROUND(AM11-AV11,2)</f>
        <v>0</v>
      </c>
      <c r="BE11" s="0" t="n">
        <f aca="false">ROUND(AN11-AW11,2)</f>
        <v>0</v>
      </c>
      <c r="BF11" s="0" t="n">
        <f aca="false">ROUND(AO11-AX11,2)</f>
        <v>0</v>
      </c>
      <c r="BG11" s="0" t="n">
        <f aca="false">SUM(AY11:BF11)</f>
        <v>24429.05</v>
      </c>
    </row>
    <row r="12" customFormat="false" ht="15" hidden="false" customHeight="false" outlineLevel="0" collapsed="false">
      <c r="A12" s="0" t="n">
        <v>10</v>
      </c>
      <c r="B12" s="0" t="n">
        <f aca="false">AY11</f>
        <v>1910.86</v>
      </c>
      <c r="C12" s="0" t="n">
        <f aca="false">AZ11</f>
        <v>1181.47</v>
      </c>
      <c r="D12" s="0" t="n">
        <f aca="false">BA11</f>
        <v>7694.19</v>
      </c>
      <c r="E12" s="0" t="n">
        <f aca="false">BB11</f>
        <v>13642.53</v>
      </c>
      <c r="F12" s="0" t="n">
        <f aca="false">BC11</f>
        <v>0</v>
      </c>
      <c r="G12" s="0" t="n">
        <f aca="false">BD11</f>
        <v>0</v>
      </c>
      <c r="H12" s="0" t="n">
        <f aca="false">BE11</f>
        <v>0</v>
      </c>
      <c r="I12" s="0" t="n">
        <f aca="false">BF11</f>
        <v>0</v>
      </c>
      <c r="J12" s="0" t="n">
        <f aca="false">B12*N('Debt Payoff'!D9)/12</f>
        <v>38.9974678333333</v>
      </c>
      <c r="K12" s="0" t="n">
        <f aca="false">C12*N('Debt Payoff'!D10)/12</f>
        <v>19.6813210833333</v>
      </c>
      <c r="L12" s="0" t="n">
        <f aca="false">D12*N('Debt Payoff'!D11)/12</f>
        <v>44.2415925</v>
      </c>
      <c r="M12" s="0" t="n">
        <f aca="false">E12*N('Debt Payoff'!D12)/12</f>
        <v>62.5282625</v>
      </c>
      <c r="N12" s="0" t="n">
        <f aca="false">F12*N('Debt Payoff'!D13)/12</f>
        <v>0</v>
      </c>
      <c r="O12" s="0" t="n">
        <f aca="false">G12*N('Debt Payoff'!D14)/12</f>
        <v>0</v>
      </c>
      <c r="P12" s="0" t="n">
        <f aca="false">H12*N('Debt Payoff'!D15)/12</f>
        <v>0</v>
      </c>
      <c r="Q12" s="0" t="n">
        <f aca="false">I12*N('Debt Payoff'!D16)/12</f>
        <v>0</v>
      </c>
      <c r="R12" s="0" t="n">
        <f aca="false">B12+J12</f>
        <v>1949.85746783333</v>
      </c>
      <c r="S12" s="0" t="n">
        <f aca="false">C12+K12</f>
        <v>1201.15132108333</v>
      </c>
      <c r="T12" s="0" t="n">
        <f aca="false">D12+L12</f>
        <v>7738.4315925</v>
      </c>
      <c r="U12" s="0" t="n">
        <f aca="false">E12+M12</f>
        <v>13705.0582625</v>
      </c>
      <c r="V12" s="0" t="n">
        <f aca="false">F12+N12</f>
        <v>0</v>
      </c>
      <c r="W12" s="0" t="n">
        <f aca="false">G12+O12</f>
        <v>0</v>
      </c>
      <c r="X12" s="0" t="n">
        <f aca="false">H12+P12</f>
        <v>0</v>
      </c>
      <c r="Y12" s="0" t="n">
        <f aca="false">I12+Q12</f>
        <v>0</v>
      </c>
      <c r="Z12" s="0" t="n">
        <f aca="false">MIN(R12,N('Debt Payoff'!E9))</f>
        <v>120</v>
      </c>
      <c r="AA12" s="0" t="n">
        <f aca="false">MIN(S12,N('Debt Payoff'!E10))</f>
        <v>40</v>
      </c>
      <c r="AB12" s="0" t="n">
        <f aca="false">MIN(T12,N('Debt Payoff'!E11))</f>
        <v>285</v>
      </c>
      <c r="AC12" s="0" t="n">
        <f aca="false">MIN(U12,N('Debt Payoff'!E12))</f>
        <v>160</v>
      </c>
      <c r="AD12" s="0" t="n">
        <f aca="false">MIN(V12,N('Debt Payoff'!E13))</f>
        <v>0</v>
      </c>
      <c r="AE12" s="0" t="n">
        <f aca="false">MIN(W12,N('Debt Payoff'!E14))</f>
        <v>0</v>
      </c>
      <c r="AF12" s="0" t="n">
        <f aca="false">MIN(X12,N('Debt Payoff'!E15))</f>
        <v>0</v>
      </c>
      <c r="AG12" s="0" t="n">
        <f aca="false">MIN(Y12,N('Debt Payoff'!E16))</f>
        <v>0</v>
      </c>
      <c r="AH12" s="0" t="n">
        <f aca="false">R12-Z12</f>
        <v>1829.85746783333</v>
      </c>
      <c r="AI12" s="0" t="n">
        <f aca="false">S12-AA12</f>
        <v>1161.15132108333</v>
      </c>
      <c r="AJ12" s="0" t="n">
        <f aca="false">T12-AB12</f>
        <v>7453.4315925</v>
      </c>
      <c r="AK12" s="0" t="n">
        <f aca="false">U12-AC12</f>
        <v>13545.0582625</v>
      </c>
      <c r="AL12" s="0" t="n">
        <f aca="false">V12-AD12</f>
        <v>0</v>
      </c>
      <c r="AM12" s="0" t="n">
        <f aca="false">W12-AE12</f>
        <v>0</v>
      </c>
      <c r="AN12" s="0" t="n">
        <f aca="false">X12-AF12</f>
        <v>0</v>
      </c>
      <c r="AO12" s="0" t="n">
        <f aca="false">Y12-AG12</f>
        <v>0</v>
      </c>
      <c r="AP12" s="0" t="n">
        <f aca="false">MAX(0,'Debt Payoff'!$D$17-SUM(Z12:AG12))</f>
        <v>200</v>
      </c>
      <c r="AQ12" s="0" t="n">
        <f aca="false">MIN(AH12,MAX(0,$AP12-SUMPRODUCT(($AH$1:$AO$1&lt;AH$1)*$AH12:$AO12)))</f>
        <v>200</v>
      </c>
      <c r="AR12" s="0" t="n">
        <f aca="false">MIN(AI12,MAX(0,$AP12-SUMPRODUCT(($AH$1:$AO$1&lt;AI$1)*$AH12:$AO12)))</f>
        <v>0</v>
      </c>
      <c r="AS12" s="0" t="n">
        <f aca="false">MIN(AJ12,MAX(0,$AP12-SUMPRODUCT(($AH$1:$AO$1&lt;AJ$1)*$AH12:$AO12)))</f>
        <v>0</v>
      </c>
      <c r="AT12" s="0" t="n">
        <f aca="false">MIN(AK12,MAX(0,$AP12-SUMPRODUCT(($AH$1:$AO$1&lt;AK$1)*$AH12:$AO12)))</f>
        <v>0</v>
      </c>
      <c r="AU12" s="0" t="n">
        <f aca="false">MIN(AL12,MAX(0,$AP12-SUMPRODUCT(($AH$1:$AO$1&lt;AL$1)*$AH12:$AO12)))</f>
        <v>0</v>
      </c>
      <c r="AV12" s="0" t="n">
        <f aca="false">MIN(AM12,MAX(0,$AP12-SUMPRODUCT(($AH$1:$AO$1&lt;AM$1)*$AH12:$AO12)))</f>
        <v>0</v>
      </c>
      <c r="AW12" s="0" t="n">
        <f aca="false">MIN(AN12,MAX(0,$AP12-SUMPRODUCT(($AH$1:$AO$1&lt;AN$1)*$AH12:$AO12)))</f>
        <v>0</v>
      </c>
      <c r="AX12" s="0" t="n">
        <f aca="false">MIN(AO12,MAX(0,$AP12-SUMPRODUCT(($AH$1:$AO$1&lt;AO$1)*$AH12:$AO12)))</f>
        <v>0</v>
      </c>
      <c r="AY12" s="0" t="n">
        <f aca="false">ROUND(AH12-AQ12,2)</f>
        <v>1629.86</v>
      </c>
      <c r="AZ12" s="0" t="n">
        <f aca="false">ROUND(AI12-AR12,2)</f>
        <v>1161.15</v>
      </c>
      <c r="BA12" s="0" t="n">
        <f aca="false">ROUND(AJ12-AS12,2)</f>
        <v>7453.43</v>
      </c>
      <c r="BB12" s="0" t="n">
        <f aca="false">ROUND(AK12-AT12,2)</f>
        <v>13545.06</v>
      </c>
      <c r="BC12" s="0" t="n">
        <f aca="false">ROUND(AL12-AU12,2)</f>
        <v>0</v>
      </c>
      <c r="BD12" s="0" t="n">
        <f aca="false">ROUND(AM12-AV12,2)</f>
        <v>0</v>
      </c>
      <c r="BE12" s="0" t="n">
        <f aca="false">ROUND(AN12-AW12,2)</f>
        <v>0</v>
      </c>
      <c r="BF12" s="0" t="n">
        <f aca="false">ROUND(AO12-AX12,2)</f>
        <v>0</v>
      </c>
      <c r="BG12" s="0" t="n">
        <f aca="false">SUM(AY12:BF12)</f>
        <v>23789.5</v>
      </c>
    </row>
    <row r="13" customFormat="false" ht="15" hidden="false" customHeight="false" outlineLevel="0" collapsed="false">
      <c r="A13" s="0" t="n">
        <v>11</v>
      </c>
      <c r="B13" s="0" t="n">
        <f aca="false">AY12</f>
        <v>1629.86</v>
      </c>
      <c r="C13" s="0" t="n">
        <f aca="false">AZ12</f>
        <v>1161.15</v>
      </c>
      <c r="D13" s="0" t="n">
        <f aca="false">BA12</f>
        <v>7453.43</v>
      </c>
      <c r="E13" s="0" t="n">
        <f aca="false">BB12</f>
        <v>13545.06</v>
      </c>
      <c r="F13" s="0" t="n">
        <f aca="false">BC12</f>
        <v>0</v>
      </c>
      <c r="G13" s="0" t="n">
        <f aca="false">BD12</f>
        <v>0</v>
      </c>
      <c r="H13" s="0" t="n">
        <f aca="false">BE12</f>
        <v>0</v>
      </c>
      <c r="I13" s="0" t="n">
        <f aca="false">BF12</f>
        <v>0</v>
      </c>
      <c r="J13" s="0" t="n">
        <f aca="false">B13*N('Debt Payoff'!D9)/12</f>
        <v>33.2627261666667</v>
      </c>
      <c r="K13" s="0" t="n">
        <f aca="false">C13*N('Debt Payoff'!D10)/12</f>
        <v>19.34282375</v>
      </c>
      <c r="L13" s="0" t="n">
        <f aca="false">D13*N('Debt Payoff'!D11)/12</f>
        <v>42.8572225</v>
      </c>
      <c r="M13" s="0" t="n">
        <f aca="false">E13*N('Debt Payoff'!D12)/12</f>
        <v>62.081525</v>
      </c>
      <c r="N13" s="0" t="n">
        <f aca="false">F13*N('Debt Payoff'!D13)/12</f>
        <v>0</v>
      </c>
      <c r="O13" s="0" t="n">
        <f aca="false">G13*N('Debt Payoff'!D14)/12</f>
        <v>0</v>
      </c>
      <c r="P13" s="0" t="n">
        <f aca="false">H13*N('Debt Payoff'!D15)/12</f>
        <v>0</v>
      </c>
      <c r="Q13" s="0" t="n">
        <f aca="false">I13*N('Debt Payoff'!D16)/12</f>
        <v>0</v>
      </c>
      <c r="R13" s="0" t="n">
        <f aca="false">B13+J13</f>
        <v>1663.12272616667</v>
      </c>
      <c r="S13" s="0" t="n">
        <f aca="false">C13+K13</f>
        <v>1180.49282375</v>
      </c>
      <c r="T13" s="0" t="n">
        <f aca="false">D13+L13</f>
        <v>7496.2872225</v>
      </c>
      <c r="U13" s="0" t="n">
        <f aca="false">E13+M13</f>
        <v>13607.141525</v>
      </c>
      <c r="V13" s="0" t="n">
        <f aca="false">F13+N13</f>
        <v>0</v>
      </c>
      <c r="W13" s="0" t="n">
        <f aca="false">G13+O13</f>
        <v>0</v>
      </c>
      <c r="X13" s="0" t="n">
        <f aca="false">H13+P13</f>
        <v>0</v>
      </c>
      <c r="Y13" s="0" t="n">
        <f aca="false">I13+Q13</f>
        <v>0</v>
      </c>
      <c r="Z13" s="0" t="n">
        <f aca="false">MIN(R13,N('Debt Payoff'!E9))</f>
        <v>120</v>
      </c>
      <c r="AA13" s="0" t="n">
        <f aca="false">MIN(S13,N('Debt Payoff'!E10))</f>
        <v>40</v>
      </c>
      <c r="AB13" s="0" t="n">
        <f aca="false">MIN(T13,N('Debt Payoff'!E11))</f>
        <v>285</v>
      </c>
      <c r="AC13" s="0" t="n">
        <f aca="false">MIN(U13,N('Debt Payoff'!E12))</f>
        <v>160</v>
      </c>
      <c r="AD13" s="0" t="n">
        <f aca="false">MIN(V13,N('Debt Payoff'!E13))</f>
        <v>0</v>
      </c>
      <c r="AE13" s="0" t="n">
        <f aca="false">MIN(W13,N('Debt Payoff'!E14))</f>
        <v>0</v>
      </c>
      <c r="AF13" s="0" t="n">
        <f aca="false">MIN(X13,N('Debt Payoff'!E15))</f>
        <v>0</v>
      </c>
      <c r="AG13" s="0" t="n">
        <f aca="false">MIN(Y13,N('Debt Payoff'!E16))</f>
        <v>0</v>
      </c>
      <c r="AH13" s="0" t="n">
        <f aca="false">R13-Z13</f>
        <v>1543.12272616667</v>
      </c>
      <c r="AI13" s="0" t="n">
        <f aca="false">S13-AA13</f>
        <v>1140.49282375</v>
      </c>
      <c r="AJ13" s="0" t="n">
        <f aca="false">T13-AB13</f>
        <v>7211.2872225</v>
      </c>
      <c r="AK13" s="0" t="n">
        <f aca="false">U13-AC13</f>
        <v>13447.141525</v>
      </c>
      <c r="AL13" s="0" t="n">
        <f aca="false">V13-AD13</f>
        <v>0</v>
      </c>
      <c r="AM13" s="0" t="n">
        <f aca="false">W13-AE13</f>
        <v>0</v>
      </c>
      <c r="AN13" s="0" t="n">
        <f aca="false">X13-AF13</f>
        <v>0</v>
      </c>
      <c r="AO13" s="0" t="n">
        <f aca="false">Y13-AG13</f>
        <v>0</v>
      </c>
      <c r="AP13" s="0" t="n">
        <f aca="false">MAX(0,'Debt Payoff'!$D$17-SUM(Z13:AG13))</f>
        <v>200</v>
      </c>
      <c r="AQ13" s="0" t="n">
        <f aca="false">MIN(AH13,MAX(0,$AP13-SUMPRODUCT(($AH$1:$AO$1&lt;AH$1)*$AH13:$AO13)))</f>
        <v>200</v>
      </c>
      <c r="AR13" s="0" t="n">
        <f aca="false">MIN(AI13,MAX(0,$AP13-SUMPRODUCT(($AH$1:$AO$1&lt;AI$1)*$AH13:$AO13)))</f>
        <v>0</v>
      </c>
      <c r="AS13" s="0" t="n">
        <f aca="false">MIN(AJ13,MAX(0,$AP13-SUMPRODUCT(($AH$1:$AO$1&lt;AJ$1)*$AH13:$AO13)))</f>
        <v>0</v>
      </c>
      <c r="AT13" s="0" t="n">
        <f aca="false">MIN(AK13,MAX(0,$AP13-SUMPRODUCT(($AH$1:$AO$1&lt;AK$1)*$AH13:$AO13)))</f>
        <v>0</v>
      </c>
      <c r="AU13" s="0" t="n">
        <f aca="false">MIN(AL13,MAX(0,$AP13-SUMPRODUCT(($AH$1:$AO$1&lt;AL$1)*$AH13:$AO13)))</f>
        <v>0</v>
      </c>
      <c r="AV13" s="0" t="n">
        <f aca="false">MIN(AM13,MAX(0,$AP13-SUMPRODUCT(($AH$1:$AO$1&lt;AM$1)*$AH13:$AO13)))</f>
        <v>0</v>
      </c>
      <c r="AW13" s="0" t="n">
        <f aca="false">MIN(AN13,MAX(0,$AP13-SUMPRODUCT(($AH$1:$AO$1&lt;AN$1)*$AH13:$AO13)))</f>
        <v>0</v>
      </c>
      <c r="AX13" s="0" t="n">
        <f aca="false">MIN(AO13,MAX(0,$AP13-SUMPRODUCT(($AH$1:$AO$1&lt;AO$1)*$AH13:$AO13)))</f>
        <v>0</v>
      </c>
      <c r="AY13" s="0" t="n">
        <f aca="false">ROUND(AH13-AQ13,2)</f>
        <v>1343.12</v>
      </c>
      <c r="AZ13" s="0" t="n">
        <f aca="false">ROUND(AI13-AR13,2)</f>
        <v>1140.49</v>
      </c>
      <c r="BA13" s="0" t="n">
        <f aca="false">ROUND(AJ13-AS13,2)</f>
        <v>7211.29</v>
      </c>
      <c r="BB13" s="0" t="n">
        <f aca="false">ROUND(AK13-AT13,2)</f>
        <v>13447.14</v>
      </c>
      <c r="BC13" s="0" t="n">
        <f aca="false">ROUND(AL13-AU13,2)</f>
        <v>0</v>
      </c>
      <c r="BD13" s="0" t="n">
        <f aca="false">ROUND(AM13-AV13,2)</f>
        <v>0</v>
      </c>
      <c r="BE13" s="0" t="n">
        <f aca="false">ROUND(AN13-AW13,2)</f>
        <v>0</v>
      </c>
      <c r="BF13" s="0" t="n">
        <f aca="false">ROUND(AO13-AX13,2)</f>
        <v>0</v>
      </c>
      <c r="BG13" s="0" t="n">
        <f aca="false">SUM(AY13:BF13)</f>
        <v>23142.04</v>
      </c>
    </row>
    <row r="14" customFormat="false" ht="15" hidden="false" customHeight="false" outlineLevel="0" collapsed="false">
      <c r="A14" s="0" t="n">
        <v>12</v>
      </c>
      <c r="B14" s="0" t="n">
        <f aca="false">AY13</f>
        <v>1343.12</v>
      </c>
      <c r="C14" s="0" t="n">
        <f aca="false">AZ13</f>
        <v>1140.49</v>
      </c>
      <c r="D14" s="0" t="n">
        <f aca="false">BA13</f>
        <v>7211.29</v>
      </c>
      <c r="E14" s="0" t="n">
        <f aca="false">BB13</f>
        <v>13447.14</v>
      </c>
      <c r="F14" s="0" t="n">
        <f aca="false">BC13</f>
        <v>0</v>
      </c>
      <c r="G14" s="0" t="n">
        <f aca="false">BD13</f>
        <v>0</v>
      </c>
      <c r="H14" s="0" t="n">
        <f aca="false">BE13</f>
        <v>0</v>
      </c>
      <c r="I14" s="0" t="n">
        <f aca="false">BF13</f>
        <v>0</v>
      </c>
      <c r="J14" s="0" t="n">
        <f aca="false">B14*N('Debt Payoff'!D9)/12</f>
        <v>27.4108406666667</v>
      </c>
      <c r="K14" s="0" t="n">
        <f aca="false">C14*N('Debt Payoff'!D10)/12</f>
        <v>18.9986625833333</v>
      </c>
      <c r="L14" s="0" t="n">
        <f aca="false">D14*N('Debt Payoff'!D11)/12</f>
        <v>41.4649175</v>
      </c>
      <c r="M14" s="0" t="n">
        <f aca="false">E14*N('Debt Payoff'!D12)/12</f>
        <v>61.632725</v>
      </c>
      <c r="N14" s="0" t="n">
        <f aca="false">F14*N('Debt Payoff'!D13)/12</f>
        <v>0</v>
      </c>
      <c r="O14" s="0" t="n">
        <f aca="false">G14*N('Debt Payoff'!D14)/12</f>
        <v>0</v>
      </c>
      <c r="P14" s="0" t="n">
        <f aca="false">H14*N('Debt Payoff'!D15)/12</f>
        <v>0</v>
      </c>
      <c r="Q14" s="0" t="n">
        <f aca="false">I14*N('Debt Payoff'!D16)/12</f>
        <v>0</v>
      </c>
      <c r="R14" s="0" t="n">
        <f aca="false">B14+J14</f>
        <v>1370.53084066667</v>
      </c>
      <c r="S14" s="0" t="n">
        <f aca="false">C14+K14</f>
        <v>1159.48866258333</v>
      </c>
      <c r="T14" s="0" t="n">
        <f aca="false">D14+L14</f>
        <v>7252.7549175</v>
      </c>
      <c r="U14" s="0" t="n">
        <f aca="false">E14+M14</f>
        <v>13508.772725</v>
      </c>
      <c r="V14" s="0" t="n">
        <f aca="false">F14+N14</f>
        <v>0</v>
      </c>
      <c r="W14" s="0" t="n">
        <f aca="false">G14+O14</f>
        <v>0</v>
      </c>
      <c r="X14" s="0" t="n">
        <f aca="false">H14+P14</f>
        <v>0</v>
      </c>
      <c r="Y14" s="0" t="n">
        <f aca="false">I14+Q14</f>
        <v>0</v>
      </c>
      <c r="Z14" s="0" t="n">
        <f aca="false">MIN(R14,N('Debt Payoff'!E9))</f>
        <v>120</v>
      </c>
      <c r="AA14" s="0" t="n">
        <f aca="false">MIN(S14,N('Debt Payoff'!E10))</f>
        <v>40</v>
      </c>
      <c r="AB14" s="0" t="n">
        <f aca="false">MIN(T14,N('Debt Payoff'!E11))</f>
        <v>285</v>
      </c>
      <c r="AC14" s="0" t="n">
        <f aca="false">MIN(U14,N('Debt Payoff'!E12))</f>
        <v>160</v>
      </c>
      <c r="AD14" s="0" t="n">
        <f aca="false">MIN(V14,N('Debt Payoff'!E13))</f>
        <v>0</v>
      </c>
      <c r="AE14" s="0" t="n">
        <f aca="false">MIN(W14,N('Debt Payoff'!E14))</f>
        <v>0</v>
      </c>
      <c r="AF14" s="0" t="n">
        <f aca="false">MIN(X14,N('Debt Payoff'!E15))</f>
        <v>0</v>
      </c>
      <c r="AG14" s="0" t="n">
        <f aca="false">MIN(Y14,N('Debt Payoff'!E16))</f>
        <v>0</v>
      </c>
      <c r="AH14" s="0" t="n">
        <f aca="false">R14-Z14</f>
        <v>1250.53084066667</v>
      </c>
      <c r="AI14" s="0" t="n">
        <f aca="false">S14-AA14</f>
        <v>1119.48866258333</v>
      </c>
      <c r="AJ14" s="0" t="n">
        <f aca="false">T14-AB14</f>
        <v>6967.7549175</v>
      </c>
      <c r="AK14" s="0" t="n">
        <f aca="false">U14-AC14</f>
        <v>13348.772725</v>
      </c>
      <c r="AL14" s="0" t="n">
        <f aca="false">V14-AD14</f>
        <v>0</v>
      </c>
      <c r="AM14" s="0" t="n">
        <f aca="false">W14-AE14</f>
        <v>0</v>
      </c>
      <c r="AN14" s="0" t="n">
        <f aca="false">X14-AF14</f>
        <v>0</v>
      </c>
      <c r="AO14" s="0" t="n">
        <f aca="false">Y14-AG14</f>
        <v>0</v>
      </c>
      <c r="AP14" s="0" t="n">
        <f aca="false">MAX(0,'Debt Payoff'!$D$17-SUM(Z14:AG14))</f>
        <v>200</v>
      </c>
      <c r="AQ14" s="0" t="n">
        <f aca="false">MIN(AH14,MAX(0,$AP14-SUMPRODUCT(($AH$1:$AO$1&lt;AH$1)*$AH14:$AO14)))</f>
        <v>200</v>
      </c>
      <c r="AR14" s="0" t="n">
        <f aca="false">MIN(AI14,MAX(0,$AP14-SUMPRODUCT(($AH$1:$AO$1&lt;AI$1)*$AH14:$AO14)))</f>
        <v>0</v>
      </c>
      <c r="AS14" s="0" t="n">
        <f aca="false">MIN(AJ14,MAX(0,$AP14-SUMPRODUCT(($AH$1:$AO$1&lt;AJ$1)*$AH14:$AO14)))</f>
        <v>0</v>
      </c>
      <c r="AT14" s="0" t="n">
        <f aca="false">MIN(AK14,MAX(0,$AP14-SUMPRODUCT(($AH$1:$AO$1&lt;AK$1)*$AH14:$AO14)))</f>
        <v>0</v>
      </c>
      <c r="AU14" s="0" t="n">
        <f aca="false">MIN(AL14,MAX(0,$AP14-SUMPRODUCT(($AH$1:$AO$1&lt;AL$1)*$AH14:$AO14)))</f>
        <v>0</v>
      </c>
      <c r="AV14" s="0" t="n">
        <f aca="false">MIN(AM14,MAX(0,$AP14-SUMPRODUCT(($AH$1:$AO$1&lt;AM$1)*$AH14:$AO14)))</f>
        <v>0</v>
      </c>
      <c r="AW14" s="0" t="n">
        <f aca="false">MIN(AN14,MAX(0,$AP14-SUMPRODUCT(($AH$1:$AO$1&lt;AN$1)*$AH14:$AO14)))</f>
        <v>0</v>
      </c>
      <c r="AX14" s="0" t="n">
        <f aca="false">MIN(AO14,MAX(0,$AP14-SUMPRODUCT(($AH$1:$AO$1&lt;AO$1)*$AH14:$AO14)))</f>
        <v>0</v>
      </c>
      <c r="AY14" s="0" t="n">
        <f aca="false">ROUND(AH14-AQ14,2)</f>
        <v>1050.53</v>
      </c>
      <c r="AZ14" s="0" t="n">
        <f aca="false">ROUND(AI14-AR14,2)</f>
        <v>1119.49</v>
      </c>
      <c r="BA14" s="0" t="n">
        <f aca="false">ROUND(AJ14-AS14,2)</f>
        <v>6967.75</v>
      </c>
      <c r="BB14" s="0" t="n">
        <f aca="false">ROUND(AK14-AT14,2)</f>
        <v>13348.77</v>
      </c>
      <c r="BC14" s="0" t="n">
        <f aca="false">ROUND(AL14-AU14,2)</f>
        <v>0</v>
      </c>
      <c r="BD14" s="0" t="n">
        <f aca="false">ROUND(AM14-AV14,2)</f>
        <v>0</v>
      </c>
      <c r="BE14" s="0" t="n">
        <f aca="false">ROUND(AN14-AW14,2)</f>
        <v>0</v>
      </c>
      <c r="BF14" s="0" t="n">
        <f aca="false">ROUND(AO14-AX14,2)</f>
        <v>0</v>
      </c>
      <c r="BG14" s="0" t="n">
        <f aca="false">SUM(AY14:BF14)</f>
        <v>22486.54</v>
      </c>
    </row>
    <row r="15" customFormat="false" ht="15" hidden="false" customHeight="false" outlineLevel="0" collapsed="false">
      <c r="A15" s="0" t="n">
        <v>13</v>
      </c>
      <c r="B15" s="0" t="n">
        <f aca="false">AY14</f>
        <v>1050.53</v>
      </c>
      <c r="C15" s="0" t="n">
        <f aca="false">AZ14</f>
        <v>1119.49</v>
      </c>
      <c r="D15" s="0" t="n">
        <f aca="false">BA14</f>
        <v>6967.75</v>
      </c>
      <c r="E15" s="0" t="n">
        <f aca="false">BB14</f>
        <v>13348.77</v>
      </c>
      <c r="F15" s="0" t="n">
        <f aca="false">BC14</f>
        <v>0</v>
      </c>
      <c r="G15" s="0" t="n">
        <f aca="false">BD14</f>
        <v>0</v>
      </c>
      <c r="H15" s="0" t="n">
        <f aca="false">BE14</f>
        <v>0</v>
      </c>
      <c r="I15" s="0" t="n">
        <f aca="false">BF14</f>
        <v>0</v>
      </c>
      <c r="J15" s="0" t="n">
        <f aca="false">B15*N('Debt Payoff'!D9)/12</f>
        <v>21.4395664166667</v>
      </c>
      <c r="K15" s="0" t="n">
        <f aca="false">C15*N('Debt Payoff'!D10)/12</f>
        <v>18.6488375833333</v>
      </c>
      <c r="L15" s="0" t="n">
        <f aca="false">D15*N('Debt Payoff'!D11)/12</f>
        <v>40.0645625</v>
      </c>
      <c r="M15" s="0" t="n">
        <f aca="false">E15*N('Debt Payoff'!D12)/12</f>
        <v>61.1818625</v>
      </c>
      <c r="N15" s="0" t="n">
        <f aca="false">F15*N('Debt Payoff'!D13)/12</f>
        <v>0</v>
      </c>
      <c r="O15" s="0" t="n">
        <f aca="false">G15*N('Debt Payoff'!D14)/12</f>
        <v>0</v>
      </c>
      <c r="P15" s="0" t="n">
        <f aca="false">H15*N('Debt Payoff'!D15)/12</f>
        <v>0</v>
      </c>
      <c r="Q15" s="0" t="n">
        <f aca="false">I15*N('Debt Payoff'!D16)/12</f>
        <v>0</v>
      </c>
      <c r="R15" s="0" t="n">
        <f aca="false">B15+J15</f>
        <v>1071.96956641667</v>
      </c>
      <c r="S15" s="0" t="n">
        <f aca="false">C15+K15</f>
        <v>1138.13883758333</v>
      </c>
      <c r="T15" s="0" t="n">
        <f aca="false">D15+L15</f>
        <v>7007.8145625</v>
      </c>
      <c r="U15" s="0" t="n">
        <f aca="false">E15+M15</f>
        <v>13409.9518625</v>
      </c>
      <c r="V15" s="0" t="n">
        <f aca="false">F15+N15</f>
        <v>0</v>
      </c>
      <c r="W15" s="0" t="n">
        <f aca="false">G15+O15</f>
        <v>0</v>
      </c>
      <c r="X15" s="0" t="n">
        <f aca="false">H15+P15</f>
        <v>0</v>
      </c>
      <c r="Y15" s="0" t="n">
        <f aca="false">I15+Q15</f>
        <v>0</v>
      </c>
      <c r="Z15" s="0" t="n">
        <f aca="false">MIN(R15,N('Debt Payoff'!E9))</f>
        <v>120</v>
      </c>
      <c r="AA15" s="0" t="n">
        <f aca="false">MIN(S15,N('Debt Payoff'!E10))</f>
        <v>40</v>
      </c>
      <c r="AB15" s="0" t="n">
        <f aca="false">MIN(T15,N('Debt Payoff'!E11))</f>
        <v>285</v>
      </c>
      <c r="AC15" s="0" t="n">
        <f aca="false">MIN(U15,N('Debt Payoff'!E12))</f>
        <v>160</v>
      </c>
      <c r="AD15" s="0" t="n">
        <f aca="false">MIN(V15,N('Debt Payoff'!E13))</f>
        <v>0</v>
      </c>
      <c r="AE15" s="0" t="n">
        <f aca="false">MIN(W15,N('Debt Payoff'!E14))</f>
        <v>0</v>
      </c>
      <c r="AF15" s="0" t="n">
        <f aca="false">MIN(X15,N('Debt Payoff'!E15))</f>
        <v>0</v>
      </c>
      <c r="AG15" s="0" t="n">
        <f aca="false">MIN(Y15,N('Debt Payoff'!E16))</f>
        <v>0</v>
      </c>
      <c r="AH15" s="0" t="n">
        <f aca="false">R15-Z15</f>
        <v>951.969566416667</v>
      </c>
      <c r="AI15" s="0" t="n">
        <f aca="false">S15-AA15</f>
        <v>1098.13883758333</v>
      </c>
      <c r="AJ15" s="0" t="n">
        <f aca="false">T15-AB15</f>
        <v>6722.8145625</v>
      </c>
      <c r="AK15" s="0" t="n">
        <f aca="false">U15-AC15</f>
        <v>13249.9518625</v>
      </c>
      <c r="AL15" s="0" t="n">
        <f aca="false">V15-AD15</f>
        <v>0</v>
      </c>
      <c r="AM15" s="0" t="n">
        <f aca="false">W15-AE15</f>
        <v>0</v>
      </c>
      <c r="AN15" s="0" t="n">
        <f aca="false">X15-AF15</f>
        <v>0</v>
      </c>
      <c r="AO15" s="0" t="n">
        <f aca="false">Y15-AG15</f>
        <v>0</v>
      </c>
      <c r="AP15" s="0" t="n">
        <f aca="false">MAX(0,'Debt Payoff'!$D$17-SUM(Z15:AG15))</f>
        <v>200</v>
      </c>
      <c r="AQ15" s="0" t="n">
        <f aca="false">MIN(AH15,MAX(0,$AP15-SUMPRODUCT(($AH$1:$AO$1&lt;AH$1)*$AH15:$AO15)))</f>
        <v>200</v>
      </c>
      <c r="AR15" s="0" t="n">
        <f aca="false">MIN(AI15,MAX(0,$AP15-SUMPRODUCT(($AH$1:$AO$1&lt;AI$1)*$AH15:$AO15)))</f>
        <v>0</v>
      </c>
      <c r="AS15" s="0" t="n">
        <f aca="false">MIN(AJ15,MAX(0,$AP15-SUMPRODUCT(($AH$1:$AO$1&lt;AJ$1)*$AH15:$AO15)))</f>
        <v>0</v>
      </c>
      <c r="AT15" s="0" t="n">
        <f aca="false">MIN(AK15,MAX(0,$AP15-SUMPRODUCT(($AH$1:$AO$1&lt;AK$1)*$AH15:$AO15)))</f>
        <v>0</v>
      </c>
      <c r="AU15" s="0" t="n">
        <f aca="false">MIN(AL15,MAX(0,$AP15-SUMPRODUCT(($AH$1:$AO$1&lt;AL$1)*$AH15:$AO15)))</f>
        <v>0</v>
      </c>
      <c r="AV15" s="0" t="n">
        <f aca="false">MIN(AM15,MAX(0,$AP15-SUMPRODUCT(($AH$1:$AO$1&lt;AM$1)*$AH15:$AO15)))</f>
        <v>0</v>
      </c>
      <c r="AW15" s="0" t="n">
        <f aca="false">MIN(AN15,MAX(0,$AP15-SUMPRODUCT(($AH$1:$AO$1&lt;AN$1)*$AH15:$AO15)))</f>
        <v>0</v>
      </c>
      <c r="AX15" s="0" t="n">
        <f aca="false">MIN(AO15,MAX(0,$AP15-SUMPRODUCT(($AH$1:$AO$1&lt;AO$1)*$AH15:$AO15)))</f>
        <v>0</v>
      </c>
      <c r="AY15" s="0" t="n">
        <f aca="false">ROUND(AH15-AQ15,2)</f>
        <v>751.97</v>
      </c>
      <c r="AZ15" s="0" t="n">
        <f aca="false">ROUND(AI15-AR15,2)</f>
        <v>1098.14</v>
      </c>
      <c r="BA15" s="0" t="n">
        <f aca="false">ROUND(AJ15-AS15,2)</f>
        <v>6722.81</v>
      </c>
      <c r="BB15" s="0" t="n">
        <f aca="false">ROUND(AK15-AT15,2)</f>
        <v>13249.95</v>
      </c>
      <c r="BC15" s="0" t="n">
        <f aca="false">ROUND(AL15-AU15,2)</f>
        <v>0</v>
      </c>
      <c r="BD15" s="0" t="n">
        <f aca="false">ROUND(AM15-AV15,2)</f>
        <v>0</v>
      </c>
      <c r="BE15" s="0" t="n">
        <f aca="false">ROUND(AN15-AW15,2)</f>
        <v>0</v>
      </c>
      <c r="BF15" s="0" t="n">
        <f aca="false">ROUND(AO15-AX15,2)</f>
        <v>0</v>
      </c>
      <c r="BG15" s="0" t="n">
        <f aca="false">SUM(AY15:BF15)</f>
        <v>21822.87</v>
      </c>
    </row>
    <row r="16" customFormat="false" ht="15" hidden="false" customHeight="false" outlineLevel="0" collapsed="false">
      <c r="A16" s="0" t="n">
        <v>14</v>
      </c>
      <c r="B16" s="0" t="n">
        <f aca="false">AY15</f>
        <v>751.97</v>
      </c>
      <c r="C16" s="0" t="n">
        <f aca="false">AZ15</f>
        <v>1098.14</v>
      </c>
      <c r="D16" s="0" t="n">
        <f aca="false">BA15</f>
        <v>6722.81</v>
      </c>
      <c r="E16" s="0" t="n">
        <f aca="false">BB15</f>
        <v>13249.95</v>
      </c>
      <c r="F16" s="0" t="n">
        <f aca="false">BC15</f>
        <v>0</v>
      </c>
      <c r="G16" s="0" t="n">
        <f aca="false">BD15</f>
        <v>0</v>
      </c>
      <c r="H16" s="0" t="n">
        <f aca="false">BE15</f>
        <v>0</v>
      </c>
      <c r="I16" s="0" t="n">
        <f aca="false">BF15</f>
        <v>0</v>
      </c>
      <c r="J16" s="0" t="n">
        <f aca="false">B16*N('Debt Payoff'!D9)/12</f>
        <v>15.3464544166667</v>
      </c>
      <c r="K16" s="0" t="n">
        <f aca="false">C16*N('Debt Payoff'!D10)/12</f>
        <v>18.2931821666667</v>
      </c>
      <c r="L16" s="0" t="n">
        <f aca="false">D16*N('Debt Payoff'!D11)/12</f>
        <v>38.6561575</v>
      </c>
      <c r="M16" s="0" t="n">
        <f aca="false">E16*N('Debt Payoff'!D12)/12</f>
        <v>60.7289375</v>
      </c>
      <c r="N16" s="0" t="n">
        <f aca="false">F16*N('Debt Payoff'!D13)/12</f>
        <v>0</v>
      </c>
      <c r="O16" s="0" t="n">
        <f aca="false">G16*N('Debt Payoff'!D14)/12</f>
        <v>0</v>
      </c>
      <c r="P16" s="0" t="n">
        <f aca="false">H16*N('Debt Payoff'!D15)/12</f>
        <v>0</v>
      </c>
      <c r="Q16" s="0" t="n">
        <f aca="false">I16*N('Debt Payoff'!D16)/12</f>
        <v>0</v>
      </c>
      <c r="R16" s="0" t="n">
        <f aca="false">B16+J16</f>
        <v>767.316454416667</v>
      </c>
      <c r="S16" s="0" t="n">
        <f aca="false">C16+K16</f>
        <v>1116.43318216667</v>
      </c>
      <c r="T16" s="0" t="n">
        <f aca="false">D16+L16</f>
        <v>6761.4661575</v>
      </c>
      <c r="U16" s="0" t="n">
        <f aca="false">E16+M16</f>
        <v>13310.6789375</v>
      </c>
      <c r="V16" s="0" t="n">
        <f aca="false">F16+N16</f>
        <v>0</v>
      </c>
      <c r="W16" s="0" t="n">
        <f aca="false">G16+O16</f>
        <v>0</v>
      </c>
      <c r="X16" s="0" t="n">
        <f aca="false">H16+P16</f>
        <v>0</v>
      </c>
      <c r="Y16" s="0" t="n">
        <f aca="false">I16+Q16</f>
        <v>0</v>
      </c>
      <c r="Z16" s="0" t="n">
        <f aca="false">MIN(R16,N('Debt Payoff'!E9))</f>
        <v>120</v>
      </c>
      <c r="AA16" s="0" t="n">
        <f aca="false">MIN(S16,N('Debt Payoff'!E10))</f>
        <v>40</v>
      </c>
      <c r="AB16" s="0" t="n">
        <f aca="false">MIN(T16,N('Debt Payoff'!E11))</f>
        <v>285</v>
      </c>
      <c r="AC16" s="0" t="n">
        <f aca="false">MIN(U16,N('Debt Payoff'!E12))</f>
        <v>160</v>
      </c>
      <c r="AD16" s="0" t="n">
        <f aca="false">MIN(V16,N('Debt Payoff'!E13))</f>
        <v>0</v>
      </c>
      <c r="AE16" s="0" t="n">
        <f aca="false">MIN(W16,N('Debt Payoff'!E14))</f>
        <v>0</v>
      </c>
      <c r="AF16" s="0" t="n">
        <f aca="false">MIN(X16,N('Debt Payoff'!E15))</f>
        <v>0</v>
      </c>
      <c r="AG16" s="0" t="n">
        <f aca="false">MIN(Y16,N('Debt Payoff'!E16))</f>
        <v>0</v>
      </c>
      <c r="AH16" s="0" t="n">
        <f aca="false">R16-Z16</f>
        <v>647.316454416667</v>
      </c>
      <c r="AI16" s="0" t="n">
        <f aca="false">S16-AA16</f>
        <v>1076.43318216667</v>
      </c>
      <c r="AJ16" s="0" t="n">
        <f aca="false">T16-AB16</f>
        <v>6476.4661575</v>
      </c>
      <c r="AK16" s="0" t="n">
        <f aca="false">U16-AC16</f>
        <v>13150.6789375</v>
      </c>
      <c r="AL16" s="0" t="n">
        <f aca="false">V16-AD16</f>
        <v>0</v>
      </c>
      <c r="AM16" s="0" t="n">
        <f aca="false">W16-AE16</f>
        <v>0</v>
      </c>
      <c r="AN16" s="0" t="n">
        <f aca="false">X16-AF16</f>
        <v>0</v>
      </c>
      <c r="AO16" s="0" t="n">
        <f aca="false">Y16-AG16</f>
        <v>0</v>
      </c>
      <c r="AP16" s="0" t="n">
        <f aca="false">MAX(0,'Debt Payoff'!$D$17-SUM(Z16:AG16))</f>
        <v>200</v>
      </c>
      <c r="AQ16" s="0" t="n">
        <f aca="false">MIN(AH16,MAX(0,$AP16-SUMPRODUCT(($AH$1:$AO$1&lt;AH$1)*$AH16:$AO16)))</f>
        <v>200</v>
      </c>
      <c r="AR16" s="0" t="n">
        <f aca="false">MIN(AI16,MAX(0,$AP16-SUMPRODUCT(($AH$1:$AO$1&lt;AI$1)*$AH16:$AO16)))</f>
        <v>0</v>
      </c>
      <c r="AS16" s="0" t="n">
        <f aca="false">MIN(AJ16,MAX(0,$AP16-SUMPRODUCT(($AH$1:$AO$1&lt;AJ$1)*$AH16:$AO16)))</f>
        <v>0</v>
      </c>
      <c r="AT16" s="0" t="n">
        <f aca="false">MIN(AK16,MAX(0,$AP16-SUMPRODUCT(($AH$1:$AO$1&lt;AK$1)*$AH16:$AO16)))</f>
        <v>0</v>
      </c>
      <c r="AU16" s="0" t="n">
        <f aca="false">MIN(AL16,MAX(0,$AP16-SUMPRODUCT(($AH$1:$AO$1&lt;AL$1)*$AH16:$AO16)))</f>
        <v>0</v>
      </c>
      <c r="AV16" s="0" t="n">
        <f aca="false">MIN(AM16,MAX(0,$AP16-SUMPRODUCT(($AH$1:$AO$1&lt;AM$1)*$AH16:$AO16)))</f>
        <v>0</v>
      </c>
      <c r="AW16" s="0" t="n">
        <f aca="false">MIN(AN16,MAX(0,$AP16-SUMPRODUCT(($AH$1:$AO$1&lt;AN$1)*$AH16:$AO16)))</f>
        <v>0</v>
      </c>
      <c r="AX16" s="0" t="n">
        <f aca="false">MIN(AO16,MAX(0,$AP16-SUMPRODUCT(($AH$1:$AO$1&lt;AO$1)*$AH16:$AO16)))</f>
        <v>0</v>
      </c>
      <c r="AY16" s="0" t="n">
        <f aca="false">ROUND(AH16-AQ16,2)</f>
        <v>447.32</v>
      </c>
      <c r="AZ16" s="0" t="n">
        <f aca="false">ROUND(AI16-AR16,2)</f>
        <v>1076.43</v>
      </c>
      <c r="BA16" s="0" t="n">
        <f aca="false">ROUND(AJ16-AS16,2)</f>
        <v>6476.47</v>
      </c>
      <c r="BB16" s="0" t="n">
        <f aca="false">ROUND(AK16-AT16,2)</f>
        <v>13150.68</v>
      </c>
      <c r="BC16" s="0" t="n">
        <f aca="false">ROUND(AL16-AU16,2)</f>
        <v>0</v>
      </c>
      <c r="BD16" s="0" t="n">
        <f aca="false">ROUND(AM16-AV16,2)</f>
        <v>0</v>
      </c>
      <c r="BE16" s="0" t="n">
        <f aca="false">ROUND(AN16-AW16,2)</f>
        <v>0</v>
      </c>
      <c r="BF16" s="0" t="n">
        <f aca="false">ROUND(AO16-AX16,2)</f>
        <v>0</v>
      </c>
      <c r="BG16" s="0" t="n">
        <f aca="false">SUM(AY16:BF16)</f>
        <v>21150.9</v>
      </c>
    </row>
    <row r="17" customFormat="false" ht="15" hidden="false" customHeight="false" outlineLevel="0" collapsed="false">
      <c r="A17" s="0" t="n">
        <v>15</v>
      </c>
      <c r="B17" s="0" t="n">
        <f aca="false">AY16</f>
        <v>447.32</v>
      </c>
      <c r="C17" s="0" t="n">
        <f aca="false">AZ16</f>
        <v>1076.43</v>
      </c>
      <c r="D17" s="0" t="n">
        <f aca="false">BA16</f>
        <v>6476.47</v>
      </c>
      <c r="E17" s="0" t="n">
        <f aca="false">BB16</f>
        <v>13150.68</v>
      </c>
      <c r="F17" s="0" t="n">
        <f aca="false">BC16</f>
        <v>0</v>
      </c>
      <c r="G17" s="0" t="n">
        <f aca="false">BD16</f>
        <v>0</v>
      </c>
      <c r="H17" s="0" t="n">
        <f aca="false">BE16</f>
        <v>0</v>
      </c>
      <c r="I17" s="0" t="n">
        <f aca="false">BF16</f>
        <v>0</v>
      </c>
      <c r="J17" s="0" t="n">
        <f aca="false">B17*N('Debt Payoff'!D9)/12</f>
        <v>9.12905566666667</v>
      </c>
      <c r="K17" s="0" t="n">
        <f aca="false">C17*N('Debt Payoff'!D10)/12</f>
        <v>17.93152975</v>
      </c>
      <c r="L17" s="0" t="n">
        <f aca="false">D17*N('Debt Payoff'!D11)/12</f>
        <v>37.2397025</v>
      </c>
      <c r="M17" s="0" t="n">
        <f aca="false">E17*N('Debt Payoff'!D12)/12</f>
        <v>60.27395</v>
      </c>
      <c r="N17" s="0" t="n">
        <f aca="false">F17*N('Debt Payoff'!D13)/12</f>
        <v>0</v>
      </c>
      <c r="O17" s="0" t="n">
        <f aca="false">G17*N('Debt Payoff'!D14)/12</f>
        <v>0</v>
      </c>
      <c r="P17" s="0" t="n">
        <f aca="false">H17*N('Debt Payoff'!D15)/12</f>
        <v>0</v>
      </c>
      <c r="Q17" s="0" t="n">
        <f aca="false">I17*N('Debt Payoff'!D16)/12</f>
        <v>0</v>
      </c>
      <c r="R17" s="0" t="n">
        <f aca="false">B17+J17</f>
        <v>456.449055666667</v>
      </c>
      <c r="S17" s="0" t="n">
        <f aca="false">C17+K17</f>
        <v>1094.36152975</v>
      </c>
      <c r="T17" s="0" t="n">
        <f aca="false">D17+L17</f>
        <v>6513.7097025</v>
      </c>
      <c r="U17" s="0" t="n">
        <f aca="false">E17+M17</f>
        <v>13210.95395</v>
      </c>
      <c r="V17" s="0" t="n">
        <f aca="false">F17+N17</f>
        <v>0</v>
      </c>
      <c r="W17" s="0" t="n">
        <f aca="false">G17+O17</f>
        <v>0</v>
      </c>
      <c r="X17" s="0" t="n">
        <f aca="false">H17+P17</f>
        <v>0</v>
      </c>
      <c r="Y17" s="0" t="n">
        <f aca="false">I17+Q17</f>
        <v>0</v>
      </c>
      <c r="Z17" s="0" t="n">
        <f aca="false">MIN(R17,N('Debt Payoff'!E9))</f>
        <v>120</v>
      </c>
      <c r="AA17" s="0" t="n">
        <f aca="false">MIN(S17,N('Debt Payoff'!E10))</f>
        <v>40</v>
      </c>
      <c r="AB17" s="0" t="n">
        <f aca="false">MIN(T17,N('Debt Payoff'!E11))</f>
        <v>285</v>
      </c>
      <c r="AC17" s="0" t="n">
        <f aca="false">MIN(U17,N('Debt Payoff'!E12))</f>
        <v>160</v>
      </c>
      <c r="AD17" s="0" t="n">
        <f aca="false">MIN(V17,N('Debt Payoff'!E13))</f>
        <v>0</v>
      </c>
      <c r="AE17" s="0" t="n">
        <f aca="false">MIN(W17,N('Debt Payoff'!E14))</f>
        <v>0</v>
      </c>
      <c r="AF17" s="0" t="n">
        <f aca="false">MIN(X17,N('Debt Payoff'!E15))</f>
        <v>0</v>
      </c>
      <c r="AG17" s="0" t="n">
        <f aca="false">MIN(Y17,N('Debt Payoff'!E16))</f>
        <v>0</v>
      </c>
      <c r="AH17" s="0" t="n">
        <f aca="false">R17-Z17</f>
        <v>336.449055666667</v>
      </c>
      <c r="AI17" s="0" t="n">
        <f aca="false">S17-AA17</f>
        <v>1054.36152975</v>
      </c>
      <c r="AJ17" s="0" t="n">
        <f aca="false">T17-AB17</f>
        <v>6228.7097025</v>
      </c>
      <c r="AK17" s="0" t="n">
        <f aca="false">U17-AC17</f>
        <v>13050.95395</v>
      </c>
      <c r="AL17" s="0" t="n">
        <f aca="false">V17-AD17</f>
        <v>0</v>
      </c>
      <c r="AM17" s="0" t="n">
        <f aca="false">W17-AE17</f>
        <v>0</v>
      </c>
      <c r="AN17" s="0" t="n">
        <f aca="false">X17-AF17</f>
        <v>0</v>
      </c>
      <c r="AO17" s="0" t="n">
        <f aca="false">Y17-AG17</f>
        <v>0</v>
      </c>
      <c r="AP17" s="0" t="n">
        <f aca="false">MAX(0,'Debt Payoff'!$D$17-SUM(Z17:AG17))</f>
        <v>200</v>
      </c>
      <c r="AQ17" s="0" t="n">
        <f aca="false">MIN(AH17,MAX(0,$AP17-SUMPRODUCT(($AH$1:$AO$1&lt;AH$1)*$AH17:$AO17)))</f>
        <v>200</v>
      </c>
      <c r="AR17" s="0" t="n">
        <f aca="false">MIN(AI17,MAX(0,$AP17-SUMPRODUCT(($AH$1:$AO$1&lt;AI$1)*$AH17:$AO17)))</f>
        <v>0</v>
      </c>
      <c r="AS17" s="0" t="n">
        <f aca="false">MIN(AJ17,MAX(0,$AP17-SUMPRODUCT(($AH$1:$AO$1&lt;AJ$1)*$AH17:$AO17)))</f>
        <v>0</v>
      </c>
      <c r="AT17" s="0" t="n">
        <f aca="false">MIN(AK17,MAX(0,$AP17-SUMPRODUCT(($AH$1:$AO$1&lt;AK$1)*$AH17:$AO17)))</f>
        <v>0</v>
      </c>
      <c r="AU17" s="0" t="n">
        <f aca="false">MIN(AL17,MAX(0,$AP17-SUMPRODUCT(($AH$1:$AO$1&lt;AL$1)*$AH17:$AO17)))</f>
        <v>0</v>
      </c>
      <c r="AV17" s="0" t="n">
        <f aca="false">MIN(AM17,MAX(0,$AP17-SUMPRODUCT(($AH$1:$AO$1&lt;AM$1)*$AH17:$AO17)))</f>
        <v>0</v>
      </c>
      <c r="AW17" s="0" t="n">
        <f aca="false">MIN(AN17,MAX(0,$AP17-SUMPRODUCT(($AH$1:$AO$1&lt;AN$1)*$AH17:$AO17)))</f>
        <v>0</v>
      </c>
      <c r="AX17" s="0" t="n">
        <f aca="false">MIN(AO17,MAX(0,$AP17-SUMPRODUCT(($AH$1:$AO$1&lt;AO$1)*$AH17:$AO17)))</f>
        <v>0</v>
      </c>
      <c r="AY17" s="0" t="n">
        <f aca="false">ROUND(AH17-AQ17,2)</f>
        <v>136.45</v>
      </c>
      <c r="AZ17" s="0" t="n">
        <f aca="false">ROUND(AI17-AR17,2)</f>
        <v>1054.36</v>
      </c>
      <c r="BA17" s="0" t="n">
        <f aca="false">ROUND(AJ17-AS17,2)</f>
        <v>6228.71</v>
      </c>
      <c r="BB17" s="0" t="n">
        <f aca="false">ROUND(AK17-AT17,2)</f>
        <v>13050.95</v>
      </c>
      <c r="BC17" s="0" t="n">
        <f aca="false">ROUND(AL17-AU17,2)</f>
        <v>0</v>
      </c>
      <c r="BD17" s="0" t="n">
        <f aca="false">ROUND(AM17-AV17,2)</f>
        <v>0</v>
      </c>
      <c r="BE17" s="0" t="n">
        <f aca="false">ROUND(AN17-AW17,2)</f>
        <v>0</v>
      </c>
      <c r="BF17" s="0" t="n">
        <f aca="false">ROUND(AO17-AX17,2)</f>
        <v>0</v>
      </c>
      <c r="BG17" s="0" t="n">
        <f aca="false">SUM(AY17:BF17)</f>
        <v>20470.47</v>
      </c>
    </row>
    <row r="18" customFormat="false" ht="15" hidden="false" customHeight="false" outlineLevel="0" collapsed="false">
      <c r="A18" s="0" t="n">
        <v>16</v>
      </c>
      <c r="B18" s="0" t="n">
        <f aca="false">AY17</f>
        <v>136.45</v>
      </c>
      <c r="C18" s="0" t="n">
        <f aca="false">AZ17</f>
        <v>1054.36</v>
      </c>
      <c r="D18" s="0" t="n">
        <f aca="false">BA17</f>
        <v>6228.71</v>
      </c>
      <c r="E18" s="0" t="n">
        <f aca="false">BB17</f>
        <v>13050.95</v>
      </c>
      <c r="F18" s="0" t="n">
        <f aca="false">BC17</f>
        <v>0</v>
      </c>
      <c r="G18" s="0" t="n">
        <f aca="false">BD17</f>
        <v>0</v>
      </c>
      <c r="H18" s="0" t="n">
        <f aca="false">BE17</f>
        <v>0</v>
      </c>
      <c r="I18" s="0" t="n">
        <f aca="false">BF17</f>
        <v>0</v>
      </c>
      <c r="J18" s="0" t="n">
        <f aca="false">B18*N('Debt Payoff'!D9)/12</f>
        <v>2.78471708333333</v>
      </c>
      <c r="K18" s="0" t="n">
        <f aca="false">C18*N('Debt Payoff'!D10)/12</f>
        <v>17.5638803333333</v>
      </c>
      <c r="L18" s="0" t="n">
        <f aca="false">D18*N('Debt Payoff'!D11)/12</f>
        <v>35.8150825</v>
      </c>
      <c r="M18" s="0" t="n">
        <f aca="false">E18*N('Debt Payoff'!D12)/12</f>
        <v>59.8168541666667</v>
      </c>
      <c r="N18" s="0" t="n">
        <f aca="false">F18*N('Debt Payoff'!D13)/12</f>
        <v>0</v>
      </c>
      <c r="O18" s="0" t="n">
        <f aca="false">G18*N('Debt Payoff'!D14)/12</f>
        <v>0</v>
      </c>
      <c r="P18" s="0" t="n">
        <f aca="false">H18*N('Debt Payoff'!D15)/12</f>
        <v>0</v>
      </c>
      <c r="Q18" s="0" t="n">
        <f aca="false">I18*N('Debt Payoff'!D16)/12</f>
        <v>0</v>
      </c>
      <c r="R18" s="0" t="n">
        <f aca="false">B18+J18</f>
        <v>139.234717083333</v>
      </c>
      <c r="S18" s="0" t="n">
        <f aca="false">C18+K18</f>
        <v>1071.92388033333</v>
      </c>
      <c r="T18" s="0" t="n">
        <f aca="false">D18+L18</f>
        <v>6264.5250825</v>
      </c>
      <c r="U18" s="0" t="n">
        <f aca="false">E18+M18</f>
        <v>13110.7668541667</v>
      </c>
      <c r="V18" s="0" t="n">
        <f aca="false">F18+N18</f>
        <v>0</v>
      </c>
      <c r="W18" s="0" t="n">
        <f aca="false">G18+O18</f>
        <v>0</v>
      </c>
      <c r="X18" s="0" t="n">
        <f aca="false">H18+P18</f>
        <v>0</v>
      </c>
      <c r="Y18" s="0" t="n">
        <f aca="false">I18+Q18</f>
        <v>0</v>
      </c>
      <c r="Z18" s="0" t="n">
        <f aca="false">MIN(R18,N('Debt Payoff'!E9))</f>
        <v>120</v>
      </c>
      <c r="AA18" s="0" t="n">
        <f aca="false">MIN(S18,N('Debt Payoff'!E10))</f>
        <v>40</v>
      </c>
      <c r="AB18" s="0" t="n">
        <f aca="false">MIN(T18,N('Debt Payoff'!E11))</f>
        <v>285</v>
      </c>
      <c r="AC18" s="0" t="n">
        <f aca="false">MIN(U18,N('Debt Payoff'!E12))</f>
        <v>160</v>
      </c>
      <c r="AD18" s="0" t="n">
        <f aca="false">MIN(V18,N('Debt Payoff'!E13))</f>
        <v>0</v>
      </c>
      <c r="AE18" s="0" t="n">
        <f aca="false">MIN(W18,N('Debt Payoff'!E14))</f>
        <v>0</v>
      </c>
      <c r="AF18" s="0" t="n">
        <f aca="false">MIN(X18,N('Debt Payoff'!E15))</f>
        <v>0</v>
      </c>
      <c r="AG18" s="0" t="n">
        <f aca="false">MIN(Y18,N('Debt Payoff'!E16))</f>
        <v>0</v>
      </c>
      <c r="AH18" s="0" t="n">
        <f aca="false">R18-Z18</f>
        <v>19.2347170833333</v>
      </c>
      <c r="AI18" s="0" t="n">
        <f aca="false">S18-AA18</f>
        <v>1031.92388033333</v>
      </c>
      <c r="AJ18" s="0" t="n">
        <f aca="false">T18-AB18</f>
        <v>5979.5250825</v>
      </c>
      <c r="AK18" s="0" t="n">
        <f aca="false">U18-AC18</f>
        <v>12950.7668541667</v>
      </c>
      <c r="AL18" s="0" t="n">
        <f aca="false">V18-AD18</f>
        <v>0</v>
      </c>
      <c r="AM18" s="0" t="n">
        <f aca="false">W18-AE18</f>
        <v>0</v>
      </c>
      <c r="AN18" s="0" t="n">
        <f aca="false">X18-AF18</f>
        <v>0</v>
      </c>
      <c r="AO18" s="0" t="n">
        <f aca="false">Y18-AG18</f>
        <v>0</v>
      </c>
      <c r="AP18" s="0" t="n">
        <f aca="false">MAX(0,'Debt Payoff'!$D$17-SUM(Z18:AG18))</f>
        <v>200</v>
      </c>
      <c r="AQ18" s="0" t="n">
        <f aca="false">MIN(AH18,MAX(0,$AP18-SUMPRODUCT(($AH$1:$AO$1&lt;AH$1)*$AH18:$AO18)))</f>
        <v>19.2347170833333</v>
      </c>
      <c r="AR18" s="0" t="n">
        <f aca="false">MIN(AI18,MAX(0,$AP18-SUMPRODUCT(($AH$1:$AO$1&lt;AI$1)*$AH18:$AO18)))</f>
        <v>180.765282916667</v>
      </c>
      <c r="AS18" s="0" t="n">
        <f aca="false">MIN(AJ18,MAX(0,$AP18-SUMPRODUCT(($AH$1:$AO$1&lt;AJ$1)*$AH18:$AO18)))</f>
        <v>0</v>
      </c>
      <c r="AT18" s="0" t="n">
        <f aca="false">MIN(AK18,MAX(0,$AP18-SUMPRODUCT(($AH$1:$AO$1&lt;AK$1)*$AH18:$AO18)))</f>
        <v>0</v>
      </c>
      <c r="AU18" s="0" t="n">
        <f aca="false">MIN(AL18,MAX(0,$AP18-SUMPRODUCT(($AH$1:$AO$1&lt;AL$1)*$AH18:$AO18)))</f>
        <v>0</v>
      </c>
      <c r="AV18" s="0" t="n">
        <f aca="false">MIN(AM18,MAX(0,$AP18-SUMPRODUCT(($AH$1:$AO$1&lt;AM$1)*$AH18:$AO18)))</f>
        <v>0</v>
      </c>
      <c r="AW18" s="0" t="n">
        <f aca="false">MIN(AN18,MAX(0,$AP18-SUMPRODUCT(($AH$1:$AO$1&lt;AN$1)*$AH18:$AO18)))</f>
        <v>0</v>
      </c>
      <c r="AX18" s="0" t="n">
        <f aca="false">MIN(AO18,MAX(0,$AP18-SUMPRODUCT(($AH$1:$AO$1&lt;AO$1)*$AH18:$AO18)))</f>
        <v>0</v>
      </c>
      <c r="AY18" s="0" t="n">
        <f aca="false">ROUND(AH18-AQ18,2)</f>
        <v>0</v>
      </c>
      <c r="AZ18" s="0" t="n">
        <f aca="false">ROUND(AI18-AR18,2)</f>
        <v>851.16</v>
      </c>
      <c r="BA18" s="0" t="n">
        <f aca="false">ROUND(AJ18-AS18,2)</f>
        <v>5979.53</v>
      </c>
      <c r="BB18" s="0" t="n">
        <f aca="false">ROUND(AK18-AT18,2)</f>
        <v>12950.77</v>
      </c>
      <c r="BC18" s="0" t="n">
        <f aca="false">ROUND(AL18-AU18,2)</f>
        <v>0</v>
      </c>
      <c r="BD18" s="0" t="n">
        <f aca="false">ROUND(AM18-AV18,2)</f>
        <v>0</v>
      </c>
      <c r="BE18" s="0" t="n">
        <f aca="false">ROUND(AN18-AW18,2)</f>
        <v>0</v>
      </c>
      <c r="BF18" s="0" t="n">
        <f aca="false">ROUND(AO18-AX18,2)</f>
        <v>0</v>
      </c>
      <c r="BG18" s="0" t="n">
        <f aca="false">SUM(AY18:BF18)</f>
        <v>19781.46</v>
      </c>
    </row>
    <row r="19" customFormat="false" ht="15" hidden="false" customHeight="false" outlineLevel="0" collapsed="false">
      <c r="A19" s="0" t="n">
        <v>17</v>
      </c>
      <c r="B19" s="0" t="n">
        <f aca="false">AY18</f>
        <v>0</v>
      </c>
      <c r="C19" s="0" t="n">
        <f aca="false">AZ18</f>
        <v>851.16</v>
      </c>
      <c r="D19" s="0" t="n">
        <f aca="false">BA18</f>
        <v>5979.53</v>
      </c>
      <c r="E19" s="0" t="n">
        <f aca="false">BB18</f>
        <v>12950.77</v>
      </c>
      <c r="F19" s="0" t="n">
        <f aca="false">BC18</f>
        <v>0</v>
      </c>
      <c r="G19" s="0" t="n">
        <f aca="false">BD18</f>
        <v>0</v>
      </c>
      <c r="H19" s="0" t="n">
        <f aca="false">BE18</f>
        <v>0</v>
      </c>
      <c r="I19" s="0" t="n">
        <f aca="false">BF18</f>
        <v>0</v>
      </c>
      <c r="J19" s="0" t="n">
        <f aca="false">B19*N('Debt Payoff'!D9)/12</f>
        <v>0</v>
      </c>
      <c r="K19" s="0" t="n">
        <f aca="false">C19*N('Debt Payoff'!D10)/12</f>
        <v>14.178907</v>
      </c>
      <c r="L19" s="0" t="n">
        <f aca="false">D19*N('Debt Payoff'!D11)/12</f>
        <v>34.3822975</v>
      </c>
      <c r="M19" s="0" t="n">
        <f aca="false">E19*N('Debt Payoff'!D12)/12</f>
        <v>59.3576958333333</v>
      </c>
      <c r="N19" s="0" t="n">
        <f aca="false">F19*N('Debt Payoff'!D13)/12</f>
        <v>0</v>
      </c>
      <c r="O19" s="0" t="n">
        <f aca="false">G19*N('Debt Payoff'!D14)/12</f>
        <v>0</v>
      </c>
      <c r="P19" s="0" t="n">
        <f aca="false">H19*N('Debt Payoff'!D15)/12</f>
        <v>0</v>
      </c>
      <c r="Q19" s="0" t="n">
        <f aca="false">I19*N('Debt Payoff'!D16)/12</f>
        <v>0</v>
      </c>
      <c r="R19" s="0" t="n">
        <f aca="false">B19+J19</f>
        <v>0</v>
      </c>
      <c r="S19" s="0" t="n">
        <f aca="false">C19+K19</f>
        <v>865.338907</v>
      </c>
      <c r="T19" s="0" t="n">
        <f aca="false">D19+L19</f>
        <v>6013.9122975</v>
      </c>
      <c r="U19" s="0" t="n">
        <f aca="false">E19+M19</f>
        <v>13010.1276958333</v>
      </c>
      <c r="V19" s="0" t="n">
        <f aca="false">F19+N19</f>
        <v>0</v>
      </c>
      <c r="W19" s="0" t="n">
        <f aca="false">G19+O19</f>
        <v>0</v>
      </c>
      <c r="X19" s="0" t="n">
        <f aca="false">H19+P19</f>
        <v>0</v>
      </c>
      <c r="Y19" s="0" t="n">
        <f aca="false">I19+Q19</f>
        <v>0</v>
      </c>
      <c r="Z19" s="0" t="n">
        <f aca="false">MIN(R19,N('Debt Payoff'!E9))</f>
        <v>0</v>
      </c>
      <c r="AA19" s="0" t="n">
        <f aca="false">MIN(S19,N('Debt Payoff'!E10))</f>
        <v>40</v>
      </c>
      <c r="AB19" s="0" t="n">
        <f aca="false">MIN(T19,N('Debt Payoff'!E11))</f>
        <v>285</v>
      </c>
      <c r="AC19" s="0" t="n">
        <f aca="false">MIN(U19,N('Debt Payoff'!E12))</f>
        <v>160</v>
      </c>
      <c r="AD19" s="0" t="n">
        <f aca="false">MIN(V19,N('Debt Payoff'!E13))</f>
        <v>0</v>
      </c>
      <c r="AE19" s="0" t="n">
        <f aca="false">MIN(W19,N('Debt Payoff'!E14))</f>
        <v>0</v>
      </c>
      <c r="AF19" s="0" t="n">
        <f aca="false">MIN(X19,N('Debt Payoff'!E15))</f>
        <v>0</v>
      </c>
      <c r="AG19" s="0" t="n">
        <f aca="false">MIN(Y19,N('Debt Payoff'!E16))</f>
        <v>0</v>
      </c>
      <c r="AH19" s="0" t="n">
        <f aca="false">R19-Z19</f>
        <v>0</v>
      </c>
      <c r="AI19" s="0" t="n">
        <f aca="false">S19-AA19</f>
        <v>825.338907</v>
      </c>
      <c r="AJ19" s="0" t="n">
        <f aca="false">T19-AB19</f>
        <v>5728.9122975</v>
      </c>
      <c r="AK19" s="0" t="n">
        <f aca="false">U19-AC19</f>
        <v>12850.1276958333</v>
      </c>
      <c r="AL19" s="0" t="n">
        <f aca="false">V19-AD19</f>
        <v>0</v>
      </c>
      <c r="AM19" s="0" t="n">
        <f aca="false">W19-AE19</f>
        <v>0</v>
      </c>
      <c r="AN19" s="0" t="n">
        <f aca="false">X19-AF19</f>
        <v>0</v>
      </c>
      <c r="AO19" s="0" t="n">
        <f aca="false">Y19-AG19</f>
        <v>0</v>
      </c>
      <c r="AP19" s="0" t="n">
        <f aca="false">MAX(0,'Debt Payoff'!$D$17-SUM(Z19:AG19))</f>
        <v>320</v>
      </c>
      <c r="AQ19" s="0" t="n">
        <f aca="false">MIN(AH19,MAX(0,$AP19-SUMPRODUCT(($AH$1:$AO$1&lt;AH$1)*$AH19:$AO19)))</f>
        <v>0</v>
      </c>
      <c r="AR19" s="0" t="n">
        <f aca="false">MIN(AI19,MAX(0,$AP19-SUMPRODUCT(($AH$1:$AO$1&lt;AI$1)*$AH19:$AO19)))</f>
        <v>320</v>
      </c>
      <c r="AS19" s="0" t="n">
        <f aca="false">MIN(AJ19,MAX(0,$AP19-SUMPRODUCT(($AH$1:$AO$1&lt;AJ$1)*$AH19:$AO19)))</f>
        <v>0</v>
      </c>
      <c r="AT19" s="0" t="n">
        <f aca="false">MIN(AK19,MAX(0,$AP19-SUMPRODUCT(($AH$1:$AO$1&lt;AK$1)*$AH19:$AO19)))</f>
        <v>0</v>
      </c>
      <c r="AU19" s="0" t="n">
        <f aca="false">MIN(AL19,MAX(0,$AP19-SUMPRODUCT(($AH$1:$AO$1&lt;AL$1)*$AH19:$AO19)))</f>
        <v>0</v>
      </c>
      <c r="AV19" s="0" t="n">
        <f aca="false">MIN(AM19,MAX(0,$AP19-SUMPRODUCT(($AH$1:$AO$1&lt;AM$1)*$AH19:$AO19)))</f>
        <v>0</v>
      </c>
      <c r="AW19" s="0" t="n">
        <f aca="false">MIN(AN19,MAX(0,$AP19-SUMPRODUCT(($AH$1:$AO$1&lt;AN$1)*$AH19:$AO19)))</f>
        <v>0</v>
      </c>
      <c r="AX19" s="0" t="n">
        <f aca="false">MIN(AO19,MAX(0,$AP19-SUMPRODUCT(($AH$1:$AO$1&lt;AO$1)*$AH19:$AO19)))</f>
        <v>0</v>
      </c>
      <c r="AY19" s="0" t="n">
        <f aca="false">ROUND(AH19-AQ19,2)</f>
        <v>0</v>
      </c>
      <c r="AZ19" s="0" t="n">
        <f aca="false">ROUND(AI19-AR19,2)</f>
        <v>505.34</v>
      </c>
      <c r="BA19" s="0" t="n">
        <f aca="false">ROUND(AJ19-AS19,2)</f>
        <v>5728.91</v>
      </c>
      <c r="BB19" s="0" t="n">
        <f aca="false">ROUND(AK19-AT19,2)</f>
        <v>12850.13</v>
      </c>
      <c r="BC19" s="0" t="n">
        <f aca="false">ROUND(AL19-AU19,2)</f>
        <v>0</v>
      </c>
      <c r="BD19" s="0" t="n">
        <f aca="false">ROUND(AM19-AV19,2)</f>
        <v>0</v>
      </c>
      <c r="BE19" s="0" t="n">
        <f aca="false">ROUND(AN19-AW19,2)</f>
        <v>0</v>
      </c>
      <c r="BF19" s="0" t="n">
        <f aca="false">ROUND(AO19-AX19,2)</f>
        <v>0</v>
      </c>
      <c r="BG19" s="0" t="n">
        <f aca="false">SUM(AY19:BF19)</f>
        <v>19084.38</v>
      </c>
    </row>
    <row r="20" customFormat="false" ht="15" hidden="false" customHeight="false" outlineLevel="0" collapsed="false">
      <c r="A20" s="0" t="n">
        <v>18</v>
      </c>
      <c r="B20" s="0" t="n">
        <f aca="false">AY19</f>
        <v>0</v>
      </c>
      <c r="C20" s="0" t="n">
        <f aca="false">AZ19</f>
        <v>505.34</v>
      </c>
      <c r="D20" s="0" t="n">
        <f aca="false">BA19</f>
        <v>5728.91</v>
      </c>
      <c r="E20" s="0" t="n">
        <f aca="false">BB19</f>
        <v>12850.13</v>
      </c>
      <c r="F20" s="0" t="n">
        <f aca="false">BC19</f>
        <v>0</v>
      </c>
      <c r="G20" s="0" t="n">
        <f aca="false">BD19</f>
        <v>0</v>
      </c>
      <c r="H20" s="0" t="n">
        <f aca="false">BE19</f>
        <v>0</v>
      </c>
      <c r="I20" s="0" t="n">
        <f aca="false">BF19</f>
        <v>0</v>
      </c>
      <c r="J20" s="0" t="n">
        <f aca="false">B20*N('Debt Payoff'!D9)/12</f>
        <v>0</v>
      </c>
      <c r="K20" s="0" t="n">
        <f aca="false">C20*N('Debt Payoff'!D10)/12</f>
        <v>8.41812216666667</v>
      </c>
      <c r="L20" s="0" t="n">
        <f aca="false">D20*N('Debt Payoff'!D11)/12</f>
        <v>32.9412325</v>
      </c>
      <c r="M20" s="0" t="n">
        <f aca="false">E20*N('Debt Payoff'!D12)/12</f>
        <v>58.8964291666667</v>
      </c>
      <c r="N20" s="0" t="n">
        <f aca="false">F20*N('Debt Payoff'!D13)/12</f>
        <v>0</v>
      </c>
      <c r="O20" s="0" t="n">
        <f aca="false">G20*N('Debt Payoff'!D14)/12</f>
        <v>0</v>
      </c>
      <c r="P20" s="0" t="n">
        <f aca="false">H20*N('Debt Payoff'!D15)/12</f>
        <v>0</v>
      </c>
      <c r="Q20" s="0" t="n">
        <f aca="false">I20*N('Debt Payoff'!D16)/12</f>
        <v>0</v>
      </c>
      <c r="R20" s="0" t="n">
        <f aca="false">B20+J20</f>
        <v>0</v>
      </c>
      <c r="S20" s="0" t="n">
        <f aca="false">C20+K20</f>
        <v>513.758122166667</v>
      </c>
      <c r="T20" s="0" t="n">
        <f aca="false">D20+L20</f>
        <v>5761.8512325</v>
      </c>
      <c r="U20" s="0" t="n">
        <f aca="false">E20+M20</f>
        <v>12909.0264291667</v>
      </c>
      <c r="V20" s="0" t="n">
        <f aca="false">F20+N20</f>
        <v>0</v>
      </c>
      <c r="W20" s="0" t="n">
        <f aca="false">G20+O20</f>
        <v>0</v>
      </c>
      <c r="X20" s="0" t="n">
        <f aca="false">H20+P20</f>
        <v>0</v>
      </c>
      <c r="Y20" s="0" t="n">
        <f aca="false">I20+Q20</f>
        <v>0</v>
      </c>
      <c r="Z20" s="0" t="n">
        <f aca="false">MIN(R20,N('Debt Payoff'!E9))</f>
        <v>0</v>
      </c>
      <c r="AA20" s="0" t="n">
        <f aca="false">MIN(S20,N('Debt Payoff'!E10))</f>
        <v>40</v>
      </c>
      <c r="AB20" s="0" t="n">
        <f aca="false">MIN(T20,N('Debt Payoff'!E11))</f>
        <v>285</v>
      </c>
      <c r="AC20" s="0" t="n">
        <f aca="false">MIN(U20,N('Debt Payoff'!E12))</f>
        <v>160</v>
      </c>
      <c r="AD20" s="0" t="n">
        <f aca="false">MIN(V20,N('Debt Payoff'!E13))</f>
        <v>0</v>
      </c>
      <c r="AE20" s="0" t="n">
        <f aca="false">MIN(W20,N('Debt Payoff'!E14))</f>
        <v>0</v>
      </c>
      <c r="AF20" s="0" t="n">
        <f aca="false">MIN(X20,N('Debt Payoff'!E15))</f>
        <v>0</v>
      </c>
      <c r="AG20" s="0" t="n">
        <f aca="false">MIN(Y20,N('Debt Payoff'!E16))</f>
        <v>0</v>
      </c>
      <c r="AH20" s="0" t="n">
        <f aca="false">R20-Z20</f>
        <v>0</v>
      </c>
      <c r="AI20" s="0" t="n">
        <f aca="false">S20-AA20</f>
        <v>473.758122166667</v>
      </c>
      <c r="AJ20" s="0" t="n">
        <f aca="false">T20-AB20</f>
        <v>5476.8512325</v>
      </c>
      <c r="AK20" s="0" t="n">
        <f aca="false">U20-AC20</f>
        <v>12749.0264291667</v>
      </c>
      <c r="AL20" s="0" t="n">
        <f aca="false">V20-AD20</f>
        <v>0</v>
      </c>
      <c r="AM20" s="0" t="n">
        <f aca="false">W20-AE20</f>
        <v>0</v>
      </c>
      <c r="AN20" s="0" t="n">
        <f aca="false">X20-AF20</f>
        <v>0</v>
      </c>
      <c r="AO20" s="0" t="n">
        <f aca="false">Y20-AG20</f>
        <v>0</v>
      </c>
      <c r="AP20" s="0" t="n">
        <f aca="false">MAX(0,'Debt Payoff'!$D$17-SUM(Z20:AG20))</f>
        <v>320</v>
      </c>
      <c r="AQ20" s="0" t="n">
        <f aca="false">MIN(AH20,MAX(0,$AP20-SUMPRODUCT(($AH$1:$AO$1&lt;AH$1)*$AH20:$AO20)))</f>
        <v>0</v>
      </c>
      <c r="AR20" s="0" t="n">
        <f aca="false">MIN(AI20,MAX(0,$AP20-SUMPRODUCT(($AH$1:$AO$1&lt;AI$1)*$AH20:$AO20)))</f>
        <v>320</v>
      </c>
      <c r="AS20" s="0" t="n">
        <f aca="false">MIN(AJ20,MAX(0,$AP20-SUMPRODUCT(($AH$1:$AO$1&lt;AJ$1)*$AH20:$AO20)))</f>
        <v>0</v>
      </c>
      <c r="AT20" s="0" t="n">
        <f aca="false">MIN(AK20,MAX(0,$AP20-SUMPRODUCT(($AH$1:$AO$1&lt;AK$1)*$AH20:$AO20)))</f>
        <v>0</v>
      </c>
      <c r="AU20" s="0" t="n">
        <f aca="false">MIN(AL20,MAX(0,$AP20-SUMPRODUCT(($AH$1:$AO$1&lt;AL$1)*$AH20:$AO20)))</f>
        <v>0</v>
      </c>
      <c r="AV20" s="0" t="n">
        <f aca="false">MIN(AM20,MAX(0,$AP20-SUMPRODUCT(($AH$1:$AO$1&lt;AM$1)*$AH20:$AO20)))</f>
        <v>0</v>
      </c>
      <c r="AW20" s="0" t="n">
        <f aca="false">MIN(AN20,MAX(0,$AP20-SUMPRODUCT(($AH$1:$AO$1&lt;AN$1)*$AH20:$AO20)))</f>
        <v>0</v>
      </c>
      <c r="AX20" s="0" t="n">
        <f aca="false">MIN(AO20,MAX(0,$AP20-SUMPRODUCT(($AH$1:$AO$1&lt;AO$1)*$AH20:$AO20)))</f>
        <v>0</v>
      </c>
      <c r="AY20" s="0" t="n">
        <f aca="false">ROUND(AH20-AQ20,2)</f>
        <v>0</v>
      </c>
      <c r="AZ20" s="0" t="n">
        <f aca="false">ROUND(AI20-AR20,2)</f>
        <v>153.76</v>
      </c>
      <c r="BA20" s="0" t="n">
        <f aca="false">ROUND(AJ20-AS20,2)</f>
        <v>5476.85</v>
      </c>
      <c r="BB20" s="0" t="n">
        <f aca="false">ROUND(AK20-AT20,2)</f>
        <v>12749.03</v>
      </c>
      <c r="BC20" s="0" t="n">
        <f aca="false">ROUND(AL20-AU20,2)</f>
        <v>0</v>
      </c>
      <c r="BD20" s="0" t="n">
        <f aca="false">ROUND(AM20-AV20,2)</f>
        <v>0</v>
      </c>
      <c r="BE20" s="0" t="n">
        <f aca="false">ROUND(AN20-AW20,2)</f>
        <v>0</v>
      </c>
      <c r="BF20" s="0" t="n">
        <f aca="false">ROUND(AO20-AX20,2)</f>
        <v>0</v>
      </c>
      <c r="BG20" s="0" t="n">
        <f aca="false">SUM(AY20:BF20)</f>
        <v>18379.64</v>
      </c>
    </row>
    <row r="21" customFormat="false" ht="15" hidden="false" customHeight="false" outlineLevel="0" collapsed="false">
      <c r="A21" s="0" t="n">
        <v>19</v>
      </c>
      <c r="B21" s="0" t="n">
        <f aca="false">AY20</f>
        <v>0</v>
      </c>
      <c r="C21" s="0" t="n">
        <f aca="false">AZ20</f>
        <v>153.76</v>
      </c>
      <c r="D21" s="0" t="n">
        <f aca="false">BA20</f>
        <v>5476.85</v>
      </c>
      <c r="E21" s="0" t="n">
        <f aca="false">BB20</f>
        <v>12749.03</v>
      </c>
      <c r="F21" s="0" t="n">
        <f aca="false">BC20</f>
        <v>0</v>
      </c>
      <c r="G21" s="0" t="n">
        <f aca="false">BD20</f>
        <v>0</v>
      </c>
      <c r="H21" s="0" t="n">
        <f aca="false">BE20</f>
        <v>0</v>
      </c>
      <c r="I21" s="0" t="n">
        <f aca="false">BF20</f>
        <v>0</v>
      </c>
      <c r="J21" s="0" t="n">
        <f aca="false">B21*N('Debt Payoff'!D9)/12</f>
        <v>0</v>
      </c>
      <c r="K21" s="0" t="n">
        <f aca="false">C21*N('Debt Payoff'!D10)/12</f>
        <v>2.56138533333333</v>
      </c>
      <c r="L21" s="0" t="n">
        <f aca="false">D21*N('Debt Payoff'!D11)/12</f>
        <v>31.4918875</v>
      </c>
      <c r="M21" s="0" t="n">
        <f aca="false">E21*N('Debt Payoff'!D12)/12</f>
        <v>58.4330541666667</v>
      </c>
      <c r="N21" s="0" t="n">
        <f aca="false">F21*N('Debt Payoff'!D13)/12</f>
        <v>0</v>
      </c>
      <c r="O21" s="0" t="n">
        <f aca="false">G21*N('Debt Payoff'!D14)/12</f>
        <v>0</v>
      </c>
      <c r="P21" s="0" t="n">
        <f aca="false">H21*N('Debt Payoff'!D15)/12</f>
        <v>0</v>
      </c>
      <c r="Q21" s="0" t="n">
        <f aca="false">I21*N('Debt Payoff'!D16)/12</f>
        <v>0</v>
      </c>
      <c r="R21" s="0" t="n">
        <f aca="false">B21+J21</f>
        <v>0</v>
      </c>
      <c r="S21" s="0" t="n">
        <f aca="false">C21+K21</f>
        <v>156.321385333333</v>
      </c>
      <c r="T21" s="0" t="n">
        <f aca="false">D21+L21</f>
        <v>5508.3418875</v>
      </c>
      <c r="U21" s="0" t="n">
        <f aca="false">E21+M21</f>
        <v>12807.4630541667</v>
      </c>
      <c r="V21" s="0" t="n">
        <f aca="false">F21+N21</f>
        <v>0</v>
      </c>
      <c r="W21" s="0" t="n">
        <f aca="false">G21+O21</f>
        <v>0</v>
      </c>
      <c r="X21" s="0" t="n">
        <f aca="false">H21+P21</f>
        <v>0</v>
      </c>
      <c r="Y21" s="0" t="n">
        <f aca="false">I21+Q21</f>
        <v>0</v>
      </c>
      <c r="Z21" s="0" t="n">
        <f aca="false">MIN(R21,N('Debt Payoff'!E9))</f>
        <v>0</v>
      </c>
      <c r="AA21" s="0" t="n">
        <f aca="false">MIN(S21,N('Debt Payoff'!E10))</f>
        <v>40</v>
      </c>
      <c r="AB21" s="0" t="n">
        <f aca="false">MIN(T21,N('Debt Payoff'!E11))</f>
        <v>285</v>
      </c>
      <c r="AC21" s="0" t="n">
        <f aca="false">MIN(U21,N('Debt Payoff'!E12))</f>
        <v>160</v>
      </c>
      <c r="AD21" s="0" t="n">
        <f aca="false">MIN(V21,N('Debt Payoff'!E13))</f>
        <v>0</v>
      </c>
      <c r="AE21" s="0" t="n">
        <f aca="false">MIN(W21,N('Debt Payoff'!E14))</f>
        <v>0</v>
      </c>
      <c r="AF21" s="0" t="n">
        <f aca="false">MIN(X21,N('Debt Payoff'!E15))</f>
        <v>0</v>
      </c>
      <c r="AG21" s="0" t="n">
        <f aca="false">MIN(Y21,N('Debt Payoff'!E16))</f>
        <v>0</v>
      </c>
      <c r="AH21" s="0" t="n">
        <f aca="false">R21-Z21</f>
        <v>0</v>
      </c>
      <c r="AI21" s="0" t="n">
        <f aca="false">S21-AA21</f>
        <v>116.321385333333</v>
      </c>
      <c r="AJ21" s="0" t="n">
        <f aca="false">T21-AB21</f>
        <v>5223.3418875</v>
      </c>
      <c r="AK21" s="0" t="n">
        <f aca="false">U21-AC21</f>
        <v>12647.4630541667</v>
      </c>
      <c r="AL21" s="0" t="n">
        <f aca="false">V21-AD21</f>
        <v>0</v>
      </c>
      <c r="AM21" s="0" t="n">
        <f aca="false">W21-AE21</f>
        <v>0</v>
      </c>
      <c r="AN21" s="0" t="n">
        <f aca="false">X21-AF21</f>
        <v>0</v>
      </c>
      <c r="AO21" s="0" t="n">
        <f aca="false">Y21-AG21</f>
        <v>0</v>
      </c>
      <c r="AP21" s="0" t="n">
        <f aca="false">MAX(0,'Debt Payoff'!$D$17-SUM(Z21:AG21))</f>
        <v>320</v>
      </c>
      <c r="AQ21" s="0" t="n">
        <f aca="false">MIN(AH21,MAX(0,$AP21-SUMPRODUCT(($AH$1:$AO$1&lt;AH$1)*$AH21:$AO21)))</f>
        <v>0</v>
      </c>
      <c r="AR21" s="0" t="n">
        <f aca="false">MIN(AI21,MAX(0,$AP21-SUMPRODUCT(($AH$1:$AO$1&lt;AI$1)*$AH21:$AO21)))</f>
        <v>116.321385333333</v>
      </c>
      <c r="AS21" s="0" t="n">
        <f aca="false">MIN(AJ21,MAX(0,$AP21-SUMPRODUCT(($AH$1:$AO$1&lt;AJ$1)*$AH21:$AO21)))</f>
        <v>203.678614666667</v>
      </c>
      <c r="AT21" s="0" t="n">
        <f aca="false">MIN(AK21,MAX(0,$AP21-SUMPRODUCT(($AH$1:$AO$1&lt;AK$1)*$AH21:$AO21)))</f>
        <v>0</v>
      </c>
      <c r="AU21" s="0" t="n">
        <f aca="false">MIN(AL21,MAX(0,$AP21-SUMPRODUCT(($AH$1:$AO$1&lt;AL$1)*$AH21:$AO21)))</f>
        <v>0</v>
      </c>
      <c r="AV21" s="0" t="n">
        <f aca="false">MIN(AM21,MAX(0,$AP21-SUMPRODUCT(($AH$1:$AO$1&lt;AM$1)*$AH21:$AO21)))</f>
        <v>0</v>
      </c>
      <c r="AW21" s="0" t="n">
        <f aca="false">MIN(AN21,MAX(0,$AP21-SUMPRODUCT(($AH$1:$AO$1&lt;AN$1)*$AH21:$AO21)))</f>
        <v>0</v>
      </c>
      <c r="AX21" s="0" t="n">
        <f aca="false">MIN(AO21,MAX(0,$AP21-SUMPRODUCT(($AH$1:$AO$1&lt;AO$1)*$AH21:$AO21)))</f>
        <v>0</v>
      </c>
      <c r="AY21" s="0" t="n">
        <f aca="false">ROUND(AH21-AQ21,2)</f>
        <v>0</v>
      </c>
      <c r="AZ21" s="0" t="n">
        <f aca="false">ROUND(AI21-AR21,2)</f>
        <v>0</v>
      </c>
      <c r="BA21" s="0" t="n">
        <f aca="false">ROUND(AJ21-AS21,2)</f>
        <v>5019.66</v>
      </c>
      <c r="BB21" s="0" t="n">
        <f aca="false">ROUND(AK21-AT21,2)</f>
        <v>12647.46</v>
      </c>
      <c r="BC21" s="0" t="n">
        <f aca="false">ROUND(AL21-AU21,2)</f>
        <v>0</v>
      </c>
      <c r="BD21" s="0" t="n">
        <f aca="false">ROUND(AM21-AV21,2)</f>
        <v>0</v>
      </c>
      <c r="BE21" s="0" t="n">
        <f aca="false">ROUND(AN21-AW21,2)</f>
        <v>0</v>
      </c>
      <c r="BF21" s="0" t="n">
        <f aca="false">ROUND(AO21-AX21,2)</f>
        <v>0</v>
      </c>
      <c r="BG21" s="0" t="n">
        <f aca="false">SUM(AY21:BF21)</f>
        <v>17667.12</v>
      </c>
    </row>
    <row r="22" customFormat="false" ht="15" hidden="false" customHeight="false" outlineLevel="0" collapsed="false">
      <c r="A22" s="0" t="n">
        <v>20</v>
      </c>
      <c r="B22" s="0" t="n">
        <f aca="false">AY21</f>
        <v>0</v>
      </c>
      <c r="C22" s="0" t="n">
        <f aca="false">AZ21</f>
        <v>0</v>
      </c>
      <c r="D22" s="0" t="n">
        <f aca="false">BA21</f>
        <v>5019.66</v>
      </c>
      <c r="E22" s="0" t="n">
        <f aca="false">BB21</f>
        <v>12647.46</v>
      </c>
      <c r="F22" s="0" t="n">
        <f aca="false">BC21</f>
        <v>0</v>
      </c>
      <c r="G22" s="0" t="n">
        <f aca="false">BD21</f>
        <v>0</v>
      </c>
      <c r="H22" s="0" t="n">
        <f aca="false">BE21</f>
        <v>0</v>
      </c>
      <c r="I22" s="0" t="n">
        <f aca="false">BF21</f>
        <v>0</v>
      </c>
      <c r="J22" s="0" t="n">
        <f aca="false">B22*N('Debt Payoff'!D9)/12</f>
        <v>0</v>
      </c>
      <c r="K22" s="0" t="n">
        <f aca="false">C22*N('Debt Payoff'!D10)/12</f>
        <v>0</v>
      </c>
      <c r="L22" s="0" t="n">
        <f aca="false">D22*N('Debt Payoff'!D11)/12</f>
        <v>28.863045</v>
      </c>
      <c r="M22" s="0" t="n">
        <f aca="false">E22*N('Debt Payoff'!D12)/12</f>
        <v>57.967525</v>
      </c>
      <c r="N22" s="0" t="n">
        <f aca="false">F22*N('Debt Payoff'!D13)/12</f>
        <v>0</v>
      </c>
      <c r="O22" s="0" t="n">
        <f aca="false">G22*N('Debt Payoff'!D14)/12</f>
        <v>0</v>
      </c>
      <c r="P22" s="0" t="n">
        <f aca="false">H22*N('Debt Payoff'!D15)/12</f>
        <v>0</v>
      </c>
      <c r="Q22" s="0" t="n">
        <f aca="false">I22*N('Debt Payoff'!D16)/12</f>
        <v>0</v>
      </c>
      <c r="R22" s="0" t="n">
        <f aca="false">B22+J22</f>
        <v>0</v>
      </c>
      <c r="S22" s="0" t="n">
        <f aca="false">C22+K22</f>
        <v>0</v>
      </c>
      <c r="T22" s="0" t="n">
        <f aca="false">D22+L22</f>
        <v>5048.523045</v>
      </c>
      <c r="U22" s="0" t="n">
        <f aca="false">E22+M22</f>
        <v>12705.427525</v>
      </c>
      <c r="V22" s="0" t="n">
        <f aca="false">F22+N22</f>
        <v>0</v>
      </c>
      <c r="W22" s="0" t="n">
        <f aca="false">G22+O22</f>
        <v>0</v>
      </c>
      <c r="X22" s="0" t="n">
        <f aca="false">H22+P22</f>
        <v>0</v>
      </c>
      <c r="Y22" s="0" t="n">
        <f aca="false">I22+Q22</f>
        <v>0</v>
      </c>
      <c r="Z22" s="0" t="n">
        <f aca="false">MIN(R22,N('Debt Payoff'!E9))</f>
        <v>0</v>
      </c>
      <c r="AA22" s="0" t="n">
        <f aca="false">MIN(S22,N('Debt Payoff'!E10))</f>
        <v>0</v>
      </c>
      <c r="AB22" s="0" t="n">
        <f aca="false">MIN(T22,N('Debt Payoff'!E11))</f>
        <v>285</v>
      </c>
      <c r="AC22" s="0" t="n">
        <f aca="false">MIN(U22,N('Debt Payoff'!E12))</f>
        <v>160</v>
      </c>
      <c r="AD22" s="0" t="n">
        <f aca="false">MIN(V22,N('Debt Payoff'!E13))</f>
        <v>0</v>
      </c>
      <c r="AE22" s="0" t="n">
        <f aca="false">MIN(W22,N('Debt Payoff'!E14))</f>
        <v>0</v>
      </c>
      <c r="AF22" s="0" t="n">
        <f aca="false">MIN(X22,N('Debt Payoff'!E15))</f>
        <v>0</v>
      </c>
      <c r="AG22" s="0" t="n">
        <f aca="false">MIN(Y22,N('Debt Payoff'!E16))</f>
        <v>0</v>
      </c>
      <c r="AH22" s="0" t="n">
        <f aca="false">R22-Z22</f>
        <v>0</v>
      </c>
      <c r="AI22" s="0" t="n">
        <f aca="false">S22-AA22</f>
        <v>0</v>
      </c>
      <c r="AJ22" s="0" t="n">
        <f aca="false">T22-AB22</f>
        <v>4763.523045</v>
      </c>
      <c r="AK22" s="0" t="n">
        <f aca="false">U22-AC22</f>
        <v>12545.427525</v>
      </c>
      <c r="AL22" s="0" t="n">
        <f aca="false">V22-AD22</f>
        <v>0</v>
      </c>
      <c r="AM22" s="0" t="n">
        <f aca="false">W22-AE22</f>
        <v>0</v>
      </c>
      <c r="AN22" s="0" t="n">
        <f aca="false">X22-AF22</f>
        <v>0</v>
      </c>
      <c r="AO22" s="0" t="n">
        <f aca="false">Y22-AG22</f>
        <v>0</v>
      </c>
      <c r="AP22" s="0" t="n">
        <f aca="false">MAX(0,'Debt Payoff'!$D$17-SUM(Z22:AG22))</f>
        <v>360</v>
      </c>
      <c r="AQ22" s="0" t="n">
        <f aca="false">MIN(AH22,MAX(0,$AP22-SUMPRODUCT(($AH$1:$AO$1&lt;AH$1)*$AH22:$AO22)))</f>
        <v>0</v>
      </c>
      <c r="AR22" s="0" t="n">
        <f aca="false">MIN(AI22,MAX(0,$AP22-SUMPRODUCT(($AH$1:$AO$1&lt;AI$1)*$AH22:$AO22)))</f>
        <v>0</v>
      </c>
      <c r="AS22" s="0" t="n">
        <f aca="false">MIN(AJ22,MAX(0,$AP22-SUMPRODUCT(($AH$1:$AO$1&lt;AJ$1)*$AH22:$AO22)))</f>
        <v>360</v>
      </c>
      <c r="AT22" s="0" t="n">
        <f aca="false">MIN(AK22,MAX(0,$AP22-SUMPRODUCT(($AH$1:$AO$1&lt;AK$1)*$AH22:$AO22)))</f>
        <v>0</v>
      </c>
      <c r="AU22" s="0" t="n">
        <f aca="false">MIN(AL22,MAX(0,$AP22-SUMPRODUCT(($AH$1:$AO$1&lt;AL$1)*$AH22:$AO22)))</f>
        <v>0</v>
      </c>
      <c r="AV22" s="0" t="n">
        <f aca="false">MIN(AM22,MAX(0,$AP22-SUMPRODUCT(($AH$1:$AO$1&lt;AM$1)*$AH22:$AO22)))</f>
        <v>0</v>
      </c>
      <c r="AW22" s="0" t="n">
        <f aca="false">MIN(AN22,MAX(0,$AP22-SUMPRODUCT(($AH$1:$AO$1&lt;AN$1)*$AH22:$AO22)))</f>
        <v>0</v>
      </c>
      <c r="AX22" s="0" t="n">
        <f aca="false">MIN(AO22,MAX(0,$AP22-SUMPRODUCT(($AH$1:$AO$1&lt;AO$1)*$AH22:$AO22)))</f>
        <v>0</v>
      </c>
      <c r="AY22" s="0" t="n">
        <f aca="false">ROUND(AH22-AQ22,2)</f>
        <v>0</v>
      </c>
      <c r="AZ22" s="0" t="n">
        <f aca="false">ROUND(AI22-AR22,2)</f>
        <v>0</v>
      </c>
      <c r="BA22" s="0" t="n">
        <f aca="false">ROUND(AJ22-AS22,2)</f>
        <v>4403.52</v>
      </c>
      <c r="BB22" s="0" t="n">
        <f aca="false">ROUND(AK22-AT22,2)</f>
        <v>12545.43</v>
      </c>
      <c r="BC22" s="0" t="n">
        <f aca="false">ROUND(AL22-AU22,2)</f>
        <v>0</v>
      </c>
      <c r="BD22" s="0" t="n">
        <f aca="false">ROUND(AM22-AV22,2)</f>
        <v>0</v>
      </c>
      <c r="BE22" s="0" t="n">
        <f aca="false">ROUND(AN22-AW22,2)</f>
        <v>0</v>
      </c>
      <c r="BF22" s="0" t="n">
        <f aca="false">ROUND(AO22-AX22,2)</f>
        <v>0</v>
      </c>
      <c r="BG22" s="0" t="n">
        <f aca="false">SUM(AY22:BF22)</f>
        <v>16948.95</v>
      </c>
    </row>
    <row r="23" customFormat="false" ht="15" hidden="false" customHeight="false" outlineLevel="0" collapsed="false">
      <c r="A23" s="0" t="n">
        <v>21</v>
      </c>
      <c r="B23" s="0" t="n">
        <f aca="false">AY22</f>
        <v>0</v>
      </c>
      <c r="C23" s="0" t="n">
        <f aca="false">AZ22</f>
        <v>0</v>
      </c>
      <c r="D23" s="0" t="n">
        <f aca="false">BA22</f>
        <v>4403.52</v>
      </c>
      <c r="E23" s="0" t="n">
        <f aca="false">BB22</f>
        <v>12545.43</v>
      </c>
      <c r="F23" s="0" t="n">
        <f aca="false">BC22</f>
        <v>0</v>
      </c>
      <c r="G23" s="0" t="n">
        <f aca="false">BD22</f>
        <v>0</v>
      </c>
      <c r="H23" s="0" t="n">
        <f aca="false">BE22</f>
        <v>0</v>
      </c>
      <c r="I23" s="0" t="n">
        <f aca="false">BF22</f>
        <v>0</v>
      </c>
      <c r="J23" s="0" t="n">
        <f aca="false">B23*N('Debt Payoff'!D9)/12</f>
        <v>0</v>
      </c>
      <c r="K23" s="0" t="n">
        <f aca="false">C23*N('Debt Payoff'!D10)/12</f>
        <v>0</v>
      </c>
      <c r="L23" s="0" t="n">
        <f aca="false">D23*N('Debt Payoff'!D11)/12</f>
        <v>25.32024</v>
      </c>
      <c r="M23" s="0" t="n">
        <f aca="false">E23*N('Debt Payoff'!D12)/12</f>
        <v>57.4998875</v>
      </c>
      <c r="N23" s="0" t="n">
        <f aca="false">F23*N('Debt Payoff'!D13)/12</f>
        <v>0</v>
      </c>
      <c r="O23" s="0" t="n">
        <f aca="false">G23*N('Debt Payoff'!D14)/12</f>
        <v>0</v>
      </c>
      <c r="P23" s="0" t="n">
        <f aca="false">H23*N('Debt Payoff'!D15)/12</f>
        <v>0</v>
      </c>
      <c r="Q23" s="0" t="n">
        <f aca="false">I23*N('Debt Payoff'!D16)/12</f>
        <v>0</v>
      </c>
      <c r="R23" s="0" t="n">
        <f aca="false">B23+J23</f>
        <v>0</v>
      </c>
      <c r="S23" s="0" t="n">
        <f aca="false">C23+K23</f>
        <v>0</v>
      </c>
      <c r="T23" s="0" t="n">
        <f aca="false">D23+L23</f>
        <v>4428.84024</v>
      </c>
      <c r="U23" s="0" t="n">
        <f aca="false">E23+M23</f>
        <v>12602.9298875</v>
      </c>
      <c r="V23" s="0" t="n">
        <f aca="false">F23+N23</f>
        <v>0</v>
      </c>
      <c r="W23" s="0" t="n">
        <f aca="false">G23+O23</f>
        <v>0</v>
      </c>
      <c r="X23" s="0" t="n">
        <f aca="false">H23+P23</f>
        <v>0</v>
      </c>
      <c r="Y23" s="0" t="n">
        <f aca="false">I23+Q23</f>
        <v>0</v>
      </c>
      <c r="Z23" s="0" t="n">
        <f aca="false">MIN(R23,N('Debt Payoff'!E9))</f>
        <v>0</v>
      </c>
      <c r="AA23" s="0" t="n">
        <f aca="false">MIN(S23,N('Debt Payoff'!E10))</f>
        <v>0</v>
      </c>
      <c r="AB23" s="0" t="n">
        <f aca="false">MIN(T23,N('Debt Payoff'!E11))</f>
        <v>285</v>
      </c>
      <c r="AC23" s="0" t="n">
        <f aca="false">MIN(U23,N('Debt Payoff'!E12))</f>
        <v>160</v>
      </c>
      <c r="AD23" s="0" t="n">
        <f aca="false">MIN(V23,N('Debt Payoff'!E13))</f>
        <v>0</v>
      </c>
      <c r="AE23" s="0" t="n">
        <f aca="false">MIN(W23,N('Debt Payoff'!E14))</f>
        <v>0</v>
      </c>
      <c r="AF23" s="0" t="n">
        <f aca="false">MIN(X23,N('Debt Payoff'!E15))</f>
        <v>0</v>
      </c>
      <c r="AG23" s="0" t="n">
        <f aca="false">MIN(Y23,N('Debt Payoff'!E16))</f>
        <v>0</v>
      </c>
      <c r="AH23" s="0" t="n">
        <f aca="false">R23-Z23</f>
        <v>0</v>
      </c>
      <c r="AI23" s="0" t="n">
        <f aca="false">S23-AA23</f>
        <v>0</v>
      </c>
      <c r="AJ23" s="0" t="n">
        <f aca="false">T23-AB23</f>
        <v>4143.84024</v>
      </c>
      <c r="AK23" s="0" t="n">
        <f aca="false">U23-AC23</f>
        <v>12442.9298875</v>
      </c>
      <c r="AL23" s="0" t="n">
        <f aca="false">V23-AD23</f>
        <v>0</v>
      </c>
      <c r="AM23" s="0" t="n">
        <f aca="false">W23-AE23</f>
        <v>0</v>
      </c>
      <c r="AN23" s="0" t="n">
        <f aca="false">X23-AF23</f>
        <v>0</v>
      </c>
      <c r="AO23" s="0" t="n">
        <f aca="false">Y23-AG23</f>
        <v>0</v>
      </c>
      <c r="AP23" s="0" t="n">
        <f aca="false">MAX(0,'Debt Payoff'!$D$17-SUM(Z23:AG23))</f>
        <v>360</v>
      </c>
      <c r="AQ23" s="0" t="n">
        <f aca="false">MIN(AH23,MAX(0,$AP23-SUMPRODUCT(($AH$1:$AO$1&lt;AH$1)*$AH23:$AO23)))</f>
        <v>0</v>
      </c>
      <c r="AR23" s="0" t="n">
        <f aca="false">MIN(AI23,MAX(0,$AP23-SUMPRODUCT(($AH$1:$AO$1&lt;AI$1)*$AH23:$AO23)))</f>
        <v>0</v>
      </c>
      <c r="AS23" s="0" t="n">
        <f aca="false">MIN(AJ23,MAX(0,$AP23-SUMPRODUCT(($AH$1:$AO$1&lt;AJ$1)*$AH23:$AO23)))</f>
        <v>360</v>
      </c>
      <c r="AT23" s="0" t="n">
        <f aca="false">MIN(AK23,MAX(0,$AP23-SUMPRODUCT(($AH$1:$AO$1&lt;AK$1)*$AH23:$AO23)))</f>
        <v>0</v>
      </c>
      <c r="AU23" s="0" t="n">
        <f aca="false">MIN(AL23,MAX(0,$AP23-SUMPRODUCT(($AH$1:$AO$1&lt;AL$1)*$AH23:$AO23)))</f>
        <v>0</v>
      </c>
      <c r="AV23" s="0" t="n">
        <f aca="false">MIN(AM23,MAX(0,$AP23-SUMPRODUCT(($AH$1:$AO$1&lt;AM$1)*$AH23:$AO23)))</f>
        <v>0</v>
      </c>
      <c r="AW23" s="0" t="n">
        <f aca="false">MIN(AN23,MAX(0,$AP23-SUMPRODUCT(($AH$1:$AO$1&lt;AN$1)*$AH23:$AO23)))</f>
        <v>0</v>
      </c>
      <c r="AX23" s="0" t="n">
        <f aca="false">MIN(AO23,MAX(0,$AP23-SUMPRODUCT(($AH$1:$AO$1&lt;AO$1)*$AH23:$AO23)))</f>
        <v>0</v>
      </c>
      <c r="AY23" s="0" t="n">
        <f aca="false">ROUND(AH23-AQ23,2)</f>
        <v>0</v>
      </c>
      <c r="AZ23" s="0" t="n">
        <f aca="false">ROUND(AI23-AR23,2)</f>
        <v>0</v>
      </c>
      <c r="BA23" s="0" t="n">
        <f aca="false">ROUND(AJ23-AS23,2)</f>
        <v>3783.84</v>
      </c>
      <c r="BB23" s="0" t="n">
        <f aca="false">ROUND(AK23-AT23,2)</f>
        <v>12442.93</v>
      </c>
      <c r="BC23" s="0" t="n">
        <f aca="false">ROUND(AL23-AU23,2)</f>
        <v>0</v>
      </c>
      <c r="BD23" s="0" t="n">
        <f aca="false">ROUND(AM23-AV23,2)</f>
        <v>0</v>
      </c>
      <c r="BE23" s="0" t="n">
        <f aca="false">ROUND(AN23-AW23,2)</f>
        <v>0</v>
      </c>
      <c r="BF23" s="0" t="n">
        <f aca="false">ROUND(AO23-AX23,2)</f>
        <v>0</v>
      </c>
      <c r="BG23" s="0" t="n">
        <f aca="false">SUM(AY23:BF23)</f>
        <v>16226.77</v>
      </c>
    </row>
    <row r="24" customFormat="false" ht="15" hidden="false" customHeight="false" outlineLevel="0" collapsed="false">
      <c r="A24" s="0" t="n">
        <v>22</v>
      </c>
      <c r="B24" s="0" t="n">
        <f aca="false">AY23</f>
        <v>0</v>
      </c>
      <c r="C24" s="0" t="n">
        <f aca="false">AZ23</f>
        <v>0</v>
      </c>
      <c r="D24" s="0" t="n">
        <f aca="false">BA23</f>
        <v>3783.84</v>
      </c>
      <c r="E24" s="0" t="n">
        <f aca="false">BB23</f>
        <v>12442.93</v>
      </c>
      <c r="F24" s="0" t="n">
        <f aca="false">BC23</f>
        <v>0</v>
      </c>
      <c r="G24" s="0" t="n">
        <f aca="false">BD23</f>
        <v>0</v>
      </c>
      <c r="H24" s="0" t="n">
        <f aca="false">BE23</f>
        <v>0</v>
      </c>
      <c r="I24" s="0" t="n">
        <f aca="false">BF23</f>
        <v>0</v>
      </c>
      <c r="J24" s="0" t="n">
        <f aca="false">B24*N('Debt Payoff'!D9)/12</f>
        <v>0</v>
      </c>
      <c r="K24" s="0" t="n">
        <f aca="false">C24*N('Debt Payoff'!D10)/12</f>
        <v>0</v>
      </c>
      <c r="L24" s="0" t="n">
        <f aca="false">D24*N('Debt Payoff'!D11)/12</f>
        <v>21.75708</v>
      </c>
      <c r="M24" s="0" t="n">
        <f aca="false">E24*N('Debt Payoff'!D12)/12</f>
        <v>57.0300958333333</v>
      </c>
      <c r="N24" s="0" t="n">
        <f aca="false">F24*N('Debt Payoff'!D13)/12</f>
        <v>0</v>
      </c>
      <c r="O24" s="0" t="n">
        <f aca="false">G24*N('Debt Payoff'!D14)/12</f>
        <v>0</v>
      </c>
      <c r="P24" s="0" t="n">
        <f aca="false">H24*N('Debt Payoff'!D15)/12</f>
        <v>0</v>
      </c>
      <c r="Q24" s="0" t="n">
        <f aca="false">I24*N('Debt Payoff'!D16)/12</f>
        <v>0</v>
      </c>
      <c r="R24" s="0" t="n">
        <f aca="false">B24+J24</f>
        <v>0</v>
      </c>
      <c r="S24" s="0" t="n">
        <f aca="false">C24+K24</f>
        <v>0</v>
      </c>
      <c r="T24" s="0" t="n">
        <f aca="false">D24+L24</f>
        <v>3805.59708</v>
      </c>
      <c r="U24" s="0" t="n">
        <f aca="false">E24+M24</f>
        <v>12499.9600958333</v>
      </c>
      <c r="V24" s="0" t="n">
        <f aca="false">F24+N24</f>
        <v>0</v>
      </c>
      <c r="W24" s="0" t="n">
        <f aca="false">G24+O24</f>
        <v>0</v>
      </c>
      <c r="X24" s="0" t="n">
        <f aca="false">H24+P24</f>
        <v>0</v>
      </c>
      <c r="Y24" s="0" t="n">
        <f aca="false">I24+Q24</f>
        <v>0</v>
      </c>
      <c r="Z24" s="0" t="n">
        <f aca="false">MIN(R24,N('Debt Payoff'!E9))</f>
        <v>0</v>
      </c>
      <c r="AA24" s="0" t="n">
        <f aca="false">MIN(S24,N('Debt Payoff'!E10))</f>
        <v>0</v>
      </c>
      <c r="AB24" s="0" t="n">
        <f aca="false">MIN(T24,N('Debt Payoff'!E11))</f>
        <v>285</v>
      </c>
      <c r="AC24" s="0" t="n">
        <f aca="false">MIN(U24,N('Debt Payoff'!E12))</f>
        <v>160</v>
      </c>
      <c r="AD24" s="0" t="n">
        <f aca="false">MIN(V24,N('Debt Payoff'!E13))</f>
        <v>0</v>
      </c>
      <c r="AE24" s="0" t="n">
        <f aca="false">MIN(W24,N('Debt Payoff'!E14))</f>
        <v>0</v>
      </c>
      <c r="AF24" s="0" t="n">
        <f aca="false">MIN(X24,N('Debt Payoff'!E15))</f>
        <v>0</v>
      </c>
      <c r="AG24" s="0" t="n">
        <f aca="false">MIN(Y24,N('Debt Payoff'!E16))</f>
        <v>0</v>
      </c>
      <c r="AH24" s="0" t="n">
        <f aca="false">R24-Z24</f>
        <v>0</v>
      </c>
      <c r="AI24" s="0" t="n">
        <f aca="false">S24-AA24</f>
        <v>0</v>
      </c>
      <c r="AJ24" s="0" t="n">
        <f aca="false">T24-AB24</f>
        <v>3520.59708</v>
      </c>
      <c r="AK24" s="0" t="n">
        <f aca="false">U24-AC24</f>
        <v>12339.9600958333</v>
      </c>
      <c r="AL24" s="0" t="n">
        <f aca="false">V24-AD24</f>
        <v>0</v>
      </c>
      <c r="AM24" s="0" t="n">
        <f aca="false">W24-AE24</f>
        <v>0</v>
      </c>
      <c r="AN24" s="0" t="n">
        <f aca="false">X24-AF24</f>
        <v>0</v>
      </c>
      <c r="AO24" s="0" t="n">
        <f aca="false">Y24-AG24</f>
        <v>0</v>
      </c>
      <c r="AP24" s="0" t="n">
        <f aca="false">MAX(0,'Debt Payoff'!$D$17-SUM(Z24:AG24))</f>
        <v>360</v>
      </c>
      <c r="AQ24" s="0" t="n">
        <f aca="false">MIN(AH24,MAX(0,$AP24-SUMPRODUCT(($AH$1:$AO$1&lt;AH$1)*$AH24:$AO24)))</f>
        <v>0</v>
      </c>
      <c r="AR24" s="0" t="n">
        <f aca="false">MIN(AI24,MAX(0,$AP24-SUMPRODUCT(($AH$1:$AO$1&lt;AI$1)*$AH24:$AO24)))</f>
        <v>0</v>
      </c>
      <c r="AS24" s="0" t="n">
        <f aca="false">MIN(AJ24,MAX(0,$AP24-SUMPRODUCT(($AH$1:$AO$1&lt;AJ$1)*$AH24:$AO24)))</f>
        <v>360</v>
      </c>
      <c r="AT24" s="0" t="n">
        <f aca="false">MIN(AK24,MAX(0,$AP24-SUMPRODUCT(($AH$1:$AO$1&lt;AK$1)*$AH24:$AO24)))</f>
        <v>0</v>
      </c>
      <c r="AU24" s="0" t="n">
        <f aca="false">MIN(AL24,MAX(0,$AP24-SUMPRODUCT(($AH$1:$AO$1&lt;AL$1)*$AH24:$AO24)))</f>
        <v>0</v>
      </c>
      <c r="AV24" s="0" t="n">
        <f aca="false">MIN(AM24,MAX(0,$AP24-SUMPRODUCT(($AH$1:$AO$1&lt;AM$1)*$AH24:$AO24)))</f>
        <v>0</v>
      </c>
      <c r="AW24" s="0" t="n">
        <f aca="false">MIN(AN24,MAX(0,$AP24-SUMPRODUCT(($AH$1:$AO$1&lt;AN$1)*$AH24:$AO24)))</f>
        <v>0</v>
      </c>
      <c r="AX24" s="0" t="n">
        <f aca="false">MIN(AO24,MAX(0,$AP24-SUMPRODUCT(($AH$1:$AO$1&lt;AO$1)*$AH24:$AO24)))</f>
        <v>0</v>
      </c>
      <c r="AY24" s="0" t="n">
        <f aca="false">ROUND(AH24-AQ24,2)</f>
        <v>0</v>
      </c>
      <c r="AZ24" s="0" t="n">
        <f aca="false">ROUND(AI24-AR24,2)</f>
        <v>0</v>
      </c>
      <c r="BA24" s="0" t="n">
        <f aca="false">ROUND(AJ24-AS24,2)</f>
        <v>3160.6</v>
      </c>
      <c r="BB24" s="0" t="n">
        <f aca="false">ROUND(AK24-AT24,2)</f>
        <v>12339.96</v>
      </c>
      <c r="BC24" s="0" t="n">
        <f aca="false">ROUND(AL24-AU24,2)</f>
        <v>0</v>
      </c>
      <c r="BD24" s="0" t="n">
        <f aca="false">ROUND(AM24-AV24,2)</f>
        <v>0</v>
      </c>
      <c r="BE24" s="0" t="n">
        <f aca="false">ROUND(AN24-AW24,2)</f>
        <v>0</v>
      </c>
      <c r="BF24" s="0" t="n">
        <f aca="false">ROUND(AO24-AX24,2)</f>
        <v>0</v>
      </c>
      <c r="BG24" s="0" t="n">
        <f aca="false">SUM(AY24:BF24)</f>
        <v>15500.56</v>
      </c>
    </row>
    <row r="25" customFormat="false" ht="15" hidden="false" customHeight="false" outlineLevel="0" collapsed="false">
      <c r="A25" s="0" t="n">
        <v>23</v>
      </c>
      <c r="B25" s="0" t="n">
        <f aca="false">AY24</f>
        <v>0</v>
      </c>
      <c r="C25" s="0" t="n">
        <f aca="false">AZ24</f>
        <v>0</v>
      </c>
      <c r="D25" s="0" t="n">
        <f aca="false">BA24</f>
        <v>3160.6</v>
      </c>
      <c r="E25" s="0" t="n">
        <f aca="false">BB24</f>
        <v>12339.96</v>
      </c>
      <c r="F25" s="0" t="n">
        <f aca="false">BC24</f>
        <v>0</v>
      </c>
      <c r="G25" s="0" t="n">
        <f aca="false">BD24</f>
        <v>0</v>
      </c>
      <c r="H25" s="0" t="n">
        <f aca="false">BE24</f>
        <v>0</v>
      </c>
      <c r="I25" s="0" t="n">
        <f aca="false">BF24</f>
        <v>0</v>
      </c>
      <c r="J25" s="0" t="n">
        <f aca="false">B25*N('Debt Payoff'!D9)/12</f>
        <v>0</v>
      </c>
      <c r="K25" s="0" t="n">
        <f aca="false">C25*N('Debt Payoff'!D10)/12</f>
        <v>0</v>
      </c>
      <c r="L25" s="0" t="n">
        <f aca="false">D25*N('Debt Payoff'!D11)/12</f>
        <v>18.17345</v>
      </c>
      <c r="M25" s="0" t="n">
        <f aca="false">E25*N('Debt Payoff'!D12)/12</f>
        <v>56.55815</v>
      </c>
      <c r="N25" s="0" t="n">
        <f aca="false">F25*N('Debt Payoff'!D13)/12</f>
        <v>0</v>
      </c>
      <c r="O25" s="0" t="n">
        <f aca="false">G25*N('Debt Payoff'!D14)/12</f>
        <v>0</v>
      </c>
      <c r="P25" s="0" t="n">
        <f aca="false">H25*N('Debt Payoff'!D15)/12</f>
        <v>0</v>
      </c>
      <c r="Q25" s="0" t="n">
        <f aca="false">I25*N('Debt Payoff'!D16)/12</f>
        <v>0</v>
      </c>
      <c r="R25" s="0" t="n">
        <f aca="false">B25+J25</f>
        <v>0</v>
      </c>
      <c r="S25" s="0" t="n">
        <f aca="false">C25+K25</f>
        <v>0</v>
      </c>
      <c r="T25" s="0" t="n">
        <f aca="false">D25+L25</f>
        <v>3178.77345</v>
      </c>
      <c r="U25" s="0" t="n">
        <f aca="false">E25+M25</f>
        <v>12396.51815</v>
      </c>
      <c r="V25" s="0" t="n">
        <f aca="false">F25+N25</f>
        <v>0</v>
      </c>
      <c r="W25" s="0" t="n">
        <f aca="false">G25+O25</f>
        <v>0</v>
      </c>
      <c r="X25" s="0" t="n">
        <f aca="false">H25+P25</f>
        <v>0</v>
      </c>
      <c r="Y25" s="0" t="n">
        <f aca="false">I25+Q25</f>
        <v>0</v>
      </c>
      <c r="Z25" s="0" t="n">
        <f aca="false">MIN(R25,N('Debt Payoff'!E9))</f>
        <v>0</v>
      </c>
      <c r="AA25" s="0" t="n">
        <f aca="false">MIN(S25,N('Debt Payoff'!E10))</f>
        <v>0</v>
      </c>
      <c r="AB25" s="0" t="n">
        <f aca="false">MIN(T25,N('Debt Payoff'!E11))</f>
        <v>285</v>
      </c>
      <c r="AC25" s="0" t="n">
        <f aca="false">MIN(U25,N('Debt Payoff'!E12))</f>
        <v>160</v>
      </c>
      <c r="AD25" s="0" t="n">
        <f aca="false">MIN(V25,N('Debt Payoff'!E13))</f>
        <v>0</v>
      </c>
      <c r="AE25" s="0" t="n">
        <f aca="false">MIN(W25,N('Debt Payoff'!E14))</f>
        <v>0</v>
      </c>
      <c r="AF25" s="0" t="n">
        <f aca="false">MIN(X25,N('Debt Payoff'!E15))</f>
        <v>0</v>
      </c>
      <c r="AG25" s="0" t="n">
        <f aca="false">MIN(Y25,N('Debt Payoff'!E16))</f>
        <v>0</v>
      </c>
      <c r="AH25" s="0" t="n">
        <f aca="false">R25-Z25</f>
        <v>0</v>
      </c>
      <c r="AI25" s="0" t="n">
        <f aca="false">S25-AA25</f>
        <v>0</v>
      </c>
      <c r="AJ25" s="0" t="n">
        <f aca="false">T25-AB25</f>
        <v>2893.77345</v>
      </c>
      <c r="AK25" s="0" t="n">
        <f aca="false">U25-AC25</f>
        <v>12236.51815</v>
      </c>
      <c r="AL25" s="0" t="n">
        <f aca="false">V25-AD25</f>
        <v>0</v>
      </c>
      <c r="AM25" s="0" t="n">
        <f aca="false">W25-AE25</f>
        <v>0</v>
      </c>
      <c r="AN25" s="0" t="n">
        <f aca="false">X25-AF25</f>
        <v>0</v>
      </c>
      <c r="AO25" s="0" t="n">
        <f aca="false">Y25-AG25</f>
        <v>0</v>
      </c>
      <c r="AP25" s="0" t="n">
        <f aca="false">MAX(0,'Debt Payoff'!$D$17-SUM(Z25:AG25))</f>
        <v>360</v>
      </c>
      <c r="AQ25" s="0" t="n">
        <f aca="false">MIN(AH25,MAX(0,$AP25-SUMPRODUCT(($AH$1:$AO$1&lt;AH$1)*$AH25:$AO25)))</f>
        <v>0</v>
      </c>
      <c r="AR25" s="0" t="n">
        <f aca="false">MIN(AI25,MAX(0,$AP25-SUMPRODUCT(($AH$1:$AO$1&lt;AI$1)*$AH25:$AO25)))</f>
        <v>0</v>
      </c>
      <c r="AS25" s="0" t="n">
        <f aca="false">MIN(AJ25,MAX(0,$AP25-SUMPRODUCT(($AH$1:$AO$1&lt;AJ$1)*$AH25:$AO25)))</f>
        <v>360</v>
      </c>
      <c r="AT25" s="0" t="n">
        <f aca="false">MIN(AK25,MAX(0,$AP25-SUMPRODUCT(($AH$1:$AO$1&lt;AK$1)*$AH25:$AO25)))</f>
        <v>0</v>
      </c>
      <c r="AU25" s="0" t="n">
        <f aca="false">MIN(AL25,MAX(0,$AP25-SUMPRODUCT(($AH$1:$AO$1&lt;AL$1)*$AH25:$AO25)))</f>
        <v>0</v>
      </c>
      <c r="AV25" s="0" t="n">
        <f aca="false">MIN(AM25,MAX(0,$AP25-SUMPRODUCT(($AH$1:$AO$1&lt;AM$1)*$AH25:$AO25)))</f>
        <v>0</v>
      </c>
      <c r="AW25" s="0" t="n">
        <f aca="false">MIN(AN25,MAX(0,$AP25-SUMPRODUCT(($AH$1:$AO$1&lt;AN$1)*$AH25:$AO25)))</f>
        <v>0</v>
      </c>
      <c r="AX25" s="0" t="n">
        <f aca="false">MIN(AO25,MAX(0,$AP25-SUMPRODUCT(($AH$1:$AO$1&lt;AO$1)*$AH25:$AO25)))</f>
        <v>0</v>
      </c>
      <c r="AY25" s="0" t="n">
        <f aca="false">ROUND(AH25-AQ25,2)</f>
        <v>0</v>
      </c>
      <c r="AZ25" s="0" t="n">
        <f aca="false">ROUND(AI25-AR25,2)</f>
        <v>0</v>
      </c>
      <c r="BA25" s="0" t="n">
        <f aca="false">ROUND(AJ25-AS25,2)</f>
        <v>2533.77</v>
      </c>
      <c r="BB25" s="0" t="n">
        <f aca="false">ROUND(AK25-AT25,2)</f>
        <v>12236.52</v>
      </c>
      <c r="BC25" s="0" t="n">
        <f aca="false">ROUND(AL25-AU25,2)</f>
        <v>0</v>
      </c>
      <c r="BD25" s="0" t="n">
        <f aca="false">ROUND(AM25-AV25,2)</f>
        <v>0</v>
      </c>
      <c r="BE25" s="0" t="n">
        <f aca="false">ROUND(AN25-AW25,2)</f>
        <v>0</v>
      </c>
      <c r="BF25" s="0" t="n">
        <f aca="false">ROUND(AO25-AX25,2)</f>
        <v>0</v>
      </c>
      <c r="BG25" s="0" t="n">
        <f aca="false">SUM(AY25:BF25)</f>
        <v>14770.29</v>
      </c>
    </row>
    <row r="26" customFormat="false" ht="15" hidden="false" customHeight="false" outlineLevel="0" collapsed="false">
      <c r="A26" s="0" t="n">
        <v>24</v>
      </c>
      <c r="B26" s="0" t="n">
        <f aca="false">AY25</f>
        <v>0</v>
      </c>
      <c r="C26" s="0" t="n">
        <f aca="false">AZ25</f>
        <v>0</v>
      </c>
      <c r="D26" s="0" t="n">
        <f aca="false">BA25</f>
        <v>2533.77</v>
      </c>
      <c r="E26" s="0" t="n">
        <f aca="false">BB25</f>
        <v>12236.52</v>
      </c>
      <c r="F26" s="0" t="n">
        <f aca="false">BC25</f>
        <v>0</v>
      </c>
      <c r="G26" s="0" t="n">
        <f aca="false">BD25</f>
        <v>0</v>
      </c>
      <c r="H26" s="0" t="n">
        <f aca="false">BE25</f>
        <v>0</v>
      </c>
      <c r="I26" s="0" t="n">
        <f aca="false">BF25</f>
        <v>0</v>
      </c>
      <c r="J26" s="0" t="n">
        <f aca="false">B26*N('Debt Payoff'!D9)/12</f>
        <v>0</v>
      </c>
      <c r="K26" s="0" t="n">
        <f aca="false">C26*N('Debt Payoff'!D10)/12</f>
        <v>0</v>
      </c>
      <c r="L26" s="0" t="n">
        <f aca="false">D26*N('Debt Payoff'!D11)/12</f>
        <v>14.5691775</v>
      </c>
      <c r="M26" s="0" t="n">
        <f aca="false">E26*N('Debt Payoff'!D12)/12</f>
        <v>56.08405</v>
      </c>
      <c r="N26" s="0" t="n">
        <f aca="false">F26*N('Debt Payoff'!D13)/12</f>
        <v>0</v>
      </c>
      <c r="O26" s="0" t="n">
        <f aca="false">G26*N('Debt Payoff'!D14)/12</f>
        <v>0</v>
      </c>
      <c r="P26" s="0" t="n">
        <f aca="false">H26*N('Debt Payoff'!D15)/12</f>
        <v>0</v>
      </c>
      <c r="Q26" s="0" t="n">
        <f aca="false">I26*N('Debt Payoff'!D16)/12</f>
        <v>0</v>
      </c>
      <c r="R26" s="0" t="n">
        <f aca="false">B26+J26</f>
        <v>0</v>
      </c>
      <c r="S26" s="0" t="n">
        <f aca="false">C26+K26</f>
        <v>0</v>
      </c>
      <c r="T26" s="0" t="n">
        <f aca="false">D26+L26</f>
        <v>2548.3391775</v>
      </c>
      <c r="U26" s="0" t="n">
        <f aca="false">E26+M26</f>
        <v>12292.60405</v>
      </c>
      <c r="V26" s="0" t="n">
        <f aca="false">F26+N26</f>
        <v>0</v>
      </c>
      <c r="W26" s="0" t="n">
        <f aca="false">G26+O26</f>
        <v>0</v>
      </c>
      <c r="X26" s="0" t="n">
        <f aca="false">H26+P26</f>
        <v>0</v>
      </c>
      <c r="Y26" s="0" t="n">
        <f aca="false">I26+Q26</f>
        <v>0</v>
      </c>
      <c r="Z26" s="0" t="n">
        <f aca="false">MIN(R26,N('Debt Payoff'!E9))</f>
        <v>0</v>
      </c>
      <c r="AA26" s="0" t="n">
        <f aca="false">MIN(S26,N('Debt Payoff'!E10))</f>
        <v>0</v>
      </c>
      <c r="AB26" s="0" t="n">
        <f aca="false">MIN(T26,N('Debt Payoff'!E11))</f>
        <v>285</v>
      </c>
      <c r="AC26" s="0" t="n">
        <f aca="false">MIN(U26,N('Debt Payoff'!E12))</f>
        <v>160</v>
      </c>
      <c r="AD26" s="0" t="n">
        <f aca="false">MIN(V26,N('Debt Payoff'!E13))</f>
        <v>0</v>
      </c>
      <c r="AE26" s="0" t="n">
        <f aca="false">MIN(W26,N('Debt Payoff'!E14))</f>
        <v>0</v>
      </c>
      <c r="AF26" s="0" t="n">
        <f aca="false">MIN(X26,N('Debt Payoff'!E15))</f>
        <v>0</v>
      </c>
      <c r="AG26" s="0" t="n">
        <f aca="false">MIN(Y26,N('Debt Payoff'!E16))</f>
        <v>0</v>
      </c>
      <c r="AH26" s="0" t="n">
        <f aca="false">R26-Z26</f>
        <v>0</v>
      </c>
      <c r="AI26" s="0" t="n">
        <f aca="false">S26-AA26</f>
        <v>0</v>
      </c>
      <c r="AJ26" s="0" t="n">
        <f aca="false">T26-AB26</f>
        <v>2263.3391775</v>
      </c>
      <c r="AK26" s="0" t="n">
        <f aca="false">U26-AC26</f>
        <v>12132.60405</v>
      </c>
      <c r="AL26" s="0" t="n">
        <f aca="false">V26-AD26</f>
        <v>0</v>
      </c>
      <c r="AM26" s="0" t="n">
        <f aca="false">W26-AE26</f>
        <v>0</v>
      </c>
      <c r="AN26" s="0" t="n">
        <f aca="false">X26-AF26</f>
        <v>0</v>
      </c>
      <c r="AO26" s="0" t="n">
        <f aca="false">Y26-AG26</f>
        <v>0</v>
      </c>
      <c r="AP26" s="0" t="n">
        <f aca="false">MAX(0,'Debt Payoff'!$D$17-SUM(Z26:AG26))</f>
        <v>360</v>
      </c>
      <c r="AQ26" s="0" t="n">
        <f aca="false">MIN(AH26,MAX(0,$AP26-SUMPRODUCT(($AH$1:$AO$1&lt;AH$1)*$AH26:$AO26)))</f>
        <v>0</v>
      </c>
      <c r="AR26" s="0" t="n">
        <f aca="false">MIN(AI26,MAX(0,$AP26-SUMPRODUCT(($AH$1:$AO$1&lt;AI$1)*$AH26:$AO26)))</f>
        <v>0</v>
      </c>
      <c r="AS26" s="0" t="n">
        <f aca="false">MIN(AJ26,MAX(0,$AP26-SUMPRODUCT(($AH$1:$AO$1&lt;AJ$1)*$AH26:$AO26)))</f>
        <v>360</v>
      </c>
      <c r="AT26" s="0" t="n">
        <f aca="false">MIN(AK26,MAX(0,$AP26-SUMPRODUCT(($AH$1:$AO$1&lt;AK$1)*$AH26:$AO26)))</f>
        <v>0</v>
      </c>
      <c r="AU26" s="0" t="n">
        <f aca="false">MIN(AL26,MAX(0,$AP26-SUMPRODUCT(($AH$1:$AO$1&lt;AL$1)*$AH26:$AO26)))</f>
        <v>0</v>
      </c>
      <c r="AV26" s="0" t="n">
        <f aca="false">MIN(AM26,MAX(0,$AP26-SUMPRODUCT(($AH$1:$AO$1&lt;AM$1)*$AH26:$AO26)))</f>
        <v>0</v>
      </c>
      <c r="AW26" s="0" t="n">
        <f aca="false">MIN(AN26,MAX(0,$AP26-SUMPRODUCT(($AH$1:$AO$1&lt;AN$1)*$AH26:$AO26)))</f>
        <v>0</v>
      </c>
      <c r="AX26" s="0" t="n">
        <f aca="false">MIN(AO26,MAX(0,$AP26-SUMPRODUCT(($AH$1:$AO$1&lt;AO$1)*$AH26:$AO26)))</f>
        <v>0</v>
      </c>
      <c r="AY26" s="0" t="n">
        <f aca="false">ROUND(AH26-AQ26,2)</f>
        <v>0</v>
      </c>
      <c r="AZ26" s="0" t="n">
        <f aca="false">ROUND(AI26-AR26,2)</f>
        <v>0</v>
      </c>
      <c r="BA26" s="0" t="n">
        <f aca="false">ROUND(AJ26-AS26,2)</f>
        <v>1903.34</v>
      </c>
      <c r="BB26" s="0" t="n">
        <f aca="false">ROUND(AK26-AT26,2)</f>
        <v>12132.6</v>
      </c>
      <c r="BC26" s="0" t="n">
        <f aca="false">ROUND(AL26-AU26,2)</f>
        <v>0</v>
      </c>
      <c r="BD26" s="0" t="n">
        <f aca="false">ROUND(AM26-AV26,2)</f>
        <v>0</v>
      </c>
      <c r="BE26" s="0" t="n">
        <f aca="false">ROUND(AN26-AW26,2)</f>
        <v>0</v>
      </c>
      <c r="BF26" s="0" t="n">
        <f aca="false">ROUND(AO26-AX26,2)</f>
        <v>0</v>
      </c>
      <c r="BG26" s="0" t="n">
        <f aca="false">SUM(AY26:BF26)</f>
        <v>14035.94</v>
      </c>
    </row>
    <row r="27" customFormat="false" ht="15" hidden="false" customHeight="false" outlineLevel="0" collapsed="false">
      <c r="A27" s="0" t="n">
        <v>25</v>
      </c>
      <c r="B27" s="0" t="n">
        <f aca="false">AY26</f>
        <v>0</v>
      </c>
      <c r="C27" s="0" t="n">
        <f aca="false">AZ26</f>
        <v>0</v>
      </c>
      <c r="D27" s="0" t="n">
        <f aca="false">BA26</f>
        <v>1903.34</v>
      </c>
      <c r="E27" s="0" t="n">
        <f aca="false">BB26</f>
        <v>12132.6</v>
      </c>
      <c r="F27" s="0" t="n">
        <f aca="false">BC26</f>
        <v>0</v>
      </c>
      <c r="G27" s="0" t="n">
        <f aca="false">BD26</f>
        <v>0</v>
      </c>
      <c r="H27" s="0" t="n">
        <f aca="false">BE26</f>
        <v>0</v>
      </c>
      <c r="I27" s="0" t="n">
        <f aca="false">BF26</f>
        <v>0</v>
      </c>
      <c r="J27" s="0" t="n">
        <f aca="false">B27*N('Debt Payoff'!D9)/12</f>
        <v>0</v>
      </c>
      <c r="K27" s="0" t="n">
        <f aca="false">C27*N('Debt Payoff'!D10)/12</f>
        <v>0</v>
      </c>
      <c r="L27" s="0" t="n">
        <f aca="false">D27*N('Debt Payoff'!D11)/12</f>
        <v>10.944205</v>
      </c>
      <c r="M27" s="0" t="n">
        <f aca="false">E27*N('Debt Payoff'!D12)/12</f>
        <v>55.60775</v>
      </c>
      <c r="N27" s="0" t="n">
        <f aca="false">F27*N('Debt Payoff'!D13)/12</f>
        <v>0</v>
      </c>
      <c r="O27" s="0" t="n">
        <f aca="false">G27*N('Debt Payoff'!D14)/12</f>
        <v>0</v>
      </c>
      <c r="P27" s="0" t="n">
        <f aca="false">H27*N('Debt Payoff'!D15)/12</f>
        <v>0</v>
      </c>
      <c r="Q27" s="0" t="n">
        <f aca="false">I27*N('Debt Payoff'!D16)/12</f>
        <v>0</v>
      </c>
      <c r="R27" s="0" t="n">
        <f aca="false">B27+J27</f>
        <v>0</v>
      </c>
      <c r="S27" s="0" t="n">
        <f aca="false">C27+K27</f>
        <v>0</v>
      </c>
      <c r="T27" s="0" t="n">
        <f aca="false">D27+L27</f>
        <v>1914.284205</v>
      </c>
      <c r="U27" s="0" t="n">
        <f aca="false">E27+M27</f>
        <v>12188.20775</v>
      </c>
      <c r="V27" s="0" t="n">
        <f aca="false">F27+N27</f>
        <v>0</v>
      </c>
      <c r="W27" s="0" t="n">
        <f aca="false">G27+O27</f>
        <v>0</v>
      </c>
      <c r="X27" s="0" t="n">
        <f aca="false">H27+P27</f>
        <v>0</v>
      </c>
      <c r="Y27" s="0" t="n">
        <f aca="false">I27+Q27</f>
        <v>0</v>
      </c>
      <c r="Z27" s="0" t="n">
        <f aca="false">MIN(R27,N('Debt Payoff'!E9))</f>
        <v>0</v>
      </c>
      <c r="AA27" s="0" t="n">
        <f aca="false">MIN(S27,N('Debt Payoff'!E10))</f>
        <v>0</v>
      </c>
      <c r="AB27" s="0" t="n">
        <f aca="false">MIN(T27,N('Debt Payoff'!E11))</f>
        <v>285</v>
      </c>
      <c r="AC27" s="0" t="n">
        <f aca="false">MIN(U27,N('Debt Payoff'!E12))</f>
        <v>160</v>
      </c>
      <c r="AD27" s="0" t="n">
        <f aca="false">MIN(V27,N('Debt Payoff'!E13))</f>
        <v>0</v>
      </c>
      <c r="AE27" s="0" t="n">
        <f aca="false">MIN(W27,N('Debt Payoff'!E14))</f>
        <v>0</v>
      </c>
      <c r="AF27" s="0" t="n">
        <f aca="false">MIN(X27,N('Debt Payoff'!E15))</f>
        <v>0</v>
      </c>
      <c r="AG27" s="0" t="n">
        <f aca="false">MIN(Y27,N('Debt Payoff'!E16))</f>
        <v>0</v>
      </c>
      <c r="AH27" s="0" t="n">
        <f aca="false">R27-Z27</f>
        <v>0</v>
      </c>
      <c r="AI27" s="0" t="n">
        <f aca="false">S27-AA27</f>
        <v>0</v>
      </c>
      <c r="AJ27" s="0" t="n">
        <f aca="false">T27-AB27</f>
        <v>1629.284205</v>
      </c>
      <c r="AK27" s="0" t="n">
        <f aca="false">U27-AC27</f>
        <v>12028.20775</v>
      </c>
      <c r="AL27" s="0" t="n">
        <f aca="false">V27-AD27</f>
        <v>0</v>
      </c>
      <c r="AM27" s="0" t="n">
        <f aca="false">W27-AE27</f>
        <v>0</v>
      </c>
      <c r="AN27" s="0" t="n">
        <f aca="false">X27-AF27</f>
        <v>0</v>
      </c>
      <c r="AO27" s="0" t="n">
        <f aca="false">Y27-AG27</f>
        <v>0</v>
      </c>
      <c r="AP27" s="0" t="n">
        <f aca="false">MAX(0,'Debt Payoff'!$D$17-SUM(Z27:AG27))</f>
        <v>360</v>
      </c>
      <c r="AQ27" s="0" t="n">
        <f aca="false">MIN(AH27,MAX(0,$AP27-SUMPRODUCT(($AH$1:$AO$1&lt;AH$1)*$AH27:$AO27)))</f>
        <v>0</v>
      </c>
      <c r="AR27" s="0" t="n">
        <f aca="false">MIN(AI27,MAX(0,$AP27-SUMPRODUCT(($AH$1:$AO$1&lt;AI$1)*$AH27:$AO27)))</f>
        <v>0</v>
      </c>
      <c r="AS27" s="0" t="n">
        <f aca="false">MIN(AJ27,MAX(0,$AP27-SUMPRODUCT(($AH$1:$AO$1&lt;AJ$1)*$AH27:$AO27)))</f>
        <v>360</v>
      </c>
      <c r="AT27" s="0" t="n">
        <f aca="false">MIN(AK27,MAX(0,$AP27-SUMPRODUCT(($AH$1:$AO$1&lt;AK$1)*$AH27:$AO27)))</f>
        <v>0</v>
      </c>
      <c r="AU27" s="0" t="n">
        <f aca="false">MIN(AL27,MAX(0,$AP27-SUMPRODUCT(($AH$1:$AO$1&lt;AL$1)*$AH27:$AO27)))</f>
        <v>0</v>
      </c>
      <c r="AV27" s="0" t="n">
        <f aca="false">MIN(AM27,MAX(0,$AP27-SUMPRODUCT(($AH$1:$AO$1&lt;AM$1)*$AH27:$AO27)))</f>
        <v>0</v>
      </c>
      <c r="AW27" s="0" t="n">
        <f aca="false">MIN(AN27,MAX(0,$AP27-SUMPRODUCT(($AH$1:$AO$1&lt;AN$1)*$AH27:$AO27)))</f>
        <v>0</v>
      </c>
      <c r="AX27" s="0" t="n">
        <f aca="false">MIN(AO27,MAX(0,$AP27-SUMPRODUCT(($AH$1:$AO$1&lt;AO$1)*$AH27:$AO27)))</f>
        <v>0</v>
      </c>
      <c r="AY27" s="0" t="n">
        <f aca="false">ROUND(AH27-AQ27,2)</f>
        <v>0</v>
      </c>
      <c r="AZ27" s="0" t="n">
        <f aca="false">ROUND(AI27-AR27,2)</f>
        <v>0</v>
      </c>
      <c r="BA27" s="0" t="n">
        <f aca="false">ROUND(AJ27-AS27,2)</f>
        <v>1269.28</v>
      </c>
      <c r="BB27" s="0" t="n">
        <f aca="false">ROUND(AK27-AT27,2)</f>
        <v>12028.21</v>
      </c>
      <c r="BC27" s="0" t="n">
        <f aca="false">ROUND(AL27-AU27,2)</f>
        <v>0</v>
      </c>
      <c r="BD27" s="0" t="n">
        <f aca="false">ROUND(AM27-AV27,2)</f>
        <v>0</v>
      </c>
      <c r="BE27" s="0" t="n">
        <f aca="false">ROUND(AN27-AW27,2)</f>
        <v>0</v>
      </c>
      <c r="BF27" s="0" t="n">
        <f aca="false">ROUND(AO27-AX27,2)</f>
        <v>0</v>
      </c>
      <c r="BG27" s="0" t="n">
        <f aca="false">SUM(AY27:BF27)</f>
        <v>13297.49</v>
      </c>
    </row>
    <row r="28" customFormat="false" ht="15" hidden="false" customHeight="false" outlineLevel="0" collapsed="false">
      <c r="A28" s="0" t="n">
        <v>26</v>
      </c>
      <c r="B28" s="0" t="n">
        <f aca="false">AY27</f>
        <v>0</v>
      </c>
      <c r="C28" s="0" t="n">
        <f aca="false">AZ27</f>
        <v>0</v>
      </c>
      <c r="D28" s="0" t="n">
        <f aca="false">BA27</f>
        <v>1269.28</v>
      </c>
      <c r="E28" s="0" t="n">
        <f aca="false">BB27</f>
        <v>12028.21</v>
      </c>
      <c r="F28" s="0" t="n">
        <f aca="false">BC27</f>
        <v>0</v>
      </c>
      <c r="G28" s="0" t="n">
        <f aca="false">BD27</f>
        <v>0</v>
      </c>
      <c r="H28" s="0" t="n">
        <f aca="false">BE27</f>
        <v>0</v>
      </c>
      <c r="I28" s="0" t="n">
        <f aca="false">BF27</f>
        <v>0</v>
      </c>
      <c r="J28" s="0" t="n">
        <f aca="false">B28*N('Debt Payoff'!D9)/12</f>
        <v>0</v>
      </c>
      <c r="K28" s="0" t="n">
        <f aca="false">C28*N('Debt Payoff'!D10)/12</f>
        <v>0</v>
      </c>
      <c r="L28" s="0" t="n">
        <f aca="false">D28*N('Debt Payoff'!D11)/12</f>
        <v>7.29836</v>
      </c>
      <c r="M28" s="0" t="n">
        <f aca="false">E28*N('Debt Payoff'!D12)/12</f>
        <v>55.1292958333333</v>
      </c>
      <c r="N28" s="0" t="n">
        <f aca="false">F28*N('Debt Payoff'!D13)/12</f>
        <v>0</v>
      </c>
      <c r="O28" s="0" t="n">
        <f aca="false">G28*N('Debt Payoff'!D14)/12</f>
        <v>0</v>
      </c>
      <c r="P28" s="0" t="n">
        <f aca="false">H28*N('Debt Payoff'!D15)/12</f>
        <v>0</v>
      </c>
      <c r="Q28" s="0" t="n">
        <f aca="false">I28*N('Debt Payoff'!D16)/12</f>
        <v>0</v>
      </c>
      <c r="R28" s="0" t="n">
        <f aca="false">B28+J28</f>
        <v>0</v>
      </c>
      <c r="S28" s="0" t="n">
        <f aca="false">C28+K28</f>
        <v>0</v>
      </c>
      <c r="T28" s="0" t="n">
        <f aca="false">D28+L28</f>
        <v>1276.57836</v>
      </c>
      <c r="U28" s="0" t="n">
        <f aca="false">E28+M28</f>
        <v>12083.3392958333</v>
      </c>
      <c r="V28" s="0" t="n">
        <f aca="false">F28+N28</f>
        <v>0</v>
      </c>
      <c r="W28" s="0" t="n">
        <f aca="false">G28+O28</f>
        <v>0</v>
      </c>
      <c r="X28" s="0" t="n">
        <f aca="false">H28+P28</f>
        <v>0</v>
      </c>
      <c r="Y28" s="0" t="n">
        <f aca="false">I28+Q28</f>
        <v>0</v>
      </c>
      <c r="Z28" s="0" t="n">
        <f aca="false">MIN(R28,N('Debt Payoff'!E9))</f>
        <v>0</v>
      </c>
      <c r="AA28" s="0" t="n">
        <f aca="false">MIN(S28,N('Debt Payoff'!E10))</f>
        <v>0</v>
      </c>
      <c r="AB28" s="0" t="n">
        <f aca="false">MIN(T28,N('Debt Payoff'!E11))</f>
        <v>285</v>
      </c>
      <c r="AC28" s="0" t="n">
        <f aca="false">MIN(U28,N('Debt Payoff'!E12))</f>
        <v>160</v>
      </c>
      <c r="AD28" s="0" t="n">
        <f aca="false">MIN(V28,N('Debt Payoff'!E13))</f>
        <v>0</v>
      </c>
      <c r="AE28" s="0" t="n">
        <f aca="false">MIN(W28,N('Debt Payoff'!E14))</f>
        <v>0</v>
      </c>
      <c r="AF28" s="0" t="n">
        <f aca="false">MIN(X28,N('Debt Payoff'!E15))</f>
        <v>0</v>
      </c>
      <c r="AG28" s="0" t="n">
        <f aca="false">MIN(Y28,N('Debt Payoff'!E16))</f>
        <v>0</v>
      </c>
      <c r="AH28" s="0" t="n">
        <f aca="false">R28-Z28</f>
        <v>0</v>
      </c>
      <c r="AI28" s="0" t="n">
        <f aca="false">S28-AA28</f>
        <v>0</v>
      </c>
      <c r="AJ28" s="0" t="n">
        <f aca="false">T28-AB28</f>
        <v>991.57836</v>
      </c>
      <c r="AK28" s="0" t="n">
        <f aca="false">U28-AC28</f>
        <v>11923.3392958333</v>
      </c>
      <c r="AL28" s="0" t="n">
        <f aca="false">V28-AD28</f>
        <v>0</v>
      </c>
      <c r="AM28" s="0" t="n">
        <f aca="false">W28-AE28</f>
        <v>0</v>
      </c>
      <c r="AN28" s="0" t="n">
        <f aca="false">X28-AF28</f>
        <v>0</v>
      </c>
      <c r="AO28" s="0" t="n">
        <f aca="false">Y28-AG28</f>
        <v>0</v>
      </c>
      <c r="AP28" s="0" t="n">
        <f aca="false">MAX(0,'Debt Payoff'!$D$17-SUM(Z28:AG28))</f>
        <v>360</v>
      </c>
      <c r="AQ28" s="0" t="n">
        <f aca="false">MIN(AH28,MAX(0,$AP28-SUMPRODUCT(($AH$1:$AO$1&lt;AH$1)*$AH28:$AO28)))</f>
        <v>0</v>
      </c>
      <c r="AR28" s="0" t="n">
        <f aca="false">MIN(AI28,MAX(0,$AP28-SUMPRODUCT(($AH$1:$AO$1&lt;AI$1)*$AH28:$AO28)))</f>
        <v>0</v>
      </c>
      <c r="AS28" s="0" t="n">
        <f aca="false">MIN(AJ28,MAX(0,$AP28-SUMPRODUCT(($AH$1:$AO$1&lt;AJ$1)*$AH28:$AO28)))</f>
        <v>360</v>
      </c>
      <c r="AT28" s="0" t="n">
        <f aca="false">MIN(AK28,MAX(0,$AP28-SUMPRODUCT(($AH$1:$AO$1&lt;AK$1)*$AH28:$AO28)))</f>
        <v>0</v>
      </c>
      <c r="AU28" s="0" t="n">
        <f aca="false">MIN(AL28,MAX(0,$AP28-SUMPRODUCT(($AH$1:$AO$1&lt;AL$1)*$AH28:$AO28)))</f>
        <v>0</v>
      </c>
      <c r="AV28" s="0" t="n">
        <f aca="false">MIN(AM28,MAX(0,$AP28-SUMPRODUCT(($AH$1:$AO$1&lt;AM$1)*$AH28:$AO28)))</f>
        <v>0</v>
      </c>
      <c r="AW28" s="0" t="n">
        <f aca="false">MIN(AN28,MAX(0,$AP28-SUMPRODUCT(($AH$1:$AO$1&lt;AN$1)*$AH28:$AO28)))</f>
        <v>0</v>
      </c>
      <c r="AX28" s="0" t="n">
        <f aca="false">MIN(AO28,MAX(0,$AP28-SUMPRODUCT(($AH$1:$AO$1&lt;AO$1)*$AH28:$AO28)))</f>
        <v>0</v>
      </c>
      <c r="AY28" s="0" t="n">
        <f aca="false">ROUND(AH28-AQ28,2)</f>
        <v>0</v>
      </c>
      <c r="AZ28" s="0" t="n">
        <f aca="false">ROUND(AI28-AR28,2)</f>
        <v>0</v>
      </c>
      <c r="BA28" s="0" t="n">
        <f aca="false">ROUND(AJ28-AS28,2)</f>
        <v>631.58</v>
      </c>
      <c r="BB28" s="0" t="n">
        <f aca="false">ROUND(AK28-AT28,2)</f>
        <v>11923.34</v>
      </c>
      <c r="BC28" s="0" t="n">
        <f aca="false">ROUND(AL28-AU28,2)</f>
        <v>0</v>
      </c>
      <c r="BD28" s="0" t="n">
        <f aca="false">ROUND(AM28-AV28,2)</f>
        <v>0</v>
      </c>
      <c r="BE28" s="0" t="n">
        <f aca="false">ROUND(AN28-AW28,2)</f>
        <v>0</v>
      </c>
      <c r="BF28" s="0" t="n">
        <f aca="false">ROUND(AO28-AX28,2)</f>
        <v>0</v>
      </c>
      <c r="BG28" s="0" t="n">
        <f aca="false">SUM(AY28:BF28)</f>
        <v>12554.92</v>
      </c>
    </row>
    <row r="29" customFormat="false" ht="15" hidden="false" customHeight="false" outlineLevel="0" collapsed="false">
      <c r="A29" s="0" t="n">
        <v>27</v>
      </c>
      <c r="B29" s="0" t="n">
        <f aca="false">AY28</f>
        <v>0</v>
      </c>
      <c r="C29" s="0" t="n">
        <f aca="false">AZ28</f>
        <v>0</v>
      </c>
      <c r="D29" s="0" t="n">
        <f aca="false">BA28</f>
        <v>631.58</v>
      </c>
      <c r="E29" s="0" t="n">
        <f aca="false">BB28</f>
        <v>11923.34</v>
      </c>
      <c r="F29" s="0" t="n">
        <f aca="false">BC28</f>
        <v>0</v>
      </c>
      <c r="G29" s="0" t="n">
        <f aca="false">BD28</f>
        <v>0</v>
      </c>
      <c r="H29" s="0" t="n">
        <f aca="false">BE28</f>
        <v>0</v>
      </c>
      <c r="I29" s="0" t="n">
        <f aca="false">BF28</f>
        <v>0</v>
      </c>
      <c r="J29" s="0" t="n">
        <f aca="false">B29*N('Debt Payoff'!D9)/12</f>
        <v>0</v>
      </c>
      <c r="K29" s="0" t="n">
        <f aca="false">C29*N('Debt Payoff'!D10)/12</f>
        <v>0</v>
      </c>
      <c r="L29" s="0" t="n">
        <f aca="false">D29*N('Debt Payoff'!D11)/12</f>
        <v>3.631585</v>
      </c>
      <c r="M29" s="0" t="n">
        <f aca="false">E29*N('Debt Payoff'!D12)/12</f>
        <v>54.6486416666667</v>
      </c>
      <c r="N29" s="0" t="n">
        <f aca="false">F29*N('Debt Payoff'!D13)/12</f>
        <v>0</v>
      </c>
      <c r="O29" s="0" t="n">
        <f aca="false">G29*N('Debt Payoff'!D14)/12</f>
        <v>0</v>
      </c>
      <c r="P29" s="0" t="n">
        <f aca="false">H29*N('Debt Payoff'!D15)/12</f>
        <v>0</v>
      </c>
      <c r="Q29" s="0" t="n">
        <f aca="false">I29*N('Debt Payoff'!D16)/12</f>
        <v>0</v>
      </c>
      <c r="R29" s="0" t="n">
        <f aca="false">B29+J29</f>
        <v>0</v>
      </c>
      <c r="S29" s="0" t="n">
        <f aca="false">C29+K29</f>
        <v>0</v>
      </c>
      <c r="T29" s="0" t="n">
        <f aca="false">D29+L29</f>
        <v>635.211585</v>
      </c>
      <c r="U29" s="0" t="n">
        <f aca="false">E29+M29</f>
        <v>11977.9886416667</v>
      </c>
      <c r="V29" s="0" t="n">
        <f aca="false">F29+N29</f>
        <v>0</v>
      </c>
      <c r="W29" s="0" t="n">
        <f aca="false">G29+O29</f>
        <v>0</v>
      </c>
      <c r="X29" s="0" t="n">
        <f aca="false">H29+P29</f>
        <v>0</v>
      </c>
      <c r="Y29" s="0" t="n">
        <f aca="false">I29+Q29</f>
        <v>0</v>
      </c>
      <c r="Z29" s="0" t="n">
        <f aca="false">MIN(R29,N('Debt Payoff'!E9))</f>
        <v>0</v>
      </c>
      <c r="AA29" s="0" t="n">
        <f aca="false">MIN(S29,N('Debt Payoff'!E10))</f>
        <v>0</v>
      </c>
      <c r="AB29" s="0" t="n">
        <f aca="false">MIN(T29,N('Debt Payoff'!E11))</f>
        <v>285</v>
      </c>
      <c r="AC29" s="0" t="n">
        <f aca="false">MIN(U29,N('Debt Payoff'!E12))</f>
        <v>160</v>
      </c>
      <c r="AD29" s="0" t="n">
        <f aca="false">MIN(V29,N('Debt Payoff'!E13))</f>
        <v>0</v>
      </c>
      <c r="AE29" s="0" t="n">
        <f aca="false">MIN(W29,N('Debt Payoff'!E14))</f>
        <v>0</v>
      </c>
      <c r="AF29" s="0" t="n">
        <f aca="false">MIN(X29,N('Debt Payoff'!E15))</f>
        <v>0</v>
      </c>
      <c r="AG29" s="0" t="n">
        <f aca="false">MIN(Y29,N('Debt Payoff'!E16))</f>
        <v>0</v>
      </c>
      <c r="AH29" s="0" t="n">
        <f aca="false">R29-Z29</f>
        <v>0</v>
      </c>
      <c r="AI29" s="0" t="n">
        <f aca="false">S29-AA29</f>
        <v>0</v>
      </c>
      <c r="AJ29" s="0" t="n">
        <f aca="false">T29-AB29</f>
        <v>350.211585</v>
      </c>
      <c r="AK29" s="0" t="n">
        <f aca="false">U29-AC29</f>
        <v>11817.9886416667</v>
      </c>
      <c r="AL29" s="0" t="n">
        <f aca="false">V29-AD29</f>
        <v>0</v>
      </c>
      <c r="AM29" s="0" t="n">
        <f aca="false">W29-AE29</f>
        <v>0</v>
      </c>
      <c r="AN29" s="0" t="n">
        <f aca="false">X29-AF29</f>
        <v>0</v>
      </c>
      <c r="AO29" s="0" t="n">
        <f aca="false">Y29-AG29</f>
        <v>0</v>
      </c>
      <c r="AP29" s="0" t="n">
        <f aca="false">MAX(0,'Debt Payoff'!$D$17-SUM(Z29:AG29))</f>
        <v>360</v>
      </c>
      <c r="AQ29" s="0" t="n">
        <f aca="false">MIN(AH29,MAX(0,$AP29-SUMPRODUCT(($AH$1:$AO$1&lt;AH$1)*$AH29:$AO29)))</f>
        <v>0</v>
      </c>
      <c r="AR29" s="0" t="n">
        <f aca="false">MIN(AI29,MAX(0,$AP29-SUMPRODUCT(($AH$1:$AO$1&lt;AI$1)*$AH29:$AO29)))</f>
        <v>0</v>
      </c>
      <c r="AS29" s="0" t="n">
        <f aca="false">MIN(AJ29,MAX(0,$AP29-SUMPRODUCT(($AH$1:$AO$1&lt;AJ$1)*$AH29:$AO29)))</f>
        <v>350.211585</v>
      </c>
      <c r="AT29" s="0" t="n">
        <f aca="false">MIN(AK29,MAX(0,$AP29-SUMPRODUCT(($AH$1:$AO$1&lt;AK$1)*$AH29:$AO29)))</f>
        <v>9.78841499999999</v>
      </c>
      <c r="AU29" s="0" t="n">
        <f aca="false">MIN(AL29,MAX(0,$AP29-SUMPRODUCT(($AH$1:$AO$1&lt;AL$1)*$AH29:$AO29)))</f>
        <v>0</v>
      </c>
      <c r="AV29" s="0" t="n">
        <f aca="false">MIN(AM29,MAX(0,$AP29-SUMPRODUCT(($AH$1:$AO$1&lt;AM$1)*$AH29:$AO29)))</f>
        <v>0</v>
      </c>
      <c r="AW29" s="0" t="n">
        <f aca="false">MIN(AN29,MAX(0,$AP29-SUMPRODUCT(($AH$1:$AO$1&lt;AN$1)*$AH29:$AO29)))</f>
        <v>0</v>
      </c>
      <c r="AX29" s="0" t="n">
        <f aca="false">MIN(AO29,MAX(0,$AP29-SUMPRODUCT(($AH$1:$AO$1&lt;AO$1)*$AH29:$AO29)))</f>
        <v>0</v>
      </c>
      <c r="AY29" s="0" t="n">
        <f aca="false">ROUND(AH29-AQ29,2)</f>
        <v>0</v>
      </c>
      <c r="AZ29" s="0" t="n">
        <f aca="false">ROUND(AI29-AR29,2)</f>
        <v>0</v>
      </c>
      <c r="BA29" s="0" t="n">
        <f aca="false">ROUND(AJ29-AS29,2)</f>
        <v>0</v>
      </c>
      <c r="BB29" s="0" t="n">
        <f aca="false">ROUND(AK29-AT29,2)</f>
        <v>11808.2</v>
      </c>
      <c r="BC29" s="0" t="n">
        <f aca="false">ROUND(AL29-AU29,2)</f>
        <v>0</v>
      </c>
      <c r="BD29" s="0" t="n">
        <f aca="false">ROUND(AM29-AV29,2)</f>
        <v>0</v>
      </c>
      <c r="BE29" s="0" t="n">
        <f aca="false">ROUND(AN29-AW29,2)</f>
        <v>0</v>
      </c>
      <c r="BF29" s="0" t="n">
        <f aca="false">ROUND(AO29-AX29,2)</f>
        <v>0</v>
      </c>
      <c r="BG29" s="0" t="n">
        <f aca="false">SUM(AY29:BF29)</f>
        <v>11808.2</v>
      </c>
    </row>
    <row r="30" customFormat="false" ht="15" hidden="false" customHeight="false" outlineLevel="0" collapsed="false">
      <c r="A30" s="0" t="n">
        <v>28</v>
      </c>
      <c r="B30" s="0" t="n">
        <f aca="false">AY29</f>
        <v>0</v>
      </c>
      <c r="C30" s="0" t="n">
        <f aca="false">AZ29</f>
        <v>0</v>
      </c>
      <c r="D30" s="0" t="n">
        <f aca="false">BA29</f>
        <v>0</v>
      </c>
      <c r="E30" s="0" t="n">
        <f aca="false">BB29</f>
        <v>11808.2</v>
      </c>
      <c r="F30" s="0" t="n">
        <f aca="false">BC29</f>
        <v>0</v>
      </c>
      <c r="G30" s="0" t="n">
        <f aca="false">BD29</f>
        <v>0</v>
      </c>
      <c r="H30" s="0" t="n">
        <f aca="false">BE29</f>
        <v>0</v>
      </c>
      <c r="I30" s="0" t="n">
        <f aca="false">BF29</f>
        <v>0</v>
      </c>
      <c r="J30" s="0" t="n">
        <f aca="false">B30*N('Debt Payoff'!D9)/12</f>
        <v>0</v>
      </c>
      <c r="K30" s="0" t="n">
        <f aca="false">C30*N('Debt Payoff'!D10)/12</f>
        <v>0</v>
      </c>
      <c r="L30" s="0" t="n">
        <f aca="false">D30*N('Debt Payoff'!D11)/12</f>
        <v>0</v>
      </c>
      <c r="M30" s="0" t="n">
        <f aca="false">E30*N('Debt Payoff'!D12)/12</f>
        <v>54.1209166666667</v>
      </c>
      <c r="N30" s="0" t="n">
        <f aca="false">F30*N('Debt Payoff'!D13)/12</f>
        <v>0</v>
      </c>
      <c r="O30" s="0" t="n">
        <f aca="false">G30*N('Debt Payoff'!D14)/12</f>
        <v>0</v>
      </c>
      <c r="P30" s="0" t="n">
        <f aca="false">H30*N('Debt Payoff'!D15)/12</f>
        <v>0</v>
      </c>
      <c r="Q30" s="0" t="n">
        <f aca="false">I30*N('Debt Payoff'!D16)/12</f>
        <v>0</v>
      </c>
      <c r="R30" s="0" t="n">
        <f aca="false">B30+J30</f>
        <v>0</v>
      </c>
      <c r="S30" s="0" t="n">
        <f aca="false">C30+K30</f>
        <v>0</v>
      </c>
      <c r="T30" s="0" t="n">
        <f aca="false">D30+L30</f>
        <v>0</v>
      </c>
      <c r="U30" s="0" t="n">
        <f aca="false">E30+M30</f>
        <v>11862.3209166667</v>
      </c>
      <c r="V30" s="0" t="n">
        <f aca="false">F30+N30</f>
        <v>0</v>
      </c>
      <c r="W30" s="0" t="n">
        <f aca="false">G30+O30</f>
        <v>0</v>
      </c>
      <c r="X30" s="0" t="n">
        <f aca="false">H30+P30</f>
        <v>0</v>
      </c>
      <c r="Y30" s="0" t="n">
        <f aca="false">I30+Q30</f>
        <v>0</v>
      </c>
      <c r="Z30" s="0" t="n">
        <f aca="false">MIN(R30,N('Debt Payoff'!E9))</f>
        <v>0</v>
      </c>
      <c r="AA30" s="0" t="n">
        <f aca="false">MIN(S30,N('Debt Payoff'!E10))</f>
        <v>0</v>
      </c>
      <c r="AB30" s="0" t="n">
        <f aca="false">MIN(T30,N('Debt Payoff'!E11))</f>
        <v>0</v>
      </c>
      <c r="AC30" s="0" t="n">
        <f aca="false">MIN(U30,N('Debt Payoff'!E12))</f>
        <v>160</v>
      </c>
      <c r="AD30" s="0" t="n">
        <f aca="false">MIN(V30,N('Debt Payoff'!E13))</f>
        <v>0</v>
      </c>
      <c r="AE30" s="0" t="n">
        <f aca="false">MIN(W30,N('Debt Payoff'!E14))</f>
        <v>0</v>
      </c>
      <c r="AF30" s="0" t="n">
        <f aca="false">MIN(X30,N('Debt Payoff'!E15))</f>
        <v>0</v>
      </c>
      <c r="AG30" s="0" t="n">
        <f aca="false">MIN(Y30,N('Debt Payoff'!E16))</f>
        <v>0</v>
      </c>
      <c r="AH30" s="0" t="n">
        <f aca="false">R30-Z30</f>
        <v>0</v>
      </c>
      <c r="AI30" s="0" t="n">
        <f aca="false">S30-AA30</f>
        <v>0</v>
      </c>
      <c r="AJ30" s="0" t="n">
        <f aca="false">T30-AB30</f>
        <v>0</v>
      </c>
      <c r="AK30" s="0" t="n">
        <f aca="false">U30-AC30</f>
        <v>11702.3209166667</v>
      </c>
      <c r="AL30" s="0" t="n">
        <f aca="false">V30-AD30</f>
        <v>0</v>
      </c>
      <c r="AM30" s="0" t="n">
        <f aca="false">W30-AE30</f>
        <v>0</v>
      </c>
      <c r="AN30" s="0" t="n">
        <f aca="false">X30-AF30</f>
        <v>0</v>
      </c>
      <c r="AO30" s="0" t="n">
        <f aca="false">Y30-AG30</f>
        <v>0</v>
      </c>
      <c r="AP30" s="0" t="n">
        <f aca="false">MAX(0,'Debt Payoff'!$D$17-SUM(Z30:AG30))</f>
        <v>645</v>
      </c>
      <c r="AQ30" s="0" t="n">
        <f aca="false">MIN(AH30,MAX(0,$AP30-SUMPRODUCT(($AH$1:$AO$1&lt;AH$1)*$AH30:$AO30)))</f>
        <v>0</v>
      </c>
      <c r="AR30" s="0" t="n">
        <f aca="false">MIN(AI30,MAX(0,$AP30-SUMPRODUCT(($AH$1:$AO$1&lt;AI$1)*$AH30:$AO30)))</f>
        <v>0</v>
      </c>
      <c r="AS30" s="0" t="n">
        <f aca="false">MIN(AJ30,MAX(0,$AP30-SUMPRODUCT(($AH$1:$AO$1&lt;AJ$1)*$AH30:$AO30)))</f>
        <v>0</v>
      </c>
      <c r="AT30" s="0" t="n">
        <f aca="false">MIN(AK30,MAX(0,$AP30-SUMPRODUCT(($AH$1:$AO$1&lt;AK$1)*$AH30:$AO30)))</f>
        <v>645</v>
      </c>
      <c r="AU30" s="0" t="n">
        <f aca="false">MIN(AL30,MAX(0,$AP30-SUMPRODUCT(($AH$1:$AO$1&lt;AL$1)*$AH30:$AO30)))</f>
        <v>0</v>
      </c>
      <c r="AV30" s="0" t="n">
        <f aca="false">MIN(AM30,MAX(0,$AP30-SUMPRODUCT(($AH$1:$AO$1&lt;AM$1)*$AH30:$AO30)))</f>
        <v>0</v>
      </c>
      <c r="AW30" s="0" t="n">
        <f aca="false">MIN(AN30,MAX(0,$AP30-SUMPRODUCT(($AH$1:$AO$1&lt;AN$1)*$AH30:$AO30)))</f>
        <v>0</v>
      </c>
      <c r="AX30" s="0" t="n">
        <f aca="false">MIN(AO30,MAX(0,$AP30-SUMPRODUCT(($AH$1:$AO$1&lt;AO$1)*$AH30:$AO30)))</f>
        <v>0</v>
      </c>
      <c r="AY30" s="0" t="n">
        <f aca="false">ROUND(AH30-AQ30,2)</f>
        <v>0</v>
      </c>
      <c r="AZ30" s="0" t="n">
        <f aca="false">ROUND(AI30-AR30,2)</f>
        <v>0</v>
      </c>
      <c r="BA30" s="0" t="n">
        <f aca="false">ROUND(AJ30-AS30,2)</f>
        <v>0</v>
      </c>
      <c r="BB30" s="0" t="n">
        <f aca="false">ROUND(AK30-AT30,2)</f>
        <v>11057.32</v>
      </c>
      <c r="BC30" s="0" t="n">
        <f aca="false">ROUND(AL30-AU30,2)</f>
        <v>0</v>
      </c>
      <c r="BD30" s="0" t="n">
        <f aca="false">ROUND(AM30-AV30,2)</f>
        <v>0</v>
      </c>
      <c r="BE30" s="0" t="n">
        <f aca="false">ROUND(AN30-AW30,2)</f>
        <v>0</v>
      </c>
      <c r="BF30" s="0" t="n">
        <f aca="false">ROUND(AO30-AX30,2)</f>
        <v>0</v>
      </c>
      <c r="BG30" s="0" t="n">
        <f aca="false">SUM(AY30:BF30)</f>
        <v>11057.32</v>
      </c>
    </row>
    <row r="31" customFormat="false" ht="15" hidden="false" customHeight="false" outlineLevel="0" collapsed="false">
      <c r="A31" s="0" t="n">
        <v>29</v>
      </c>
      <c r="B31" s="0" t="n">
        <f aca="false">AY30</f>
        <v>0</v>
      </c>
      <c r="C31" s="0" t="n">
        <f aca="false">AZ30</f>
        <v>0</v>
      </c>
      <c r="D31" s="0" t="n">
        <f aca="false">BA30</f>
        <v>0</v>
      </c>
      <c r="E31" s="0" t="n">
        <f aca="false">BB30</f>
        <v>11057.32</v>
      </c>
      <c r="F31" s="0" t="n">
        <f aca="false">BC30</f>
        <v>0</v>
      </c>
      <c r="G31" s="0" t="n">
        <f aca="false">BD30</f>
        <v>0</v>
      </c>
      <c r="H31" s="0" t="n">
        <f aca="false">BE30</f>
        <v>0</v>
      </c>
      <c r="I31" s="0" t="n">
        <f aca="false">BF30</f>
        <v>0</v>
      </c>
      <c r="J31" s="0" t="n">
        <f aca="false">B31*N('Debt Payoff'!D9)/12</f>
        <v>0</v>
      </c>
      <c r="K31" s="0" t="n">
        <f aca="false">C31*N('Debt Payoff'!D10)/12</f>
        <v>0</v>
      </c>
      <c r="L31" s="0" t="n">
        <f aca="false">D31*N('Debt Payoff'!D11)/12</f>
        <v>0</v>
      </c>
      <c r="M31" s="0" t="n">
        <f aca="false">E31*N('Debt Payoff'!D12)/12</f>
        <v>50.6793833333333</v>
      </c>
      <c r="N31" s="0" t="n">
        <f aca="false">F31*N('Debt Payoff'!D13)/12</f>
        <v>0</v>
      </c>
      <c r="O31" s="0" t="n">
        <f aca="false">G31*N('Debt Payoff'!D14)/12</f>
        <v>0</v>
      </c>
      <c r="P31" s="0" t="n">
        <f aca="false">H31*N('Debt Payoff'!D15)/12</f>
        <v>0</v>
      </c>
      <c r="Q31" s="0" t="n">
        <f aca="false">I31*N('Debt Payoff'!D16)/12</f>
        <v>0</v>
      </c>
      <c r="R31" s="0" t="n">
        <f aca="false">B31+J31</f>
        <v>0</v>
      </c>
      <c r="S31" s="0" t="n">
        <f aca="false">C31+K31</f>
        <v>0</v>
      </c>
      <c r="T31" s="0" t="n">
        <f aca="false">D31+L31</f>
        <v>0</v>
      </c>
      <c r="U31" s="0" t="n">
        <f aca="false">E31+M31</f>
        <v>11107.9993833333</v>
      </c>
      <c r="V31" s="0" t="n">
        <f aca="false">F31+N31</f>
        <v>0</v>
      </c>
      <c r="W31" s="0" t="n">
        <f aca="false">G31+O31</f>
        <v>0</v>
      </c>
      <c r="X31" s="0" t="n">
        <f aca="false">H31+P31</f>
        <v>0</v>
      </c>
      <c r="Y31" s="0" t="n">
        <f aca="false">I31+Q31</f>
        <v>0</v>
      </c>
      <c r="Z31" s="0" t="n">
        <f aca="false">MIN(R31,N('Debt Payoff'!E9))</f>
        <v>0</v>
      </c>
      <c r="AA31" s="0" t="n">
        <f aca="false">MIN(S31,N('Debt Payoff'!E10))</f>
        <v>0</v>
      </c>
      <c r="AB31" s="0" t="n">
        <f aca="false">MIN(T31,N('Debt Payoff'!E11))</f>
        <v>0</v>
      </c>
      <c r="AC31" s="0" t="n">
        <f aca="false">MIN(U31,N('Debt Payoff'!E12))</f>
        <v>160</v>
      </c>
      <c r="AD31" s="0" t="n">
        <f aca="false">MIN(V31,N('Debt Payoff'!E13))</f>
        <v>0</v>
      </c>
      <c r="AE31" s="0" t="n">
        <f aca="false">MIN(W31,N('Debt Payoff'!E14))</f>
        <v>0</v>
      </c>
      <c r="AF31" s="0" t="n">
        <f aca="false">MIN(X31,N('Debt Payoff'!E15))</f>
        <v>0</v>
      </c>
      <c r="AG31" s="0" t="n">
        <f aca="false">MIN(Y31,N('Debt Payoff'!E16))</f>
        <v>0</v>
      </c>
      <c r="AH31" s="0" t="n">
        <f aca="false">R31-Z31</f>
        <v>0</v>
      </c>
      <c r="AI31" s="0" t="n">
        <f aca="false">S31-AA31</f>
        <v>0</v>
      </c>
      <c r="AJ31" s="0" t="n">
        <f aca="false">T31-AB31</f>
        <v>0</v>
      </c>
      <c r="AK31" s="0" t="n">
        <f aca="false">U31-AC31</f>
        <v>10947.9993833333</v>
      </c>
      <c r="AL31" s="0" t="n">
        <f aca="false">V31-AD31</f>
        <v>0</v>
      </c>
      <c r="AM31" s="0" t="n">
        <f aca="false">W31-AE31</f>
        <v>0</v>
      </c>
      <c r="AN31" s="0" t="n">
        <f aca="false">X31-AF31</f>
        <v>0</v>
      </c>
      <c r="AO31" s="0" t="n">
        <f aca="false">Y31-AG31</f>
        <v>0</v>
      </c>
      <c r="AP31" s="0" t="n">
        <f aca="false">MAX(0,'Debt Payoff'!$D$17-SUM(Z31:AG31))</f>
        <v>645</v>
      </c>
      <c r="AQ31" s="0" t="n">
        <f aca="false">MIN(AH31,MAX(0,$AP31-SUMPRODUCT(($AH$1:$AO$1&lt;AH$1)*$AH31:$AO31)))</f>
        <v>0</v>
      </c>
      <c r="AR31" s="0" t="n">
        <f aca="false">MIN(AI31,MAX(0,$AP31-SUMPRODUCT(($AH$1:$AO$1&lt;AI$1)*$AH31:$AO31)))</f>
        <v>0</v>
      </c>
      <c r="AS31" s="0" t="n">
        <f aca="false">MIN(AJ31,MAX(0,$AP31-SUMPRODUCT(($AH$1:$AO$1&lt;AJ$1)*$AH31:$AO31)))</f>
        <v>0</v>
      </c>
      <c r="AT31" s="0" t="n">
        <f aca="false">MIN(AK31,MAX(0,$AP31-SUMPRODUCT(($AH$1:$AO$1&lt;AK$1)*$AH31:$AO31)))</f>
        <v>645</v>
      </c>
      <c r="AU31" s="0" t="n">
        <f aca="false">MIN(AL31,MAX(0,$AP31-SUMPRODUCT(($AH$1:$AO$1&lt;AL$1)*$AH31:$AO31)))</f>
        <v>0</v>
      </c>
      <c r="AV31" s="0" t="n">
        <f aca="false">MIN(AM31,MAX(0,$AP31-SUMPRODUCT(($AH$1:$AO$1&lt;AM$1)*$AH31:$AO31)))</f>
        <v>0</v>
      </c>
      <c r="AW31" s="0" t="n">
        <f aca="false">MIN(AN31,MAX(0,$AP31-SUMPRODUCT(($AH$1:$AO$1&lt;AN$1)*$AH31:$AO31)))</f>
        <v>0</v>
      </c>
      <c r="AX31" s="0" t="n">
        <f aca="false">MIN(AO31,MAX(0,$AP31-SUMPRODUCT(($AH$1:$AO$1&lt;AO$1)*$AH31:$AO31)))</f>
        <v>0</v>
      </c>
      <c r="AY31" s="0" t="n">
        <f aca="false">ROUND(AH31-AQ31,2)</f>
        <v>0</v>
      </c>
      <c r="AZ31" s="0" t="n">
        <f aca="false">ROUND(AI31-AR31,2)</f>
        <v>0</v>
      </c>
      <c r="BA31" s="0" t="n">
        <f aca="false">ROUND(AJ31-AS31,2)</f>
        <v>0</v>
      </c>
      <c r="BB31" s="0" t="n">
        <f aca="false">ROUND(AK31-AT31,2)</f>
        <v>10303</v>
      </c>
      <c r="BC31" s="0" t="n">
        <f aca="false">ROUND(AL31-AU31,2)</f>
        <v>0</v>
      </c>
      <c r="BD31" s="0" t="n">
        <f aca="false">ROUND(AM31-AV31,2)</f>
        <v>0</v>
      </c>
      <c r="BE31" s="0" t="n">
        <f aca="false">ROUND(AN31-AW31,2)</f>
        <v>0</v>
      </c>
      <c r="BF31" s="0" t="n">
        <f aca="false">ROUND(AO31-AX31,2)</f>
        <v>0</v>
      </c>
      <c r="BG31" s="0" t="n">
        <f aca="false">SUM(AY31:BF31)</f>
        <v>10303</v>
      </c>
    </row>
    <row r="32" customFormat="false" ht="15" hidden="false" customHeight="false" outlineLevel="0" collapsed="false">
      <c r="A32" s="0" t="n">
        <v>30</v>
      </c>
      <c r="B32" s="0" t="n">
        <f aca="false">AY31</f>
        <v>0</v>
      </c>
      <c r="C32" s="0" t="n">
        <f aca="false">AZ31</f>
        <v>0</v>
      </c>
      <c r="D32" s="0" t="n">
        <f aca="false">BA31</f>
        <v>0</v>
      </c>
      <c r="E32" s="0" t="n">
        <f aca="false">BB31</f>
        <v>10303</v>
      </c>
      <c r="F32" s="0" t="n">
        <f aca="false">BC31</f>
        <v>0</v>
      </c>
      <c r="G32" s="0" t="n">
        <f aca="false">BD31</f>
        <v>0</v>
      </c>
      <c r="H32" s="0" t="n">
        <f aca="false">BE31</f>
        <v>0</v>
      </c>
      <c r="I32" s="0" t="n">
        <f aca="false">BF31</f>
        <v>0</v>
      </c>
      <c r="J32" s="0" t="n">
        <f aca="false">B32*N('Debt Payoff'!D9)/12</f>
        <v>0</v>
      </c>
      <c r="K32" s="0" t="n">
        <f aca="false">C32*N('Debt Payoff'!D10)/12</f>
        <v>0</v>
      </c>
      <c r="L32" s="0" t="n">
        <f aca="false">D32*N('Debt Payoff'!D11)/12</f>
        <v>0</v>
      </c>
      <c r="M32" s="0" t="n">
        <f aca="false">E32*N('Debt Payoff'!D12)/12</f>
        <v>47.2220833333333</v>
      </c>
      <c r="N32" s="0" t="n">
        <f aca="false">F32*N('Debt Payoff'!D13)/12</f>
        <v>0</v>
      </c>
      <c r="O32" s="0" t="n">
        <f aca="false">G32*N('Debt Payoff'!D14)/12</f>
        <v>0</v>
      </c>
      <c r="P32" s="0" t="n">
        <f aca="false">H32*N('Debt Payoff'!D15)/12</f>
        <v>0</v>
      </c>
      <c r="Q32" s="0" t="n">
        <f aca="false">I32*N('Debt Payoff'!D16)/12</f>
        <v>0</v>
      </c>
      <c r="R32" s="0" t="n">
        <f aca="false">B32+J32</f>
        <v>0</v>
      </c>
      <c r="S32" s="0" t="n">
        <f aca="false">C32+K32</f>
        <v>0</v>
      </c>
      <c r="T32" s="0" t="n">
        <f aca="false">D32+L32</f>
        <v>0</v>
      </c>
      <c r="U32" s="0" t="n">
        <f aca="false">E32+M32</f>
        <v>10350.2220833333</v>
      </c>
      <c r="V32" s="0" t="n">
        <f aca="false">F32+N32</f>
        <v>0</v>
      </c>
      <c r="W32" s="0" t="n">
        <f aca="false">G32+O32</f>
        <v>0</v>
      </c>
      <c r="X32" s="0" t="n">
        <f aca="false">H32+P32</f>
        <v>0</v>
      </c>
      <c r="Y32" s="0" t="n">
        <f aca="false">I32+Q32</f>
        <v>0</v>
      </c>
      <c r="Z32" s="0" t="n">
        <f aca="false">MIN(R32,N('Debt Payoff'!E9))</f>
        <v>0</v>
      </c>
      <c r="AA32" s="0" t="n">
        <f aca="false">MIN(S32,N('Debt Payoff'!E10))</f>
        <v>0</v>
      </c>
      <c r="AB32" s="0" t="n">
        <f aca="false">MIN(T32,N('Debt Payoff'!E11))</f>
        <v>0</v>
      </c>
      <c r="AC32" s="0" t="n">
        <f aca="false">MIN(U32,N('Debt Payoff'!E12))</f>
        <v>160</v>
      </c>
      <c r="AD32" s="0" t="n">
        <f aca="false">MIN(V32,N('Debt Payoff'!E13))</f>
        <v>0</v>
      </c>
      <c r="AE32" s="0" t="n">
        <f aca="false">MIN(W32,N('Debt Payoff'!E14))</f>
        <v>0</v>
      </c>
      <c r="AF32" s="0" t="n">
        <f aca="false">MIN(X32,N('Debt Payoff'!E15))</f>
        <v>0</v>
      </c>
      <c r="AG32" s="0" t="n">
        <f aca="false">MIN(Y32,N('Debt Payoff'!E16))</f>
        <v>0</v>
      </c>
      <c r="AH32" s="0" t="n">
        <f aca="false">R32-Z32</f>
        <v>0</v>
      </c>
      <c r="AI32" s="0" t="n">
        <f aca="false">S32-AA32</f>
        <v>0</v>
      </c>
      <c r="AJ32" s="0" t="n">
        <f aca="false">T32-AB32</f>
        <v>0</v>
      </c>
      <c r="AK32" s="0" t="n">
        <f aca="false">U32-AC32</f>
        <v>10190.2220833333</v>
      </c>
      <c r="AL32" s="0" t="n">
        <f aca="false">V32-AD32</f>
        <v>0</v>
      </c>
      <c r="AM32" s="0" t="n">
        <f aca="false">W32-AE32</f>
        <v>0</v>
      </c>
      <c r="AN32" s="0" t="n">
        <f aca="false">X32-AF32</f>
        <v>0</v>
      </c>
      <c r="AO32" s="0" t="n">
        <f aca="false">Y32-AG32</f>
        <v>0</v>
      </c>
      <c r="AP32" s="0" t="n">
        <f aca="false">MAX(0,'Debt Payoff'!$D$17-SUM(Z32:AG32))</f>
        <v>645</v>
      </c>
      <c r="AQ32" s="0" t="n">
        <f aca="false">MIN(AH32,MAX(0,$AP32-SUMPRODUCT(($AH$1:$AO$1&lt;AH$1)*$AH32:$AO32)))</f>
        <v>0</v>
      </c>
      <c r="AR32" s="0" t="n">
        <f aca="false">MIN(AI32,MAX(0,$AP32-SUMPRODUCT(($AH$1:$AO$1&lt;AI$1)*$AH32:$AO32)))</f>
        <v>0</v>
      </c>
      <c r="AS32" s="0" t="n">
        <f aca="false">MIN(AJ32,MAX(0,$AP32-SUMPRODUCT(($AH$1:$AO$1&lt;AJ$1)*$AH32:$AO32)))</f>
        <v>0</v>
      </c>
      <c r="AT32" s="0" t="n">
        <f aca="false">MIN(AK32,MAX(0,$AP32-SUMPRODUCT(($AH$1:$AO$1&lt;AK$1)*$AH32:$AO32)))</f>
        <v>645</v>
      </c>
      <c r="AU32" s="0" t="n">
        <f aca="false">MIN(AL32,MAX(0,$AP32-SUMPRODUCT(($AH$1:$AO$1&lt;AL$1)*$AH32:$AO32)))</f>
        <v>0</v>
      </c>
      <c r="AV32" s="0" t="n">
        <f aca="false">MIN(AM32,MAX(0,$AP32-SUMPRODUCT(($AH$1:$AO$1&lt;AM$1)*$AH32:$AO32)))</f>
        <v>0</v>
      </c>
      <c r="AW32" s="0" t="n">
        <f aca="false">MIN(AN32,MAX(0,$AP32-SUMPRODUCT(($AH$1:$AO$1&lt;AN$1)*$AH32:$AO32)))</f>
        <v>0</v>
      </c>
      <c r="AX32" s="0" t="n">
        <f aca="false">MIN(AO32,MAX(0,$AP32-SUMPRODUCT(($AH$1:$AO$1&lt;AO$1)*$AH32:$AO32)))</f>
        <v>0</v>
      </c>
      <c r="AY32" s="0" t="n">
        <f aca="false">ROUND(AH32-AQ32,2)</f>
        <v>0</v>
      </c>
      <c r="AZ32" s="0" t="n">
        <f aca="false">ROUND(AI32-AR32,2)</f>
        <v>0</v>
      </c>
      <c r="BA32" s="0" t="n">
        <f aca="false">ROUND(AJ32-AS32,2)</f>
        <v>0</v>
      </c>
      <c r="BB32" s="0" t="n">
        <f aca="false">ROUND(AK32-AT32,2)</f>
        <v>9545.22</v>
      </c>
      <c r="BC32" s="0" t="n">
        <f aca="false">ROUND(AL32-AU32,2)</f>
        <v>0</v>
      </c>
      <c r="BD32" s="0" t="n">
        <f aca="false">ROUND(AM32-AV32,2)</f>
        <v>0</v>
      </c>
      <c r="BE32" s="0" t="n">
        <f aca="false">ROUND(AN32-AW32,2)</f>
        <v>0</v>
      </c>
      <c r="BF32" s="0" t="n">
        <f aca="false">ROUND(AO32-AX32,2)</f>
        <v>0</v>
      </c>
      <c r="BG32" s="0" t="n">
        <f aca="false">SUM(AY32:BF32)</f>
        <v>9545.22</v>
      </c>
    </row>
    <row r="33" customFormat="false" ht="15" hidden="false" customHeight="false" outlineLevel="0" collapsed="false">
      <c r="A33" s="0" t="n">
        <v>31</v>
      </c>
      <c r="B33" s="0" t="n">
        <f aca="false">AY32</f>
        <v>0</v>
      </c>
      <c r="C33" s="0" t="n">
        <f aca="false">AZ32</f>
        <v>0</v>
      </c>
      <c r="D33" s="0" t="n">
        <f aca="false">BA32</f>
        <v>0</v>
      </c>
      <c r="E33" s="0" t="n">
        <f aca="false">BB32</f>
        <v>9545.22</v>
      </c>
      <c r="F33" s="0" t="n">
        <f aca="false">BC32</f>
        <v>0</v>
      </c>
      <c r="G33" s="0" t="n">
        <f aca="false">BD32</f>
        <v>0</v>
      </c>
      <c r="H33" s="0" t="n">
        <f aca="false">BE32</f>
        <v>0</v>
      </c>
      <c r="I33" s="0" t="n">
        <f aca="false">BF32</f>
        <v>0</v>
      </c>
      <c r="J33" s="0" t="n">
        <f aca="false">B33*N('Debt Payoff'!D9)/12</f>
        <v>0</v>
      </c>
      <c r="K33" s="0" t="n">
        <f aca="false">C33*N('Debt Payoff'!D10)/12</f>
        <v>0</v>
      </c>
      <c r="L33" s="0" t="n">
        <f aca="false">D33*N('Debt Payoff'!D11)/12</f>
        <v>0</v>
      </c>
      <c r="M33" s="0" t="n">
        <f aca="false">E33*N('Debt Payoff'!D12)/12</f>
        <v>43.748925</v>
      </c>
      <c r="N33" s="0" t="n">
        <f aca="false">F33*N('Debt Payoff'!D13)/12</f>
        <v>0</v>
      </c>
      <c r="O33" s="0" t="n">
        <f aca="false">G33*N('Debt Payoff'!D14)/12</f>
        <v>0</v>
      </c>
      <c r="P33" s="0" t="n">
        <f aca="false">H33*N('Debt Payoff'!D15)/12</f>
        <v>0</v>
      </c>
      <c r="Q33" s="0" t="n">
        <f aca="false">I33*N('Debt Payoff'!D16)/12</f>
        <v>0</v>
      </c>
      <c r="R33" s="0" t="n">
        <f aca="false">B33+J33</f>
        <v>0</v>
      </c>
      <c r="S33" s="0" t="n">
        <f aca="false">C33+K33</f>
        <v>0</v>
      </c>
      <c r="T33" s="0" t="n">
        <f aca="false">D33+L33</f>
        <v>0</v>
      </c>
      <c r="U33" s="0" t="n">
        <f aca="false">E33+M33</f>
        <v>9588.968925</v>
      </c>
      <c r="V33" s="0" t="n">
        <f aca="false">F33+N33</f>
        <v>0</v>
      </c>
      <c r="W33" s="0" t="n">
        <f aca="false">G33+O33</f>
        <v>0</v>
      </c>
      <c r="X33" s="0" t="n">
        <f aca="false">H33+P33</f>
        <v>0</v>
      </c>
      <c r="Y33" s="0" t="n">
        <f aca="false">I33+Q33</f>
        <v>0</v>
      </c>
      <c r="Z33" s="0" t="n">
        <f aca="false">MIN(R33,N('Debt Payoff'!E9))</f>
        <v>0</v>
      </c>
      <c r="AA33" s="0" t="n">
        <f aca="false">MIN(S33,N('Debt Payoff'!E10))</f>
        <v>0</v>
      </c>
      <c r="AB33" s="0" t="n">
        <f aca="false">MIN(T33,N('Debt Payoff'!E11))</f>
        <v>0</v>
      </c>
      <c r="AC33" s="0" t="n">
        <f aca="false">MIN(U33,N('Debt Payoff'!E12))</f>
        <v>160</v>
      </c>
      <c r="AD33" s="0" t="n">
        <f aca="false">MIN(V33,N('Debt Payoff'!E13))</f>
        <v>0</v>
      </c>
      <c r="AE33" s="0" t="n">
        <f aca="false">MIN(W33,N('Debt Payoff'!E14))</f>
        <v>0</v>
      </c>
      <c r="AF33" s="0" t="n">
        <f aca="false">MIN(X33,N('Debt Payoff'!E15))</f>
        <v>0</v>
      </c>
      <c r="AG33" s="0" t="n">
        <f aca="false">MIN(Y33,N('Debt Payoff'!E16))</f>
        <v>0</v>
      </c>
      <c r="AH33" s="0" t="n">
        <f aca="false">R33-Z33</f>
        <v>0</v>
      </c>
      <c r="AI33" s="0" t="n">
        <f aca="false">S33-AA33</f>
        <v>0</v>
      </c>
      <c r="AJ33" s="0" t="n">
        <f aca="false">T33-AB33</f>
        <v>0</v>
      </c>
      <c r="AK33" s="0" t="n">
        <f aca="false">U33-AC33</f>
        <v>9428.968925</v>
      </c>
      <c r="AL33" s="0" t="n">
        <f aca="false">V33-AD33</f>
        <v>0</v>
      </c>
      <c r="AM33" s="0" t="n">
        <f aca="false">W33-AE33</f>
        <v>0</v>
      </c>
      <c r="AN33" s="0" t="n">
        <f aca="false">X33-AF33</f>
        <v>0</v>
      </c>
      <c r="AO33" s="0" t="n">
        <f aca="false">Y33-AG33</f>
        <v>0</v>
      </c>
      <c r="AP33" s="0" t="n">
        <f aca="false">MAX(0,'Debt Payoff'!$D$17-SUM(Z33:AG33))</f>
        <v>645</v>
      </c>
      <c r="AQ33" s="0" t="n">
        <f aca="false">MIN(AH33,MAX(0,$AP33-SUMPRODUCT(($AH$1:$AO$1&lt;AH$1)*$AH33:$AO33)))</f>
        <v>0</v>
      </c>
      <c r="AR33" s="0" t="n">
        <f aca="false">MIN(AI33,MAX(0,$AP33-SUMPRODUCT(($AH$1:$AO$1&lt;AI$1)*$AH33:$AO33)))</f>
        <v>0</v>
      </c>
      <c r="AS33" s="0" t="n">
        <f aca="false">MIN(AJ33,MAX(0,$AP33-SUMPRODUCT(($AH$1:$AO$1&lt;AJ$1)*$AH33:$AO33)))</f>
        <v>0</v>
      </c>
      <c r="AT33" s="0" t="n">
        <f aca="false">MIN(AK33,MAX(0,$AP33-SUMPRODUCT(($AH$1:$AO$1&lt;AK$1)*$AH33:$AO33)))</f>
        <v>645</v>
      </c>
      <c r="AU33" s="0" t="n">
        <f aca="false">MIN(AL33,MAX(0,$AP33-SUMPRODUCT(($AH$1:$AO$1&lt;AL$1)*$AH33:$AO33)))</f>
        <v>0</v>
      </c>
      <c r="AV33" s="0" t="n">
        <f aca="false">MIN(AM33,MAX(0,$AP33-SUMPRODUCT(($AH$1:$AO$1&lt;AM$1)*$AH33:$AO33)))</f>
        <v>0</v>
      </c>
      <c r="AW33" s="0" t="n">
        <f aca="false">MIN(AN33,MAX(0,$AP33-SUMPRODUCT(($AH$1:$AO$1&lt;AN$1)*$AH33:$AO33)))</f>
        <v>0</v>
      </c>
      <c r="AX33" s="0" t="n">
        <f aca="false">MIN(AO33,MAX(0,$AP33-SUMPRODUCT(($AH$1:$AO$1&lt;AO$1)*$AH33:$AO33)))</f>
        <v>0</v>
      </c>
      <c r="AY33" s="0" t="n">
        <f aca="false">ROUND(AH33-AQ33,2)</f>
        <v>0</v>
      </c>
      <c r="AZ33" s="0" t="n">
        <f aca="false">ROUND(AI33-AR33,2)</f>
        <v>0</v>
      </c>
      <c r="BA33" s="0" t="n">
        <f aca="false">ROUND(AJ33-AS33,2)</f>
        <v>0</v>
      </c>
      <c r="BB33" s="0" t="n">
        <f aca="false">ROUND(AK33-AT33,2)</f>
        <v>8783.97</v>
      </c>
      <c r="BC33" s="0" t="n">
        <f aca="false">ROUND(AL33-AU33,2)</f>
        <v>0</v>
      </c>
      <c r="BD33" s="0" t="n">
        <f aca="false">ROUND(AM33-AV33,2)</f>
        <v>0</v>
      </c>
      <c r="BE33" s="0" t="n">
        <f aca="false">ROUND(AN33-AW33,2)</f>
        <v>0</v>
      </c>
      <c r="BF33" s="0" t="n">
        <f aca="false">ROUND(AO33-AX33,2)</f>
        <v>0</v>
      </c>
      <c r="BG33" s="0" t="n">
        <f aca="false">SUM(AY33:BF33)</f>
        <v>8783.97</v>
      </c>
    </row>
    <row r="34" customFormat="false" ht="15" hidden="false" customHeight="false" outlineLevel="0" collapsed="false">
      <c r="A34" s="0" t="n">
        <v>32</v>
      </c>
      <c r="B34" s="0" t="n">
        <f aca="false">AY33</f>
        <v>0</v>
      </c>
      <c r="C34" s="0" t="n">
        <f aca="false">AZ33</f>
        <v>0</v>
      </c>
      <c r="D34" s="0" t="n">
        <f aca="false">BA33</f>
        <v>0</v>
      </c>
      <c r="E34" s="0" t="n">
        <f aca="false">BB33</f>
        <v>8783.97</v>
      </c>
      <c r="F34" s="0" t="n">
        <f aca="false">BC33</f>
        <v>0</v>
      </c>
      <c r="G34" s="0" t="n">
        <f aca="false">BD33</f>
        <v>0</v>
      </c>
      <c r="H34" s="0" t="n">
        <f aca="false">BE33</f>
        <v>0</v>
      </c>
      <c r="I34" s="0" t="n">
        <f aca="false">BF33</f>
        <v>0</v>
      </c>
      <c r="J34" s="0" t="n">
        <f aca="false">B34*N('Debt Payoff'!D9)/12</f>
        <v>0</v>
      </c>
      <c r="K34" s="0" t="n">
        <f aca="false">C34*N('Debt Payoff'!D10)/12</f>
        <v>0</v>
      </c>
      <c r="L34" s="0" t="n">
        <f aca="false">D34*N('Debt Payoff'!D11)/12</f>
        <v>0</v>
      </c>
      <c r="M34" s="0" t="n">
        <f aca="false">E34*N('Debt Payoff'!D12)/12</f>
        <v>40.2598625</v>
      </c>
      <c r="N34" s="0" t="n">
        <f aca="false">F34*N('Debt Payoff'!D13)/12</f>
        <v>0</v>
      </c>
      <c r="O34" s="0" t="n">
        <f aca="false">G34*N('Debt Payoff'!D14)/12</f>
        <v>0</v>
      </c>
      <c r="P34" s="0" t="n">
        <f aca="false">H34*N('Debt Payoff'!D15)/12</f>
        <v>0</v>
      </c>
      <c r="Q34" s="0" t="n">
        <f aca="false">I34*N('Debt Payoff'!D16)/12</f>
        <v>0</v>
      </c>
      <c r="R34" s="0" t="n">
        <f aca="false">B34+J34</f>
        <v>0</v>
      </c>
      <c r="S34" s="0" t="n">
        <f aca="false">C34+K34</f>
        <v>0</v>
      </c>
      <c r="T34" s="0" t="n">
        <f aca="false">D34+L34</f>
        <v>0</v>
      </c>
      <c r="U34" s="0" t="n">
        <f aca="false">E34+M34</f>
        <v>8824.2298625</v>
      </c>
      <c r="V34" s="0" t="n">
        <f aca="false">F34+N34</f>
        <v>0</v>
      </c>
      <c r="W34" s="0" t="n">
        <f aca="false">G34+O34</f>
        <v>0</v>
      </c>
      <c r="X34" s="0" t="n">
        <f aca="false">H34+P34</f>
        <v>0</v>
      </c>
      <c r="Y34" s="0" t="n">
        <f aca="false">I34+Q34</f>
        <v>0</v>
      </c>
      <c r="Z34" s="0" t="n">
        <f aca="false">MIN(R34,N('Debt Payoff'!E9))</f>
        <v>0</v>
      </c>
      <c r="AA34" s="0" t="n">
        <f aca="false">MIN(S34,N('Debt Payoff'!E10))</f>
        <v>0</v>
      </c>
      <c r="AB34" s="0" t="n">
        <f aca="false">MIN(T34,N('Debt Payoff'!E11))</f>
        <v>0</v>
      </c>
      <c r="AC34" s="0" t="n">
        <f aca="false">MIN(U34,N('Debt Payoff'!E12))</f>
        <v>160</v>
      </c>
      <c r="AD34" s="0" t="n">
        <f aca="false">MIN(V34,N('Debt Payoff'!E13))</f>
        <v>0</v>
      </c>
      <c r="AE34" s="0" t="n">
        <f aca="false">MIN(W34,N('Debt Payoff'!E14))</f>
        <v>0</v>
      </c>
      <c r="AF34" s="0" t="n">
        <f aca="false">MIN(X34,N('Debt Payoff'!E15))</f>
        <v>0</v>
      </c>
      <c r="AG34" s="0" t="n">
        <f aca="false">MIN(Y34,N('Debt Payoff'!E16))</f>
        <v>0</v>
      </c>
      <c r="AH34" s="0" t="n">
        <f aca="false">R34-Z34</f>
        <v>0</v>
      </c>
      <c r="AI34" s="0" t="n">
        <f aca="false">S34-AA34</f>
        <v>0</v>
      </c>
      <c r="AJ34" s="0" t="n">
        <f aca="false">T34-AB34</f>
        <v>0</v>
      </c>
      <c r="AK34" s="0" t="n">
        <f aca="false">U34-AC34</f>
        <v>8664.2298625</v>
      </c>
      <c r="AL34" s="0" t="n">
        <f aca="false">V34-AD34</f>
        <v>0</v>
      </c>
      <c r="AM34" s="0" t="n">
        <f aca="false">W34-AE34</f>
        <v>0</v>
      </c>
      <c r="AN34" s="0" t="n">
        <f aca="false">X34-AF34</f>
        <v>0</v>
      </c>
      <c r="AO34" s="0" t="n">
        <f aca="false">Y34-AG34</f>
        <v>0</v>
      </c>
      <c r="AP34" s="0" t="n">
        <f aca="false">MAX(0,'Debt Payoff'!$D$17-SUM(Z34:AG34))</f>
        <v>645</v>
      </c>
      <c r="AQ34" s="0" t="n">
        <f aca="false">MIN(AH34,MAX(0,$AP34-SUMPRODUCT(($AH$1:$AO$1&lt;AH$1)*$AH34:$AO34)))</f>
        <v>0</v>
      </c>
      <c r="AR34" s="0" t="n">
        <f aca="false">MIN(AI34,MAX(0,$AP34-SUMPRODUCT(($AH$1:$AO$1&lt;AI$1)*$AH34:$AO34)))</f>
        <v>0</v>
      </c>
      <c r="AS34" s="0" t="n">
        <f aca="false">MIN(AJ34,MAX(0,$AP34-SUMPRODUCT(($AH$1:$AO$1&lt;AJ$1)*$AH34:$AO34)))</f>
        <v>0</v>
      </c>
      <c r="AT34" s="0" t="n">
        <f aca="false">MIN(AK34,MAX(0,$AP34-SUMPRODUCT(($AH$1:$AO$1&lt;AK$1)*$AH34:$AO34)))</f>
        <v>645</v>
      </c>
      <c r="AU34" s="0" t="n">
        <f aca="false">MIN(AL34,MAX(0,$AP34-SUMPRODUCT(($AH$1:$AO$1&lt;AL$1)*$AH34:$AO34)))</f>
        <v>0</v>
      </c>
      <c r="AV34" s="0" t="n">
        <f aca="false">MIN(AM34,MAX(0,$AP34-SUMPRODUCT(($AH$1:$AO$1&lt;AM$1)*$AH34:$AO34)))</f>
        <v>0</v>
      </c>
      <c r="AW34" s="0" t="n">
        <f aca="false">MIN(AN34,MAX(0,$AP34-SUMPRODUCT(($AH$1:$AO$1&lt;AN$1)*$AH34:$AO34)))</f>
        <v>0</v>
      </c>
      <c r="AX34" s="0" t="n">
        <f aca="false">MIN(AO34,MAX(0,$AP34-SUMPRODUCT(($AH$1:$AO$1&lt;AO$1)*$AH34:$AO34)))</f>
        <v>0</v>
      </c>
      <c r="AY34" s="0" t="n">
        <f aca="false">ROUND(AH34-AQ34,2)</f>
        <v>0</v>
      </c>
      <c r="AZ34" s="0" t="n">
        <f aca="false">ROUND(AI34-AR34,2)</f>
        <v>0</v>
      </c>
      <c r="BA34" s="0" t="n">
        <f aca="false">ROUND(AJ34-AS34,2)</f>
        <v>0</v>
      </c>
      <c r="BB34" s="0" t="n">
        <f aca="false">ROUND(AK34-AT34,2)</f>
        <v>8019.23</v>
      </c>
      <c r="BC34" s="0" t="n">
        <f aca="false">ROUND(AL34-AU34,2)</f>
        <v>0</v>
      </c>
      <c r="BD34" s="0" t="n">
        <f aca="false">ROUND(AM34-AV34,2)</f>
        <v>0</v>
      </c>
      <c r="BE34" s="0" t="n">
        <f aca="false">ROUND(AN34-AW34,2)</f>
        <v>0</v>
      </c>
      <c r="BF34" s="0" t="n">
        <f aca="false">ROUND(AO34-AX34,2)</f>
        <v>0</v>
      </c>
      <c r="BG34" s="0" t="n">
        <f aca="false">SUM(AY34:BF34)</f>
        <v>8019.23</v>
      </c>
    </row>
    <row r="35" customFormat="false" ht="15" hidden="false" customHeight="false" outlineLevel="0" collapsed="false">
      <c r="A35" s="0" t="n">
        <v>33</v>
      </c>
      <c r="B35" s="0" t="n">
        <f aca="false">AY34</f>
        <v>0</v>
      </c>
      <c r="C35" s="0" t="n">
        <f aca="false">AZ34</f>
        <v>0</v>
      </c>
      <c r="D35" s="0" t="n">
        <f aca="false">BA34</f>
        <v>0</v>
      </c>
      <c r="E35" s="0" t="n">
        <f aca="false">BB34</f>
        <v>8019.23</v>
      </c>
      <c r="F35" s="0" t="n">
        <f aca="false">BC34</f>
        <v>0</v>
      </c>
      <c r="G35" s="0" t="n">
        <f aca="false">BD34</f>
        <v>0</v>
      </c>
      <c r="H35" s="0" t="n">
        <f aca="false">BE34</f>
        <v>0</v>
      </c>
      <c r="I35" s="0" t="n">
        <f aca="false">BF34</f>
        <v>0</v>
      </c>
      <c r="J35" s="0" t="n">
        <f aca="false">B35*N('Debt Payoff'!D9)/12</f>
        <v>0</v>
      </c>
      <c r="K35" s="0" t="n">
        <f aca="false">C35*N('Debt Payoff'!D10)/12</f>
        <v>0</v>
      </c>
      <c r="L35" s="0" t="n">
        <f aca="false">D35*N('Debt Payoff'!D11)/12</f>
        <v>0</v>
      </c>
      <c r="M35" s="0" t="n">
        <f aca="false">E35*N('Debt Payoff'!D12)/12</f>
        <v>36.7548041666667</v>
      </c>
      <c r="N35" s="0" t="n">
        <f aca="false">F35*N('Debt Payoff'!D13)/12</f>
        <v>0</v>
      </c>
      <c r="O35" s="0" t="n">
        <f aca="false">G35*N('Debt Payoff'!D14)/12</f>
        <v>0</v>
      </c>
      <c r="P35" s="0" t="n">
        <f aca="false">H35*N('Debt Payoff'!D15)/12</f>
        <v>0</v>
      </c>
      <c r="Q35" s="0" t="n">
        <f aca="false">I35*N('Debt Payoff'!D16)/12</f>
        <v>0</v>
      </c>
      <c r="R35" s="0" t="n">
        <f aca="false">B35+J35</f>
        <v>0</v>
      </c>
      <c r="S35" s="0" t="n">
        <f aca="false">C35+K35</f>
        <v>0</v>
      </c>
      <c r="T35" s="0" t="n">
        <f aca="false">D35+L35</f>
        <v>0</v>
      </c>
      <c r="U35" s="0" t="n">
        <f aca="false">E35+M35</f>
        <v>8055.98480416667</v>
      </c>
      <c r="V35" s="0" t="n">
        <f aca="false">F35+N35</f>
        <v>0</v>
      </c>
      <c r="W35" s="0" t="n">
        <f aca="false">G35+O35</f>
        <v>0</v>
      </c>
      <c r="X35" s="0" t="n">
        <f aca="false">H35+P35</f>
        <v>0</v>
      </c>
      <c r="Y35" s="0" t="n">
        <f aca="false">I35+Q35</f>
        <v>0</v>
      </c>
      <c r="Z35" s="0" t="n">
        <f aca="false">MIN(R35,N('Debt Payoff'!E9))</f>
        <v>0</v>
      </c>
      <c r="AA35" s="0" t="n">
        <f aca="false">MIN(S35,N('Debt Payoff'!E10))</f>
        <v>0</v>
      </c>
      <c r="AB35" s="0" t="n">
        <f aca="false">MIN(T35,N('Debt Payoff'!E11))</f>
        <v>0</v>
      </c>
      <c r="AC35" s="0" t="n">
        <f aca="false">MIN(U35,N('Debt Payoff'!E12))</f>
        <v>160</v>
      </c>
      <c r="AD35" s="0" t="n">
        <f aca="false">MIN(V35,N('Debt Payoff'!E13))</f>
        <v>0</v>
      </c>
      <c r="AE35" s="0" t="n">
        <f aca="false">MIN(W35,N('Debt Payoff'!E14))</f>
        <v>0</v>
      </c>
      <c r="AF35" s="0" t="n">
        <f aca="false">MIN(X35,N('Debt Payoff'!E15))</f>
        <v>0</v>
      </c>
      <c r="AG35" s="0" t="n">
        <f aca="false">MIN(Y35,N('Debt Payoff'!E16))</f>
        <v>0</v>
      </c>
      <c r="AH35" s="0" t="n">
        <f aca="false">R35-Z35</f>
        <v>0</v>
      </c>
      <c r="AI35" s="0" t="n">
        <f aca="false">S35-AA35</f>
        <v>0</v>
      </c>
      <c r="AJ35" s="0" t="n">
        <f aca="false">T35-AB35</f>
        <v>0</v>
      </c>
      <c r="AK35" s="0" t="n">
        <f aca="false">U35-AC35</f>
        <v>7895.98480416667</v>
      </c>
      <c r="AL35" s="0" t="n">
        <f aca="false">V35-AD35</f>
        <v>0</v>
      </c>
      <c r="AM35" s="0" t="n">
        <f aca="false">W35-AE35</f>
        <v>0</v>
      </c>
      <c r="AN35" s="0" t="n">
        <f aca="false">X35-AF35</f>
        <v>0</v>
      </c>
      <c r="AO35" s="0" t="n">
        <f aca="false">Y35-AG35</f>
        <v>0</v>
      </c>
      <c r="AP35" s="0" t="n">
        <f aca="false">MAX(0,'Debt Payoff'!$D$17-SUM(Z35:AG35))</f>
        <v>645</v>
      </c>
      <c r="AQ35" s="0" t="n">
        <f aca="false">MIN(AH35,MAX(0,$AP35-SUMPRODUCT(($AH$1:$AO$1&lt;AH$1)*$AH35:$AO35)))</f>
        <v>0</v>
      </c>
      <c r="AR35" s="0" t="n">
        <f aca="false">MIN(AI35,MAX(0,$AP35-SUMPRODUCT(($AH$1:$AO$1&lt;AI$1)*$AH35:$AO35)))</f>
        <v>0</v>
      </c>
      <c r="AS35" s="0" t="n">
        <f aca="false">MIN(AJ35,MAX(0,$AP35-SUMPRODUCT(($AH$1:$AO$1&lt;AJ$1)*$AH35:$AO35)))</f>
        <v>0</v>
      </c>
      <c r="AT35" s="0" t="n">
        <f aca="false">MIN(AK35,MAX(0,$AP35-SUMPRODUCT(($AH$1:$AO$1&lt;AK$1)*$AH35:$AO35)))</f>
        <v>645</v>
      </c>
      <c r="AU35" s="0" t="n">
        <f aca="false">MIN(AL35,MAX(0,$AP35-SUMPRODUCT(($AH$1:$AO$1&lt;AL$1)*$AH35:$AO35)))</f>
        <v>0</v>
      </c>
      <c r="AV35" s="0" t="n">
        <f aca="false">MIN(AM35,MAX(0,$AP35-SUMPRODUCT(($AH$1:$AO$1&lt;AM$1)*$AH35:$AO35)))</f>
        <v>0</v>
      </c>
      <c r="AW35" s="0" t="n">
        <f aca="false">MIN(AN35,MAX(0,$AP35-SUMPRODUCT(($AH$1:$AO$1&lt;AN$1)*$AH35:$AO35)))</f>
        <v>0</v>
      </c>
      <c r="AX35" s="0" t="n">
        <f aca="false">MIN(AO35,MAX(0,$AP35-SUMPRODUCT(($AH$1:$AO$1&lt;AO$1)*$AH35:$AO35)))</f>
        <v>0</v>
      </c>
      <c r="AY35" s="0" t="n">
        <f aca="false">ROUND(AH35-AQ35,2)</f>
        <v>0</v>
      </c>
      <c r="AZ35" s="0" t="n">
        <f aca="false">ROUND(AI35-AR35,2)</f>
        <v>0</v>
      </c>
      <c r="BA35" s="0" t="n">
        <f aca="false">ROUND(AJ35-AS35,2)</f>
        <v>0</v>
      </c>
      <c r="BB35" s="0" t="n">
        <f aca="false">ROUND(AK35-AT35,2)</f>
        <v>7250.98</v>
      </c>
      <c r="BC35" s="0" t="n">
        <f aca="false">ROUND(AL35-AU35,2)</f>
        <v>0</v>
      </c>
      <c r="BD35" s="0" t="n">
        <f aca="false">ROUND(AM35-AV35,2)</f>
        <v>0</v>
      </c>
      <c r="BE35" s="0" t="n">
        <f aca="false">ROUND(AN35-AW35,2)</f>
        <v>0</v>
      </c>
      <c r="BF35" s="0" t="n">
        <f aca="false">ROUND(AO35-AX35,2)</f>
        <v>0</v>
      </c>
      <c r="BG35" s="0" t="n">
        <f aca="false">SUM(AY35:BF35)</f>
        <v>7250.98</v>
      </c>
    </row>
    <row r="36" customFormat="false" ht="15" hidden="false" customHeight="false" outlineLevel="0" collapsed="false">
      <c r="A36" s="0" t="n">
        <v>34</v>
      </c>
      <c r="B36" s="0" t="n">
        <f aca="false">AY35</f>
        <v>0</v>
      </c>
      <c r="C36" s="0" t="n">
        <f aca="false">AZ35</f>
        <v>0</v>
      </c>
      <c r="D36" s="0" t="n">
        <f aca="false">BA35</f>
        <v>0</v>
      </c>
      <c r="E36" s="0" t="n">
        <f aca="false">BB35</f>
        <v>7250.98</v>
      </c>
      <c r="F36" s="0" t="n">
        <f aca="false">BC35</f>
        <v>0</v>
      </c>
      <c r="G36" s="0" t="n">
        <f aca="false">BD35</f>
        <v>0</v>
      </c>
      <c r="H36" s="0" t="n">
        <f aca="false">BE35</f>
        <v>0</v>
      </c>
      <c r="I36" s="0" t="n">
        <f aca="false">BF35</f>
        <v>0</v>
      </c>
      <c r="J36" s="0" t="n">
        <f aca="false">B36*N('Debt Payoff'!D9)/12</f>
        <v>0</v>
      </c>
      <c r="K36" s="0" t="n">
        <f aca="false">C36*N('Debt Payoff'!D10)/12</f>
        <v>0</v>
      </c>
      <c r="L36" s="0" t="n">
        <f aca="false">D36*N('Debt Payoff'!D11)/12</f>
        <v>0</v>
      </c>
      <c r="M36" s="0" t="n">
        <f aca="false">E36*N('Debt Payoff'!D12)/12</f>
        <v>33.2336583333333</v>
      </c>
      <c r="N36" s="0" t="n">
        <f aca="false">F36*N('Debt Payoff'!D13)/12</f>
        <v>0</v>
      </c>
      <c r="O36" s="0" t="n">
        <f aca="false">G36*N('Debt Payoff'!D14)/12</f>
        <v>0</v>
      </c>
      <c r="P36" s="0" t="n">
        <f aca="false">H36*N('Debt Payoff'!D15)/12</f>
        <v>0</v>
      </c>
      <c r="Q36" s="0" t="n">
        <f aca="false">I36*N('Debt Payoff'!D16)/12</f>
        <v>0</v>
      </c>
      <c r="R36" s="0" t="n">
        <f aca="false">B36+J36</f>
        <v>0</v>
      </c>
      <c r="S36" s="0" t="n">
        <f aca="false">C36+K36</f>
        <v>0</v>
      </c>
      <c r="T36" s="0" t="n">
        <f aca="false">D36+L36</f>
        <v>0</v>
      </c>
      <c r="U36" s="0" t="n">
        <f aca="false">E36+M36</f>
        <v>7284.21365833333</v>
      </c>
      <c r="V36" s="0" t="n">
        <f aca="false">F36+N36</f>
        <v>0</v>
      </c>
      <c r="W36" s="0" t="n">
        <f aca="false">G36+O36</f>
        <v>0</v>
      </c>
      <c r="X36" s="0" t="n">
        <f aca="false">H36+P36</f>
        <v>0</v>
      </c>
      <c r="Y36" s="0" t="n">
        <f aca="false">I36+Q36</f>
        <v>0</v>
      </c>
      <c r="Z36" s="0" t="n">
        <f aca="false">MIN(R36,N('Debt Payoff'!E9))</f>
        <v>0</v>
      </c>
      <c r="AA36" s="0" t="n">
        <f aca="false">MIN(S36,N('Debt Payoff'!E10))</f>
        <v>0</v>
      </c>
      <c r="AB36" s="0" t="n">
        <f aca="false">MIN(T36,N('Debt Payoff'!E11))</f>
        <v>0</v>
      </c>
      <c r="AC36" s="0" t="n">
        <f aca="false">MIN(U36,N('Debt Payoff'!E12))</f>
        <v>160</v>
      </c>
      <c r="AD36" s="0" t="n">
        <f aca="false">MIN(V36,N('Debt Payoff'!E13))</f>
        <v>0</v>
      </c>
      <c r="AE36" s="0" t="n">
        <f aca="false">MIN(W36,N('Debt Payoff'!E14))</f>
        <v>0</v>
      </c>
      <c r="AF36" s="0" t="n">
        <f aca="false">MIN(X36,N('Debt Payoff'!E15))</f>
        <v>0</v>
      </c>
      <c r="AG36" s="0" t="n">
        <f aca="false">MIN(Y36,N('Debt Payoff'!E16))</f>
        <v>0</v>
      </c>
      <c r="AH36" s="0" t="n">
        <f aca="false">R36-Z36</f>
        <v>0</v>
      </c>
      <c r="AI36" s="0" t="n">
        <f aca="false">S36-AA36</f>
        <v>0</v>
      </c>
      <c r="AJ36" s="0" t="n">
        <f aca="false">T36-AB36</f>
        <v>0</v>
      </c>
      <c r="AK36" s="0" t="n">
        <f aca="false">U36-AC36</f>
        <v>7124.21365833333</v>
      </c>
      <c r="AL36" s="0" t="n">
        <f aca="false">V36-AD36</f>
        <v>0</v>
      </c>
      <c r="AM36" s="0" t="n">
        <f aca="false">W36-AE36</f>
        <v>0</v>
      </c>
      <c r="AN36" s="0" t="n">
        <f aca="false">X36-AF36</f>
        <v>0</v>
      </c>
      <c r="AO36" s="0" t="n">
        <f aca="false">Y36-AG36</f>
        <v>0</v>
      </c>
      <c r="AP36" s="0" t="n">
        <f aca="false">MAX(0,'Debt Payoff'!$D$17-SUM(Z36:AG36))</f>
        <v>645</v>
      </c>
      <c r="AQ36" s="0" t="n">
        <f aca="false">MIN(AH36,MAX(0,$AP36-SUMPRODUCT(($AH$1:$AO$1&lt;AH$1)*$AH36:$AO36)))</f>
        <v>0</v>
      </c>
      <c r="AR36" s="0" t="n">
        <f aca="false">MIN(AI36,MAX(0,$AP36-SUMPRODUCT(($AH$1:$AO$1&lt;AI$1)*$AH36:$AO36)))</f>
        <v>0</v>
      </c>
      <c r="AS36" s="0" t="n">
        <f aca="false">MIN(AJ36,MAX(0,$AP36-SUMPRODUCT(($AH$1:$AO$1&lt;AJ$1)*$AH36:$AO36)))</f>
        <v>0</v>
      </c>
      <c r="AT36" s="0" t="n">
        <f aca="false">MIN(AK36,MAX(0,$AP36-SUMPRODUCT(($AH$1:$AO$1&lt;AK$1)*$AH36:$AO36)))</f>
        <v>645</v>
      </c>
      <c r="AU36" s="0" t="n">
        <f aca="false">MIN(AL36,MAX(0,$AP36-SUMPRODUCT(($AH$1:$AO$1&lt;AL$1)*$AH36:$AO36)))</f>
        <v>0</v>
      </c>
      <c r="AV36" s="0" t="n">
        <f aca="false">MIN(AM36,MAX(0,$AP36-SUMPRODUCT(($AH$1:$AO$1&lt;AM$1)*$AH36:$AO36)))</f>
        <v>0</v>
      </c>
      <c r="AW36" s="0" t="n">
        <f aca="false">MIN(AN36,MAX(0,$AP36-SUMPRODUCT(($AH$1:$AO$1&lt;AN$1)*$AH36:$AO36)))</f>
        <v>0</v>
      </c>
      <c r="AX36" s="0" t="n">
        <f aca="false">MIN(AO36,MAX(0,$AP36-SUMPRODUCT(($AH$1:$AO$1&lt;AO$1)*$AH36:$AO36)))</f>
        <v>0</v>
      </c>
      <c r="AY36" s="0" t="n">
        <f aca="false">ROUND(AH36-AQ36,2)</f>
        <v>0</v>
      </c>
      <c r="AZ36" s="0" t="n">
        <f aca="false">ROUND(AI36-AR36,2)</f>
        <v>0</v>
      </c>
      <c r="BA36" s="0" t="n">
        <f aca="false">ROUND(AJ36-AS36,2)</f>
        <v>0</v>
      </c>
      <c r="BB36" s="0" t="n">
        <f aca="false">ROUND(AK36-AT36,2)</f>
        <v>6479.21</v>
      </c>
      <c r="BC36" s="0" t="n">
        <f aca="false">ROUND(AL36-AU36,2)</f>
        <v>0</v>
      </c>
      <c r="BD36" s="0" t="n">
        <f aca="false">ROUND(AM36-AV36,2)</f>
        <v>0</v>
      </c>
      <c r="BE36" s="0" t="n">
        <f aca="false">ROUND(AN36-AW36,2)</f>
        <v>0</v>
      </c>
      <c r="BF36" s="0" t="n">
        <f aca="false">ROUND(AO36-AX36,2)</f>
        <v>0</v>
      </c>
      <c r="BG36" s="0" t="n">
        <f aca="false">SUM(AY36:BF36)</f>
        <v>6479.21</v>
      </c>
    </row>
    <row r="37" customFormat="false" ht="15" hidden="false" customHeight="false" outlineLevel="0" collapsed="false">
      <c r="A37" s="0" t="n">
        <v>35</v>
      </c>
      <c r="B37" s="0" t="n">
        <f aca="false">AY36</f>
        <v>0</v>
      </c>
      <c r="C37" s="0" t="n">
        <f aca="false">AZ36</f>
        <v>0</v>
      </c>
      <c r="D37" s="0" t="n">
        <f aca="false">BA36</f>
        <v>0</v>
      </c>
      <c r="E37" s="0" t="n">
        <f aca="false">BB36</f>
        <v>6479.21</v>
      </c>
      <c r="F37" s="0" t="n">
        <f aca="false">BC36</f>
        <v>0</v>
      </c>
      <c r="G37" s="0" t="n">
        <f aca="false">BD36</f>
        <v>0</v>
      </c>
      <c r="H37" s="0" t="n">
        <f aca="false">BE36</f>
        <v>0</v>
      </c>
      <c r="I37" s="0" t="n">
        <f aca="false">BF36</f>
        <v>0</v>
      </c>
      <c r="J37" s="0" t="n">
        <f aca="false">B37*N('Debt Payoff'!D9)/12</f>
        <v>0</v>
      </c>
      <c r="K37" s="0" t="n">
        <f aca="false">C37*N('Debt Payoff'!D10)/12</f>
        <v>0</v>
      </c>
      <c r="L37" s="0" t="n">
        <f aca="false">D37*N('Debt Payoff'!D11)/12</f>
        <v>0</v>
      </c>
      <c r="M37" s="0" t="n">
        <f aca="false">E37*N('Debt Payoff'!D12)/12</f>
        <v>29.6963791666667</v>
      </c>
      <c r="N37" s="0" t="n">
        <f aca="false">F37*N('Debt Payoff'!D13)/12</f>
        <v>0</v>
      </c>
      <c r="O37" s="0" t="n">
        <f aca="false">G37*N('Debt Payoff'!D14)/12</f>
        <v>0</v>
      </c>
      <c r="P37" s="0" t="n">
        <f aca="false">H37*N('Debt Payoff'!D15)/12</f>
        <v>0</v>
      </c>
      <c r="Q37" s="0" t="n">
        <f aca="false">I37*N('Debt Payoff'!D16)/12</f>
        <v>0</v>
      </c>
      <c r="R37" s="0" t="n">
        <f aca="false">B37+J37</f>
        <v>0</v>
      </c>
      <c r="S37" s="0" t="n">
        <f aca="false">C37+K37</f>
        <v>0</v>
      </c>
      <c r="T37" s="0" t="n">
        <f aca="false">D37+L37</f>
        <v>0</v>
      </c>
      <c r="U37" s="0" t="n">
        <f aca="false">E37+M37</f>
        <v>6508.90637916667</v>
      </c>
      <c r="V37" s="0" t="n">
        <f aca="false">F37+N37</f>
        <v>0</v>
      </c>
      <c r="W37" s="0" t="n">
        <f aca="false">G37+O37</f>
        <v>0</v>
      </c>
      <c r="X37" s="0" t="n">
        <f aca="false">H37+P37</f>
        <v>0</v>
      </c>
      <c r="Y37" s="0" t="n">
        <f aca="false">I37+Q37</f>
        <v>0</v>
      </c>
      <c r="Z37" s="0" t="n">
        <f aca="false">MIN(R37,N('Debt Payoff'!E9))</f>
        <v>0</v>
      </c>
      <c r="AA37" s="0" t="n">
        <f aca="false">MIN(S37,N('Debt Payoff'!E10))</f>
        <v>0</v>
      </c>
      <c r="AB37" s="0" t="n">
        <f aca="false">MIN(T37,N('Debt Payoff'!E11))</f>
        <v>0</v>
      </c>
      <c r="AC37" s="0" t="n">
        <f aca="false">MIN(U37,N('Debt Payoff'!E12))</f>
        <v>160</v>
      </c>
      <c r="AD37" s="0" t="n">
        <f aca="false">MIN(V37,N('Debt Payoff'!E13))</f>
        <v>0</v>
      </c>
      <c r="AE37" s="0" t="n">
        <f aca="false">MIN(W37,N('Debt Payoff'!E14))</f>
        <v>0</v>
      </c>
      <c r="AF37" s="0" t="n">
        <f aca="false">MIN(X37,N('Debt Payoff'!E15))</f>
        <v>0</v>
      </c>
      <c r="AG37" s="0" t="n">
        <f aca="false">MIN(Y37,N('Debt Payoff'!E16))</f>
        <v>0</v>
      </c>
      <c r="AH37" s="0" t="n">
        <f aca="false">R37-Z37</f>
        <v>0</v>
      </c>
      <c r="AI37" s="0" t="n">
        <f aca="false">S37-AA37</f>
        <v>0</v>
      </c>
      <c r="AJ37" s="0" t="n">
        <f aca="false">T37-AB37</f>
        <v>0</v>
      </c>
      <c r="AK37" s="0" t="n">
        <f aca="false">U37-AC37</f>
        <v>6348.90637916667</v>
      </c>
      <c r="AL37" s="0" t="n">
        <f aca="false">V37-AD37</f>
        <v>0</v>
      </c>
      <c r="AM37" s="0" t="n">
        <f aca="false">W37-AE37</f>
        <v>0</v>
      </c>
      <c r="AN37" s="0" t="n">
        <f aca="false">X37-AF37</f>
        <v>0</v>
      </c>
      <c r="AO37" s="0" t="n">
        <f aca="false">Y37-AG37</f>
        <v>0</v>
      </c>
      <c r="AP37" s="0" t="n">
        <f aca="false">MAX(0,'Debt Payoff'!$D$17-SUM(Z37:AG37))</f>
        <v>645</v>
      </c>
      <c r="AQ37" s="0" t="n">
        <f aca="false">MIN(AH37,MAX(0,$AP37-SUMPRODUCT(($AH$1:$AO$1&lt;AH$1)*$AH37:$AO37)))</f>
        <v>0</v>
      </c>
      <c r="AR37" s="0" t="n">
        <f aca="false">MIN(AI37,MAX(0,$AP37-SUMPRODUCT(($AH$1:$AO$1&lt;AI$1)*$AH37:$AO37)))</f>
        <v>0</v>
      </c>
      <c r="AS37" s="0" t="n">
        <f aca="false">MIN(AJ37,MAX(0,$AP37-SUMPRODUCT(($AH$1:$AO$1&lt;AJ$1)*$AH37:$AO37)))</f>
        <v>0</v>
      </c>
      <c r="AT37" s="0" t="n">
        <f aca="false">MIN(AK37,MAX(0,$AP37-SUMPRODUCT(($AH$1:$AO$1&lt;AK$1)*$AH37:$AO37)))</f>
        <v>645</v>
      </c>
      <c r="AU37" s="0" t="n">
        <f aca="false">MIN(AL37,MAX(0,$AP37-SUMPRODUCT(($AH$1:$AO$1&lt;AL$1)*$AH37:$AO37)))</f>
        <v>0</v>
      </c>
      <c r="AV37" s="0" t="n">
        <f aca="false">MIN(AM37,MAX(0,$AP37-SUMPRODUCT(($AH$1:$AO$1&lt;AM$1)*$AH37:$AO37)))</f>
        <v>0</v>
      </c>
      <c r="AW37" s="0" t="n">
        <f aca="false">MIN(AN37,MAX(0,$AP37-SUMPRODUCT(($AH$1:$AO$1&lt;AN$1)*$AH37:$AO37)))</f>
        <v>0</v>
      </c>
      <c r="AX37" s="0" t="n">
        <f aca="false">MIN(AO37,MAX(0,$AP37-SUMPRODUCT(($AH$1:$AO$1&lt;AO$1)*$AH37:$AO37)))</f>
        <v>0</v>
      </c>
      <c r="AY37" s="0" t="n">
        <f aca="false">ROUND(AH37-AQ37,2)</f>
        <v>0</v>
      </c>
      <c r="AZ37" s="0" t="n">
        <f aca="false">ROUND(AI37-AR37,2)</f>
        <v>0</v>
      </c>
      <c r="BA37" s="0" t="n">
        <f aca="false">ROUND(AJ37-AS37,2)</f>
        <v>0</v>
      </c>
      <c r="BB37" s="0" t="n">
        <f aca="false">ROUND(AK37-AT37,2)</f>
        <v>5703.91</v>
      </c>
      <c r="BC37" s="0" t="n">
        <f aca="false">ROUND(AL37-AU37,2)</f>
        <v>0</v>
      </c>
      <c r="BD37" s="0" t="n">
        <f aca="false">ROUND(AM37-AV37,2)</f>
        <v>0</v>
      </c>
      <c r="BE37" s="0" t="n">
        <f aca="false">ROUND(AN37-AW37,2)</f>
        <v>0</v>
      </c>
      <c r="BF37" s="0" t="n">
        <f aca="false">ROUND(AO37-AX37,2)</f>
        <v>0</v>
      </c>
      <c r="BG37" s="0" t="n">
        <f aca="false">SUM(AY37:BF37)</f>
        <v>5703.91</v>
      </c>
    </row>
    <row r="38" customFormat="false" ht="15" hidden="false" customHeight="false" outlineLevel="0" collapsed="false">
      <c r="A38" s="0" t="n">
        <v>36</v>
      </c>
      <c r="B38" s="0" t="n">
        <f aca="false">AY37</f>
        <v>0</v>
      </c>
      <c r="C38" s="0" t="n">
        <f aca="false">AZ37</f>
        <v>0</v>
      </c>
      <c r="D38" s="0" t="n">
        <f aca="false">BA37</f>
        <v>0</v>
      </c>
      <c r="E38" s="0" t="n">
        <f aca="false">BB37</f>
        <v>5703.91</v>
      </c>
      <c r="F38" s="0" t="n">
        <f aca="false">BC37</f>
        <v>0</v>
      </c>
      <c r="G38" s="0" t="n">
        <f aca="false">BD37</f>
        <v>0</v>
      </c>
      <c r="H38" s="0" t="n">
        <f aca="false">BE37</f>
        <v>0</v>
      </c>
      <c r="I38" s="0" t="n">
        <f aca="false">BF37</f>
        <v>0</v>
      </c>
      <c r="J38" s="0" t="n">
        <f aca="false">B38*N('Debt Payoff'!D9)/12</f>
        <v>0</v>
      </c>
      <c r="K38" s="0" t="n">
        <f aca="false">C38*N('Debt Payoff'!D10)/12</f>
        <v>0</v>
      </c>
      <c r="L38" s="0" t="n">
        <f aca="false">D38*N('Debt Payoff'!D11)/12</f>
        <v>0</v>
      </c>
      <c r="M38" s="0" t="n">
        <f aca="false">E38*N('Debt Payoff'!D12)/12</f>
        <v>26.1429208333333</v>
      </c>
      <c r="N38" s="0" t="n">
        <f aca="false">F38*N('Debt Payoff'!D13)/12</f>
        <v>0</v>
      </c>
      <c r="O38" s="0" t="n">
        <f aca="false">G38*N('Debt Payoff'!D14)/12</f>
        <v>0</v>
      </c>
      <c r="P38" s="0" t="n">
        <f aca="false">H38*N('Debt Payoff'!D15)/12</f>
        <v>0</v>
      </c>
      <c r="Q38" s="0" t="n">
        <f aca="false">I38*N('Debt Payoff'!D16)/12</f>
        <v>0</v>
      </c>
      <c r="R38" s="0" t="n">
        <f aca="false">B38+J38</f>
        <v>0</v>
      </c>
      <c r="S38" s="0" t="n">
        <f aca="false">C38+K38</f>
        <v>0</v>
      </c>
      <c r="T38" s="0" t="n">
        <f aca="false">D38+L38</f>
        <v>0</v>
      </c>
      <c r="U38" s="0" t="n">
        <f aca="false">E38+M38</f>
        <v>5730.05292083333</v>
      </c>
      <c r="V38" s="0" t="n">
        <f aca="false">F38+N38</f>
        <v>0</v>
      </c>
      <c r="W38" s="0" t="n">
        <f aca="false">G38+O38</f>
        <v>0</v>
      </c>
      <c r="X38" s="0" t="n">
        <f aca="false">H38+P38</f>
        <v>0</v>
      </c>
      <c r="Y38" s="0" t="n">
        <f aca="false">I38+Q38</f>
        <v>0</v>
      </c>
      <c r="Z38" s="0" t="n">
        <f aca="false">MIN(R38,N('Debt Payoff'!E9))</f>
        <v>0</v>
      </c>
      <c r="AA38" s="0" t="n">
        <f aca="false">MIN(S38,N('Debt Payoff'!E10))</f>
        <v>0</v>
      </c>
      <c r="AB38" s="0" t="n">
        <f aca="false">MIN(T38,N('Debt Payoff'!E11))</f>
        <v>0</v>
      </c>
      <c r="AC38" s="0" t="n">
        <f aca="false">MIN(U38,N('Debt Payoff'!E12))</f>
        <v>160</v>
      </c>
      <c r="AD38" s="0" t="n">
        <f aca="false">MIN(V38,N('Debt Payoff'!E13))</f>
        <v>0</v>
      </c>
      <c r="AE38" s="0" t="n">
        <f aca="false">MIN(W38,N('Debt Payoff'!E14))</f>
        <v>0</v>
      </c>
      <c r="AF38" s="0" t="n">
        <f aca="false">MIN(X38,N('Debt Payoff'!E15))</f>
        <v>0</v>
      </c>
      <c r="AG38" s="0" t="n">
        <f aca="false">MIN(Y38,N('Debt Payoff'!E16))</f>
        <v>0</v>
      </c>
      <c r="AH38" s="0" t="n">
        <f aca="false">R38-Z38</f>
        <v>0</v>
      </c>
      <c r="AI38" s="0" t="n">
        <f aca="false">S38-AA38</f>
        <v>0</v>
      </c>
      <c r="AJ38" s="0" t="n">
        <f aca="false">T38-AB38</f>
        <v>0</v>
      </c>
      <c r="AK38" s="0" t="n">
        <f aca="false">U38-AC38</f>
        <v>5570.05292083333</v>
      </c>
      <c r="AL38" s="0" t="n">
        <f aca="false">V38-AD38</f>
        <v>0</v>
      </c>
      <c r="AM38" s="0" t="n">
        <f aca="false">W38-AE38</f>
        <v>0</v>
      </c>
      <c r="AN38" s="0" t="n">
        <f aca="false">X38-AF38</f>
        <v>0</v>
      </c>
      <c r="AO38" s="0" t="n">
        <f aca="false">Y38-AG38</f>
        <v>0</v>
      </c>
      <c r="AP38" s="0" t="n">
        <f aca="false">MAX(0,'Debt Payoff'!$D$17-SUM(Z38:AG38))</f>
        <v>645</v>
      </c>
      <c r="AQ38" s="0" t="n">
        <f aca="false">MIN(AH38,MAX(0,$AP38-SUMPRODUCT(($AH$1:$AO$1&lt;AH$1)*$AH38:$AO38)))</f>
        <v>0</v>
      </c>
      <c r="AR38" s="0" t="n">
        <f aca="false">MIN(AI38,MAX(0,$AP38-SUMPRODUCT(($AH$1:$AO$1&lt;AI$1)*$AH38:$AO38)))</f>
        <v>0</v>
      </c>
      <c r="AS38" s="0" t="n">
        <f aca="false">MIN(AJ38,MAX(0,$AP38-SUMPRODUCT(($AH$1:$AO$1&lt;AJ$1)*$AH38:$AO38)))</f>
        <v>0</v>
      </c>
      <c r="AT38" s="0" t="n">
        <f aca="false">MIN(AK38,MAX(0,$AP38-SUMPRODUCT(($AH$1:$AO$1&lt;AK$1)*$AH38:$AO38)))</f>
        <v>645</v>
      </c>
      <c r="AU38" s="0" t="n">
        <f aca="false">MIN(AL38,MAX(0,$AP38-SUMPRODUCT(($AH$1:$AO$1&lt;AL$1)*$AH38:$AO38)))</f>
        <v>0</v>
      </c>
      <c r="AV38" s="0" t="n">
        <f aca="false">MIN(AM38,MAX(0,$AP38-SUMPRODUCT(($AH$1:$AO$1&lt;AM$1)*$AH38:$AO38)))</f>
        <v>0</v>
      </c>
      <c r="AW38" s="0" t="n">
        <f aca="false">MIN(AN38,MAX(0,$AP38-SUMPRODUCT(($AH$1:$AO$1&lt;AN$1)*$AH38:$AO38)))</f>
        <v>0</v>
      </c>
      <c r="AX38" s="0" t="n">
        <f aca="false">MIN(AO38,MAX(0,$AP38-SUMPRODUCT(($AH$1:$AO$1&lt;AO$1)*$AH38:$AO38)))</f>
        <v>0</v>
      </c>
      <c r="AY38" s="0" t="n">
        <f aca="false">ROUND(AH38-AQ38,2)</f>
        <v>0</v>
      </c>
      <c r="AZ38" s="0" t="n">
        <f aca="false">ROUND(AI38-AR38,2)</f>
        <v>0</v>
      </c>
      <c r="BA38" s="0" t="n">
        <f aca="false">ROUND(AJ38-AS38,2)</f>
        <v>0</v>
      </c>
      <c r="BB38" s="0" t="n">
        <f aca="false">ROUND(AK38-AT38,2)</f>
        <v>4925.05</v>
      </c>
      <c r="BC38" s="0" t="n">
        <f aca="false">ROUND(AL38-AU38,2)</f>
        <v>0</v>
      </c>
      <c r="BD38" s="0" t="n">
        <f aca="false">ROUND(AM38-AV38,2)</f>
        <v>0</v>
      </c>
      <c r="BE38" s="0" t="n">
        <f aca="false">ROUND(AN38-AW38,2)</f>
        <v>0</v>
      </c>
      <c r="BF38" s="0" t="n">
        <f aca="false">ROUND(AO38-AX38,2)</f>
        <v>0</v>
      </c>
      <c r="BG38" s="0" t="n">
        <f aca="false">SUM(AY38:BF38)</f>
        <v>4925.05</v>
      </c>
    </row>
    <row r="39" customFormat="false" ht="15" hidden="false" customHeight="false" outlineLevel="0" collapsed="false">
      <c r="A39" s="0" t="n">
        <v>37</v>
      </c>
      <c r="B39" s="0" t="n">
        <f aca="false">AY38</f>
        <v>0</v>
      </c>
      <c r="C39" s="0" t="n">
        <f aca="false">AZ38</f>
        <v>0</v>
      </c>
      <c r="D39" s="0" t="n">
        <f aca="false">BA38</f>
        <v>0</v>
      </c>
      <c r="E39" s="0" t="n">
        <f aca="false">BB38</f>
        <v>4925.05</v>
      </c>
      <c r="F39" s="0" t="n">
        <f aca="false">BC38</f>
        <v>0</v>
      </c>
      <c r="G39" s="0" t="n">
        <f aca="false">BD38</f>
        <v>0</v>
      </c>
      <c r="H39" s="0" t="n">
        <f aca="false">BE38</f>
        <v>0</v>
      </c>
      <c r="I39" s="0" t="n">
        <f aca="false">BF38</f>
        <v>0</v>
      </c>
      <c r="J39" s="0" t="n">
        <f aca="false">B39*N('Debt Payoff'!D9)/12</f>
        <v>0</v>
      </c>
      <c r="K39" s="0" t="n">
        <f aca="false">C39*N('Debt Payoff'!D10)/12</f>
        <v>0</v>
      </c>
      <c r="L39" s="0" t="n">
        <f aca="false">D39*N('Debt Payoff'!D11)/12</f>
        <v>0</v>
      </c>
      <c r="M39" s="0" t="n">
        <f aca="false">E39*N('Debt Payoff'!D12)/12</f>
        <v>22.5731458333333</v>
      </c>
      <c r="N39" s="0" t="n">
        <f aca="false">F39*N('Debt Payoff'!D13)/12</f>
        <v>0</v>
      </c>
      <c r="O39" s="0" t="n">
        <f aca="false">G39*N('Debt Payoff'!D14)/12</f>
        <v>0</v>
      </c>
      <c r="P39" s="0" t="n">
        <f aca="false">H39*N('Debt Payoff'!D15)/12</f>
        <v>0</v>
      </c>
      <c r="Q39" s="0" t="n">
        <f aca="false">I39*N('Debt Payoff'!D16)/12</f>
        <v>0</v>
      </c>
      <c r="R39" s="0" t="n">
        <f aca="false">B39+J39</f>
        <v>0</v>
      </c>
      <c r="S39" s="0" t="n">
        <f aca="false">C39+K39</f>
        <v>0</v>
      </c>
      <c r="T39" s="0" t="n">
        <f aca="false">D39+L39</f>
        <v>0</v>
      </c>
      <c r="U39" s="0" t="n">
        <f aca="false">E39+M39</f>
        <v>4947.62314583333</v>
      </c>
      <c r="V39" s="0" t="n">
        <f aca="false">F39+N39</f>
        <v>0</v>
      </c>
      <c r="W39" s="0" t="n">
        <f aca="false">G39+O39</f>
        <v>0</v>
      </c>
      <c r="X39" s="0" t="n">
        <f aca="false">H39+P39</f>
        <v>0</v>
      </c>
      <c r="Y39" s="0" t="n">
        <f aca="false">I39+Q39</f>
        <v>0</v>
      </c>
      <c r="Z39" s="0" t="n">
        <f aca="false">MIN(R39,N('Debt Payoff'!E9))</f>
        <v>0</v>
      </c>
      <c r="AA39" s="0" t="n">
        <f aca="false">MIN(S39,N('Debt Payoff'!E10))</f>
        <v>0</v>
      </c>
      <c r="AB39" s="0" t="n">
        <f aca="false">MIN(T39,N('Debt Payoff'!E11))</f>
        <v>0</v>
      </c>
      <c r="AC39" s="0" t="n">
        <f aca="false">MIN(U39,N('Debt Payoff'!E12))</f>
        <v>160</v>
      </c>
      <c r="AD39" s="0" t="n">
        <f aca="false">MIN(V39,N('Debt Payoff'!E13))</f>
        <v>0</v>
      </c>
      <c r="AE39" s="0" t="n">
        <f aca="false">MIN(W39,N('Debt Payoff'!E14))</f>
        <v>0</v>
      </c>
      <c r="AF39" s="0" t="n">
        <f aca="false">MIN(X39,N('Debt Payoff'!E15))</f>
        <v>0</v>
      </c>
      <c r="AG39" s="0" t="n">
        <f aca="false">MIN(Y39,N('Debt Payoff'!E16))</f>
        <v>0</v>
      </c>
      <c r="AH39" s="0" t="n">
        <f aca="false">R39-Z39</f>
        <v>0</v>
      </c>
      <c r="AI39" s="0" t="n">
        <f aca="false">S39-AA39</f>
        <v>0</v>
      </c>
      <c r="AJ39" s="0" t="n">
        <f aca="false">T39-AB39</f>
        <v>0</v>
      </c>
      <c r="AK39" s="0" t="n">
        <f aca="false">U39-AC39</f>
        <v>4787.62314583333</v>
      </c>
      <c r="AL39" s="0" t="n">
        <f aca="false">V39-AD39</f>
        <v>0</v>
      </c>
      <c r="AM39" s="0" t="n">
        <f aca="false">W39-AE39</f>
        <v>0</v>
      </c>
      <c r="AN39" s="0" t="n">
        <f aca="false">X39-AF39</f>
        <v>0</v>
      </c>
      <c r="AO39" s="0" t="n">
        <f aca="false">Y39-AG39</f>
        <v>0</v>
      </c>
      <c r="AP39" s="0" t="n">
        <f aca="false">MAX(0,'Debt Payoff'!$D$17-SUM(Z39:AG39))</f>
        <v>645</v>
      </c>
      <c r="AQ39" s="0" t="n">
        <f aca="false">MIN(AH39,MAX(0,$AP39-SUMPRODUCT(($AH$1:$AO$1&lt;AH$1)*$AH39:$AO39)))</f>
        <v>0</v>
      </c>
      <c r="AR39" s="0" t="n">
        <f aca="false">MIN(AI39,MAX(0,$AP39-SUMPRODUCT(($AH$1:$AO$1&lt;AI$1)*$AH39:$AO39)))</f>
        <v>0</v>
      </c>
      <c r="AS39" s="0" t="n">
        <f aca="false">MIN(AJ39,MAX(0,$AP39-SUMPRODUCT(($AH$1:$AO$1&lt;AJ$1)*$AH39:$AO39)))</f>
        <v>0</v>
      </c>
      <c r="AT39" s="0" t="n">
        <f aca="false">MIN(AK39,MAX(0,$AP39-SUMPRODUCT(($AH$1:$AO$1&lt;AK$1)*$AH39:$AO39)))</f>
        <v>645</v>
      </c>
      <c r="AU39" s="0" t="n">
        <f aca="false">MIN(AL39,MAX(0,$AP39-SUMPRODUCT(($AH$1:$AO$1&lt;AL$1)*$AH39:$AO39)))</f>
        <v>0</v>
      </c>
      <c r="AV39" s="0" t="n">
        <f aca="false">MIN(AM39,MAX(0,$AP39-SUMPRODUCT(($AH$1:$AO$1&lt;AM$1)*$AH39:$AO39)))</f>
        <v>0</v>
      </c>
      <c r="AW39" s="0" t="n">
        <f aca="false">MIN(AN39,MAX(0,$AP39-SUMPRODUCT(($AH$1:$AO$1&lt;AN$1)*$AH39:$AO39)))</f>
        <v>0</v>
      </c>
      <c r="AX39" s="0" t="n">
        <f aca="false">MIN(AO39,MAX(0,$AP39-SUMPRODUCT(($AH$1:$AO$1&lt;AO$1)*$AH39:$AO39)))</f>
        <v>0</v>
      </c>
      <c r="AY39" s="0" t="n">
        <f aca="false">ROUND(AH39-AQ39,2)</f>
        <v>0</v>
      </c>
      <c r="AZ39" s="0" t="n">
        <f aca="false">ROUND(AI39-AR39,2)</f>
        <v>0</v>
      </c>
      <c r="BA39" s="0" t="n">
        <f aca="false">ROUND(AJ39-AS39,2)</f>
        <v>0</v>
      </c>
      <c r="BB39" s="0" t="n">
        <f aca="false">ROUND(AK39-AT39,2)</f>
        <v>4142.62</v>
      </c>
      <c r="BC39" s="0" t="n">
        <f aca="false">ROUND(AL39-AU39,2)</f>
        <v>0</v>
      </c>
      <c r="BD39" s="0" t="n">
        <f aca="false">ROUND(AM39-AV39,2)</f>
        <v>0</v>
      </c>
      <c r="BE39" s="0" t="n">
        <f aca="false">ROUND(AN39-AW39,2)</f>
        <v>0</v>
      </c>
      <c r="BF39" s="0" t="n">
        <f aca="false">ROUND(AO39-AX39,2)</f>
        <v>0</v>
      </c>
      <c r="BG39" s="0" t="n">
        <f aca="false">SUM(AY39:BF39)</f>
        <v>4142.62</v>
      </c>
    </row>
    <row r="40" customFormat="false" ht="15" hidden="false" customHeight="false" outlineLevel="0" collapsed="false">
      <c r="A40" s="0" t="n">
        <v>38</v>
      </c>
      <c r="B40" s="0" t="n">
        <f aca="false">AY39</f>
        <v>0</v>
      </c>
      <c r="C40" s="0" t="n">
        <f aca="false">AZ39</f>
        <v>0</v>
      </c>
      <c r="D40" s="0" t="n">
        <f aca="false">BA39</f>
        <v>0</v>
      </c>
      <c r="E40" s="0" t="n">
        <f aca="false">BB39</f>
        <v>4142.62</v>
      </c>
      <c r="F40" s="0" t="n">
        <f aca="false">BC39</f>
        <v>0</v>
      </c>
      <c r="G40" s="0" t="n">
        <f aca="false">BD39</f>
        <v>0</v>
      </c>
      <c r="H40" s="0" t="n">
        <f aca="false">BE39</f>
        <v>0</v>
      </c>
      <c r="I40" s="0" t="n">
        <f aca="false">BF39</f>
        <v>0</v>
      </c>
      <c r="J40" s="0" t="n">
        <f aca="false">B40*N('Debt Payoff'!D9)/12</f>
        <v>0</v>
      </c>
      <c r="K40" s="0" t="n">
        <f aca="false">C40*N('Debt Payoff'!D10)/12</f>
        <v>0</v>
      </c>
      <c r="L40" s="0" t="n">
        <f aca="false">D40*N('Debt Payoff'!D11)/12</f>
        <v>0</v>
      </c>
      <c r="M40" s="0" t="n">
        <f aca="false">E40*N('Debt Payoff'!D12)/12</f>
        <v>18.9870083333333</v>
      </c>
      <c r="N40" s="0" t="n">
        <f aca="false">F40*N('Debt Payoff'!D13)/12</f>
        <v>0</v>
      </c>
      <c r="O40" s="0" t="n">
        <f aca="false">G40*N('Debt Payoff'!D14)/12</f>
        <v>0</v>
      </c>
      <c r="P40" s="0" t="n">
        <f aca="false">H40*N('Debt Payoff'!D15)/12</f>
        <v>0</v>
      </c>
      <c r="Q40" s="0" t="n">
        <f aca="false">I40*N('Debt Payoff'!D16)/12</f>
        <v>0</v>
      </c>
      <c r="R40" s="0" t="n">
        <f aca="false">B40+J40</f>
        <v>0</v>
      </c>
      <c r="S40" s="0" t="n">
        <f aca="false">C40+K40</f>
        <v>0</v>
      </c>
      <c r="T40" s="0" t="n">
        <f aca="false">D40+L40</f>
        <v>0</v>
      </c>
      <c r="U40" s="0" t="n">
        <f aca="false">E40+M40</f>
        <v>4161.60700833333</v>
      </c>
      <c r="V40" s="0" t="n">
        <f aca="false">F40+N40</f>
        <v>0</v>
      </c>
      <c r="W40" s="0" t="n">
        <f aca="false">G40+O40</f>
        <v>0</v>
      </c>
      <c r="X40" s="0" t="n">
        <f aca="false">H40+P40</f>
        <v>0</v>
      </c>
      <c r="Y40" s="0" t="n">
        <f aca="false">I40+Q40</f>
        <v>0</v>
      </c>
      <c r="Z40" s="0" t="n">
        <f aca="false">MIN(R40,N('Debt Payoff'!E9))</f>
        <v>0</v>
      </c>
      <c r="AA40" s="0" t="n">
        <f aca="false">MIN(S40,N('Debt Payoff'!E10))</f>
        <v>0</v>
      </c>
      <c r="AB40" s="0" t="n">
        <f aca="false">MIN(T40,N('Debt Payoff'!E11))</f>
        <v>0</v>
      </c>
      <c r="AC40" s="0" t="n">
        <f aca="false">MIN(U40,N('Debt Payoff'!E12))</f>
        <v>160</v>
      </c>
      <c r="AD40" s="0" t="n">
        <f aca="false">MIN(V40,N('Debt Payoff'!E13))</f>
        <v>0</v>
      </c>
      <c r="AE40" s="0" t="n">
        <f aca="false">MIN(W40,N('Debt Payoff'!E14))</f>
        <v>0</v>
      </c>
      <c r="AF40" s="0" t="n">
        <f aca="false">MIN(X40,N('Debt Payoff'!E15))</f>
        <v>0</v>
      </c>
      <c r="AG40" s="0" t="n">
        <f aca="false">MIN(Y40,N('Debt Payoff'!E16))</f>
        <v>0</v>
      </c>
      <c r="AH40" s="0" t="n">
        <f aca="false">R40-Z40</f>
        <v>0</v>
      </c>
      <c r="AI40" s="0" t="n">
        <f aca="false">S40-AA40</f>
        <v>0</v>
      </c>
      <c r="AJ40" s="0" t="n">
        <f aca="false">T40-AB40</f>
        <v>0</v>
      </c>
      <c r="AK40" s="0" t="n">
        <f aca="false">U40-AC40</f>
        <v>4001.60700833333</v>
      </c>
      <c r="AL40" s="0" t="n">
        <f aca="false">V40-AD40</f>
        <v>0</v>
      </c>
      <c r="AM40" s="0" t="n">
        <f aca="false">W40-AE40</f>
        <v>0</v>
      </c>
      <c r="AN40" s="0" t="n">
        <f aca="false">X40-AF40</f>
        <v>0</v>
      </c>
      <c r="AO40" s="0" t="n">
        <f aca="false">Y40-AG40</f>
        <v>0</v>
      </c>
      <c r="AP40" s="0" t="n">
        <f aca="false">MAX(0,'Debt Payoff'!$D$17-SUM(Z40:AG40))</f>
        <v>645</v>
      </c>
      <c r="AQ40" s="0" t="n">
        <f aca="false">MIN(AH40,MAX(0,$AP40-SUMPRODUCT(($AH$1:$AO$1&lt;AH$1)*$AH40:$AO40)))</f>
        <v>0</v>
      </c>
      <c r="AR40" s="0" t="n">
        <f aca="false">MIN(AI40,MAX(0,$AP40-SUMPRODUCT(($AH$1:$AO$1&lt;AI$1)*$AH40:$AO40)))</f>
        <v>0</v>
      </c>
      <c r="AS40" s="0" t="n">
        <f aca="false">MIN(AJ40,MAX(0,$AP40-SUMPRODUCT(($AH$1:$AO$1&lt;AJ$1)*$AH40:$AO40)))</f>
        <v>0</v>
      </c>
      <c r="AT40" s="0" t="n">
        <f aca="false">MIN(AK40,MAX(0,$AP40-SUMPRODUCT(($AH$1:$AO$1&lt;AK$1)*$AH40:$AO40)))</f>
        <v>645</v>
      </c>
      <c r="AU40" s="0" t="n">
        <f aca="false">MIN(AL40,MAX(0,$AP40-SUMPRODUCT(($AH$1:$AO$1&lt;AL$1)*$AH40:$AO40)))</f>
        <v>0</v>
      </c>
      <c r="AV40" s="0" t="n">
        <f aca="false">MIN(AM40,MAX(0,$AP40-SUMPRODUCT(($AH$1:$AO$1&lt;AM$1)*$AH40:$AO40)))</f>
        <v>0</v>
      </c>
      <c r="AW40" s="0" t="n">
        <f aca="false">MIN(AN40,MAX(0,$AP40-SUMPRODUCT(($AH$1:$AO$1&lt;AN$1)*$AH40:$AO40)))</f>
        <v>0</v>
      </c>
      <c r="AX40" s="0" t="n">
        <f aca="false">MIN(AO40,MAX(0,$AP40-SUMPRODUCT(($AH$1:$AO$1&lt;AO$1)*$AH40:$AO40)))</f>
        <v>0</v>
      </c>
      <c r="AY40" s="0" t="n">
        <f aca="false">ROUND(AH40-AQ40,2)</f>
        <v>0</v>
      </c>
      <c r="AZ40" s="0" t="n">
        <f aca="false">ROUND(AI40-AR40,2)</f>
        <v>0</v>
      </c>
      <c r="BA40" s="0" t="n">
        <f aca="false">ROUND(AJ40-AS40,2)</f>
        <v>0</v>
      </c>
      <c r="BB40" s="0" t="n">
        <f aca="false">ROUND(AK40-AT40,2)</f>
        <v>3356.61</v>
      </c>
      <c r="BC40" s="0" t="n">
        <f aca="false">ROUND(AL40-AU40,2)</f>
        <v>0</v>
      </c>
      <c r="BD40" s="0" t="n">
        <f aca="false">ROUND(AM40-AV40,2)</f>
        <v>0</v>
      </c>
      <c r="BE40" s="0" t="n">
        <f aca="false">ROUND(AN40-AW40,2)</f>
        <v>0</v>
      </c>
      <c r="BF40" s="0" t="n">
        <f aca="false">ROUND(AO40-AX40,2)</f>
        <v>0</v>
      </c>
      <c r="BG40" s="0" t="n">
        <f aca="false">SUM(AY40:BF40)</f>
        <v>3356.61</v>
      </c>
    </row>
    <row r="41" customFormat="false" ht="15" hidden="false" customHeight="false" outlineLevel="0" collapsed="false">
      <c r="A41" s="0" t="n">
        <v>39</v>
      </c>
      <c r="B41" s="0" t="n">
        <f aca="false">AY40</f>
        <v>0</v>
      </c>
      <c r="C41" s="0" t="n">
        <f aca="false">AZ40</f>
        <v>0</v>
      </c>
      <c r="D41" s="0" t="n">
        <f aca="false">BA40</f>
        <v>0</v>
      </c>
      <c r="E41" s="0" t="n">
        <f aca="false">BB40</f>
        <v>3356.61</v>
      </c>
      <c r="F41" s="0" t="n">
        <f aca="false">BC40</f>
        <v>0</v>
      </c>
      <c r="G41" s="0" t="n">
        <f aca="false">BD40</f>
        <v>0</v>
      </c>
      <c r="H41" s="0" t="n">
        <f aca="false">BE40</f>
        <v>0</v>
      </c>
      <c r="I41" s="0" t="n">
        <f aca="false">BF40</f>
        <v>0</v>
      </c>
      <c r="J41" s="0" t="n">
        <f aca="false">B41*N('Debt Payoff'!D9)/12</f>
        <v>0</v>
      </c>
      <c r="K41" s="0" t="n">
        <f aca="false">C41*N('Debt Payoff'!D10)/12</f>
        <v>0</v>
      </c>
      <c r="L41" s="0" t="n">
        <f aca="false">D41*N('Debt Payoff'!D11)/12</f>
        <v>0</v>
      </c>
      <c r="M41" s="0" t="n">
        <f aca="false">E41*N('Debt Payoff'!D12)/12</f>
        <v>15.3844625</v>
      </c>
      <c r="N41" s="0" t="n">
        <f aca="false">F41*N('Debt Payoff'!D13)/12</f>
        <v>0</v>
      </c>
      <c r="O41" s="0" t="n">
        <f aca="false">G41*N('Debt Payoff'!D14)/12</f>
        <v>0</v>
      </c>
      <c r="P41" s="0" t="n">
        <f aca="false">H41*N('Debt Payoff'!D15)/12</f>
        <v>0</v>
      </c>
      <c r="Q41" s="0" t="n">
        <f aca="false">I41*N('Debt Payoff'!D16)/12</f>
        <v>0</v>
      </c>
      <c r="R41" s="0" t="n">
        <f aca="false">B41+J41</f>
        <v>0</v>
      </c>
      <c r="S41" s="0" t="n">
        <f aca="false">C41+K41</f>
        <v>0</v>
      </c>
      <c r="T41" s="0" t="n">
        <f aca="false">D41+L41</f>
        <v>0</v>
      </c>
      <c r="U41" s="0" t="n">
        <f aca="false">E41+M41</f>
        <v>3371.9944625</v>
      </c>
      <c r="V41" s="0" t="n">
        <f aca="false">F41+N41</f>
        <v>0</v>
      </c>
      <c r="W41" s="0" t="n">
        <f aca="false">G41+O41</f>
        <v>0</v>
      </c>
      <c r="X41" s="0" t="n">
        <f aca="false">H41+P41</f>
        <v>0</v>
      </c>
      <c r="Y41" s="0" t="n">
        <f aca="false">I41+Q41</f>
        <v>0</v>
      </c>
      <c r="Z41" s="0" t="n">
        <f aca="false">MIN(R41,N('Debt Payoff'!E9))</f>
        <v>0</v>
      </c>
      <c r="AA41" s="0" t="n">
        <f aca="false">MIN(S41,N('Debt Payoff'!E10))</f>
        <v>0</v>
      </c>
      <c r="AB41" s="0" t="n">
        <f aca="false">MIN(T41,N('Debt Payoff'!E11))</f>
        <v>0</v>
      </c>
      <c r="AC41" s="0" t="n">
        <f aca="false">MIN(U41,N('Debt Payoff'!E12))</f>
        <v>160</v>
      </c>
      <c r="AD41" s="0" t="n">
        <f aca="false">MIN(V41,N('Debt Payoff'!E13))</f>
        <v>0</v>
      </c>
      <c r="AE41" s="0" t="n">
        <f aca="false">MIN(W41,N('Debt Payoff'!E14))</f>
        <v>0</v>
      </c>
      <c r="AF41" s="0" t="n">
        <f aca="false">MIN(X41,N('Debt Payoff'!E15))</f>
        <v>0</v>
      </c>
      <c r="AG41" s="0" t="n">
        <f aca="false">MIN(Y41,N('Debt Payoff'!E16))</f>
        <v>0</v>
      </c>
      <c r="AH41" s="0" t="n">
        <f aca="false">R41-Z41</f>
        <v>0</v>
      </c>
      <c r="AI41" s="0" t="n">
        <f aca="false">S41-AA41</f>
        <v>0</v>
      </c>
      <c r="AJ41" s="0" t="n">
        <f aca="false">T41-AB41</f>
        <v>0</v>
      </c>
      <c r="AK41" s="0" t="n">
        <f aca="false">U41-AC41</f>
        <v>3211.9944625</v>
      </c>
      <c r="AL41" s="0" t="n">
        <f aca="false">V41-AD41</f>
        <v>0</v>
      </c>
      <c r="AM41" s="0" t="n">
        <f aca="false">W41-AE41</f>
        <v>0</v>
      </c>
      <c r="AN41" s="0" t="n">
        <f aca="false">X41-AF41</f>
        <v>0</v>
      </c>
      <c r="AO41" s="0" t="n">
        <f aca="false">Y41-AG41</f>
        <v>0</v>
      </c>
      <c r="AP41" s="0" t="n">
        <f aca="false">MAX(0,'Debt Payoff'!$D$17-SUM(Z41:AG41))</f>
        <v>645</v>
      </c>
      <c r="AQ41" s="0" t="n">
        <f aca="false">MIN(AH41,MAX(0,$AP41-SUMPRODUCT(($AH$1:$AO$1&lt;AH$1)*$AH41:$AO41)))</f>
        <v>0</v>
      </c>
      <c r="AR41" s="0" t="n">
        <f aca="false">MIN(AI41,MAX(0,$AP41-SUMPRODUCT(($AH$1:$AO$1&lt;AI$1)*$AH41:$AO41)))</f>
        <v>0</v>
      </c>
      <c r="AS41" s="0" t="n">
        <f aca="false">MIN(AJ41,MAX(0,$AP41-SUMPRODUCT(($AH$1:$AO$1&lt;AJ$1)*$AH41:$AO41)))</f>
        <v>0</v>
      </c>
      <c r="AT41" s="0" t="n">
        <f aca="false">MIN(AK41,MAX(0,$AP41-SUMPRODUCT(($AH$1:$AO$1&lt;AK$1)*$AH41:$AO41)))</f>
        <v>645</v>
      </c>
      <c r="AU41" s="0" t="n">
        <f aca="false">MIN(AL41,MAX(0,$AP41-SUMPRODUCT(($AH$1:$AO$1&lt;AL$1)*$AH41:$AO41)))</f>
        <v>0</v>
      </c>
      <c r="AV41" s="0" t="n">
        <f aca="false">MIN(AM41,MAX(0,$AP41-SUMPRODUCT(($AH$1:$AO$1&lt;AM$1)*$AH41:$AO41)))</f>
        <v>0</v>
      </c>
      <c r="AW41" s="0" t="n">
        <f aca="false">MIN(AN41,MAX(0,$AP41-SUMPRODUCT(($AH$1:$AO$1&lt;AN$1)*$AH41:$AO41)))</f>
        <v>0</v>
      </c>
      <c r="AX41" s="0" t="n">
        <f aca="false">MIN(AO41,MAX(0,$AP41-SUMPRODUCT(($AH$1:$AO$1&lt;AO$1)*$AH41:$AO41)))</f>
        <v>0</v>
      </c>
      <c r="AY41" s="0" t="n">
        <f aca="false">ROUND(AH41-AQ41,2)</f>
        <v>0</v>
      </c>
      <c r="AZ41" s="0" t="n">
        <f aca="false">ROUND(AI41-AR41,2)</f>
        <v>0</v>
      </c>
      <c r="BA41" s="0" t="n">
        <f aca="false">ROUND(AJ41-AS41,2)</f>
        <v>0</v>
      </c>
      <c r="BB41" s="0" t="n">
        <f aca="false">ROUND(AK41-AT41,2)</f>
        <v>2566.99</v>
      </c>
      <c r="BC41" s="0" t="n">
        <f aca="false">ROUND(AL41-AU41,2)</f>
        <v>0</v>
      </c>
      <c r="BD41" s="0" t="n">
        <f aca="false">ROUND(AM41-AV41,2)</f>
        <v>0</v>
      </c>
      <c r="BE41" s="0" t="n">
        <f aca="false">ROUND(AN41-AW41,2)</f>
        <v>0</v>
      </c>
      <c r="BF41" s="0" t="n">
        <f aca="false">ROUND(AO41-AX41,2)</f>
        <v>0</v>
      </c>
      <c r="BG41" s="0" t="n">
        <f aca="false">SUM(AY41:BF41)</f>
        <v>2566.99</v>
      </c>
    </row>
    <row r="42" customFormat="false" ht="15" hidden="false" customHeight="false" outlineLevel="0" collapsed="false">
      <c r="A42" s="0" t="n">
        <v>40</v>
      </c>
      <c r="B42" s="0" t="n">
        <f aca="false">AY41</f>
        <v>0</v>
      </c>
      <c r="C42" s="0" t="n">
        <f aca="false">AZ41</f>
        <v>0</v>
      </c>
      <c r="D42" s="0" t="n">
        <f aca="false">BA41</f>
        <v>0</v>
      </c>
      <c r="E42" s="0" t="n">
        <f aca="false">BB41</f>
        <v>2566.99</v>
      </c>
      <c r="F42" s="0" t="n">
        <f aca="false">BC41</f>
        <v>0</v>
      </c>
      <c r="G42" s="0" t="n">
        <f aca="false">BD41</f>
        <v>0</v>
      </c>
      <c r="H42" s="0" t="n">
        <f aca="false">BE41</f>
        <v>0</v>
      </c>
      <c r="I42" s="0" t="n">
        <f aca="false">BF41</f>
        <v>0</v>
      </c>
      <c r="J42" s="0" t="n">
        <f aca="false">B42*N('Debt Payoff'!D9)/12</f>
        <v>0</v>
      </c>
      <c r="K42" s="0" t="n">
        <f aca="false">C42*N('Debt Payoff'!D10)/12</f>
        <v>0</v>
      </c>
      <c r="L42" s="0" t="n">
        <f aca="false">D42*N('Debt Payoff'!D11)/12</f>
        <v>0</v>
      </c>
      <c r="M42" s="0" t="n">
        <f aca="false">E42*N('Debt Payoff'!D12)/12</f>
        <v>11.7653708333333</v>
      </c>
      <c r="N42" s="0" t="n">
        <f aca="false">F42*N('Debt Payoff'!D13)/12</f>
        <v>0</v>
      </c>
      <c r="O42" s="0" t="n">
        <f aca="false">G42*N('Debt Payoff'!D14)/12</f>
        <v>0</v>
      </c>
      <c r="P42" s="0" t="n">
        <f aca="false">H42*N('Debt Payoff'!D15)/12</f>
        <v>0</v>
      </c>
      <c r="Q42" s="0" t="n">
        <f aca="false">I42*N('Debt Payoff'!D16)/12</f>
        <v>0</v>
      </c>
      <c r="R42" s="0" t="n">
        <f aca="false">B42+J42</f>
        <v>0</v>
      </c>
      <c r="S42" s="0" t="n">
        <f aca="false">C42+K42</f>
        <v>0</v>
      </c>
      <c r="T42" s="0" t="n">
        <f aca="false">D42+L42</f>
        <v>0</v>
      </c>
      <c r="U42" s="0" t="n">
        <f aca="false">E42+M42</f>
        <v>2578.75537083333</v>
      </c>
      <c r="V42" s="0" t="n">
        <f aca="false">F42+N42</f>
        <v>0</v>
      </c>
      <c r="W42" s="0" t="n">
        <f aca="false">G42+O42</f>
        <v>0</v>
      </c>
      <c r="X42" s="0" t="n">
        <f aca="false">H42+P42</f>
        <v>0</v>
      </c>
      <c r="Y42" s="0" t="n">
        <f aca="false">I42+Q42</f>
        <v>0</v>
      </c>
      <c r="Z42" s="0" t="n">
        <f aca="false">MIN(R42,N('Debt Payoff'!E9))</f>
        <v>0</v>
      </c>
      <c r="AA42" s="0" t="n">
        <f aca="false">MIN(S42,N('Debt Payoff'!E10))</f>
        <v>0</v>
      </c>
      <c r="AB42" s="0" t="n">
        <f aca="false">MIN(T42,N('Debt Payoff'!E11))</f>
        <v>0</v>
      </c>
      <c r="AC42" s="0" t="n">
        <f aca="false">MIN(U42,N('Debt Payoff'!E12))</f>
        <v>160</v>
      </c>
      <c r="AD42" s="0" t="n">
        <f aca="false">MIN(V42,N('Debt Payoff'!E13))</f>
        <v>0</v>
      </c>
      <c r="AE42" s="0" t="n">
        <f aca="false">MIN(W42,N('Debt Payoff'!E14))</f>
        <v>0</v>
      </c>
      <c r="AF42" s="0" t="n">
        <f aca="false">MIN(X42,N('Debt Payoff'!E15))</f>
        <v>0</v>
      </c>
      <c r="AG42" s="0" t="n">
        <f aca="false">MIN(Y42,N('Debt Payoff'!E16))</f>
        <v>0</v>
      </c>
      <c r="AH42" s="0" t="n">
        <f aca="false">R42-Z42</f>
        <v>0</v>
      </c>
      <c r="AI42" s="0" t="n">
        <f aca="false">S42-AA42</f>
        <v>0</v>
      </c>
      <c r="AJ42" s="0" t="n">
        <f aca="false">T42-AB42</f>
        <v>0</v>
      </c>
      <c r="AK42" s="0" t="n">
        <f aca="false">U42-AC42</f>
        <v>2418.75537083333</v>
      </c>
      <c r="AL42" s="0" t="n">
        <f aca="false">V42-AD42</f>
        <v>0</v>
      </c>
      <c r="AM42" s="0" t="n">
        <f aca="false">W42-AE42</f>
        <v>0</v>
      </c>
      <c r="AN42" s="0" t="n">
        <f aca="false">X42-AF42</f>
        <v>0</v>
      </c>
      <c r="AO42" s="0" t="n">
        <f aca="false">Y42-AG42</f>
        <v>0</v>
      </c>
      <c r="AP42" s="0" t="n">
        <f aca="false">MAX(0,'Debt Payoff'!$D$17-SUM(Z42:AG42))</f>
        <v>645</v>
      </c>
      <c r="AQ42" s="0" t="n">
        <f aca="false">MIN(AH42,MAX(0,$AP42-SUMPRODUCT(($AH$1:$AO$1&lt;AH$1)*$AH42:$AO42)))</f>
        <v>0</v>
      </c>
      <c r="AR42" s="0" t="n">
        <f aca="false">MIN(AI42,MAX(0,$AP42-SUMPRODUCT(($AH$1:$AO$1&lt;AI$1)*$AH42:$AO42)))</f>
        <v>0</v>
      </c>
      <c r="AS42" s="0" t="n">
        <f aca="false">MIN(AJ42,MAX(0,$AP42-SUMPRODUCT(($AH$1:$AO$1&lt;AJ$1)*$AH42:$AO42)))</f>
        <v>0</v>
      </c>
      <c r="AT42" s="0" t="n">
        <f aca="false">MIN(AK42,MAX(0,$AP42-SUMPRODUCT(($AH$1:$AO$1&lt;AK$1)*$AH42:$AO42)))</f>
        <v>645</v>
      </c>
      <c r="AU42" s="0" t="n">
        <f aca="false">MIN(AL42,MAX(0,$AP42-SUMPRODUCT(($AH$1:$AO$1&lt;AL$1)*$AH42:$AO42)))</f>
        <v>0</v>
      </c>
      <c r="AV42" s="0" t="n">
        <f aca="false">MIN(AM42,MAX(0,$AP42-SUMPRODUCT(($AH$1:$AO$1&lt;AM$1)*$AH42:$AO42)))</f>
        <v>0</v>
      </c>
      <c r="AW42" s="0" t="n">
        <f aca="false">MIN(AN42,MAX(0,$AP42-SUMPRODUCT(($AH$1:$AO$1&lt;AN$1)*$AH42:$AO42)))</f>
        <v>0</v>
      </c>
      <c r="AX42" s="0" t="n">
        <f aca="false">MIN(AO42,MAX(0,$AP42-SUMPRODUCT(($AH$1:$AO$1&lt;AO$1)*$AH42:$AO42)))</f>
        <v>0</v>
      </c>
      <c r="AY42" s="0" t="n">
        <f aca="false">ROUND(AH42-AQ42,2)</f>
        <v>0</v>
      </c>
      <c r="AZ42" s="0" t="n">
        <f aca="false">ROUND(AI42-AR42,2)</f>
        <v>0</v>
      </c>
      <c r="BA42" s="0" t="n">
        <f aca="false">ROUND(AJ42-AS42,2)</f>
        <v>0</v>
      </c>
      <c r="BB42" s="0" t="n">
        <f aca="false">ROUND(AK42-AT42,2)</f>
        <v>1773.76</v>
      </c>
      <c r="BC42" s="0" t="n">
        <f aca="false">ROUND(AL42-AU42,2)</f>
        <v>0</v>
      </c>
      <c r="BD42" s="0" t="n">
        <f aca="false">ROUND(AM42-AV42,2)</f>
        <v>0</v>
      </c>
      <c r="BE42" s="0" t="n">
        <f aca="false">ROUND(AN42-AW42,2)</f>
        <v>0</v>
      </c>
      <c r="BF42" s="0" t="n">
        <f aca="false">ROUND(AO42-AX42,2)</f>
        <v>0</v>
      </c>
      <c r="BG42" s="0" t="n">
        <f aca="false">SUM(AY42:BF42)</f>
        <v>1773.76</v>
      </c>
    </row>
    <row r="43" customFormat="false" ht="15" hidden="false" customHeight="false" outlineLevel="0" collapsed="false">
      <c r="A43" s="0" t="n">
        <v>41</v>
      </c>
      <c r="B43" s="0" t="n">
        <f aca="false">AY42</f>
        <v>0</v>
      </c>
      <c r="C43" s="0" t="n">
        <f aca="false">AZ42</f>
        <v>0</v>
      </c>
      <c r="D43" s="0" t="n">
        <f aca="false">BA42</f>
        <v>0</v>
      </c>
      <c r="E43" s="0" t="n">
        <f aca="false">BB42</f>
        <v>1773.76</v>
      </c>
      <c r="F43" s="0" t="n">
        <f aca="false">BC42</f>
        <v>0</v>
      </c>
      <c r="G43" s="0" t="n">
        <f aca="false">BD42</f>
        <v>0</v>
      </c>
      <c r="H43" s="0" t="n">
        <f aca="false">BE42</f>
        <v>0</v>
      </c>
      <c r="I43" s="0" t="n">
        <f aca="false">BF42</f>
        <v>0</v>
      </c>
      <c r="J43" s="0" t="n">
        <f aca="false">B43*N('Debt Payoff'!D9)/12</f>
        <v>0</v>
      </c>
      <c r="K43" s="0" t="n">
        <f aca="false">C43*N('Debt Payoff'!D10)/12</f>
        <v>0</v>
      </c>
      <c r="L43" s="0" t="n">
        <f aca="false">D43*N('Debt Payoff'!D11)/12</f>
        <v>0</v>
      </c>
      <c r="M43" s="0" t="n">
        <f aca="false">E43*N('Debt Payoff'!D12)/12</f>
        <v>8.12973333333333</v>
      </c>
      <c r="N43" s="0" t="n">
        <f aca="false">F43*N('Debt Payoff'!D13)/12</f>
        <v>0</v>
      </c>
      <c r="O43" s="0" t="n">
        <f aca="false">G43*N('Debt Payoff'!D14)/12</f>
        <v>0</v>
      </c>
      <c r="P43" s="0" t="n">
        <f aca="false">H43*N('Debt Payoff'!D15)/12</f>
        <v>0</v>
      </c>
      <c r="Q43" s="0" t="n">
        <f aca="false">I43*N('Debt Payoff'!D16)/12</f>
        <v>0</v>
      </c>
      <c r="R43" s="0" t="n">
        <f aca="false">B43+J43</f>
        <v>0</v>
      </c>
      <c r="S43" s="0" t="n">
        <f aca="false">C43+K43</f>
        <v>0</v>
      </c>
      <c r="T43" s="0" t="n">
        <f aca="false">D43+L43</f>
        <v>0</v>
      </c>
      <c r="U43" s="0" t="n">
        <f aca="false">E43+M43</f>
        <v>1781.88973333333</v>
      </c>
      <c r="V43" s="0" t="n">
        <f aca="false">F43+N43</f>
        <v>0</v>
      </c>
      <c r="W43" s="0" t="n">
        <f aca="false">G43+O43</f>
        <v>0</v>
      </c>
      <c r="X43" s="0" t="n">
        <f aca="false">H43+P43</f>
        <v>0</v>
      </c>
      <c r="Y43" s="0" t="n">
        <f aca="false">I43+Q43</f>
        <v>0</v>
      </c>
      <c r="Z43" s="0" t="n">
        <f aca="false">MIN(R43,N('Debt Payoff'!E9))</f>
        <v>0</v>
      </c>
      <c r="AA43" s="0" t="n">
        <f aca="false">MIN(S43,N('Debt Payoff'!E10))</f>
        <v>0</v>
      </c>
      <c r="AB43" s="0" t="n">
        <f aca="false">MIN(T43,N('Debt Payoff'!E11))</f>
        <v>0</v>
      </c>
      <c r="AC43" s="0" t="n">
        <f aca="false">MIN(U43,N('Debt Payoff'!E12))</f>
        <v>160</v>
      </c>
      <c r="AD43" s="0" t="n">
        <f aca="false">MIN(V43,N('Debt Payoff'!E13))</f>
        <v>0</v>
      </c>
      <c r="AE43" s="0" t="n">
        <f aca="false">MIN(W43,N('Debt Payoff'!E14))</f>
        <v>0</v>
      </c>
      <c r="AF43" s="0" t="n">
        <f aca="false">MIN(X43,N('Debt Payoff'!E15))</f>
        <v>0</v>
      </c>
      <c r="AG43" s="0" t="n">
        <f aca="false">MIN(Y43,N('Debt Payoff'!E16))</f>
        <v>0</v>
      </c>
      <c r="AH43" s="0" t="n">
        <f aca="false">R43-Z43</f>
        <v>0</v>
      </c>
      <c r="AI43" s="0" t="n">
        <f aca="false">S43-AA43</f>
        <v>0</v>
      </c>
      <c r="AJ43" s="0" t="n">
        <f aca="false">T43-AB43</f>
        <v>0</v>
      </c>
      <c r="AK43" s="0" t="n">
        <f aca="false">U43-AC43</f>
        <v>1621.88973333333</v>
      </c>
      <c r="AL43" s="0" t="n">
        <f aca="false">V43-AD43</f>
        <v>0</v>
      </c>
      <c r="AM43" s="0" t="n">
        <f aca="false">W43-AE43</f>
        <v>0</v>
      </c>
      <c r="AN43" s="0" t="n">
        <f aca="false">X43-AF43</f>
        <v>0</v>
      </c>
      <c r="AO43" s="0" t="n">
        <f aca="false">Y43-AG43</f>
        <v>0</v>
      </c>
      <c r="AP43" s="0" t="n">
        <f aca="false">MAX(0,'Debt Payoff'!$D$17-SUM(Z43:AG43))</f>
        <v>645</v>
      </c>
      <c r="AQ43" s="0" t="n">
        <f aca="false">MIN(AH43,MAX(0,$AP43-SUMPRODUCT(($AH$1:$AO$1&lt;AH$1)*$AH43:$AO43)))</f>
        <v>0</v>
      </c>
      <c r="AR43" s="0" t="n">
        <f aca="false">MIN(AI43,MAX(0,$AP43-SUMPRODUCT(($AH$1:$AO$1&lt;AI$1)*$AH43:$AO43)))</f>
        <v>0</v>
      </c>
      <c r="AS43" s="0" t="n">
        <f aca="false">MIN(AJ43,MAX(0,$AP43-SUMPRODUCT(($AH$1:$AO$1&lt;AJ$1)*$AH43:$AO43)))</f>
        <v>0</v>
      </c>
      <c r="AT43" s="0" t="n">
        <f aca="false">MIN(AK43,MAX(0,$AP43-SUMPRODUCT(($AH$1:$AO$1&lt;AK$1)*$AH43:$AO43)))</f>
        <v>645</v>
      </c>
      <c r="AU43" s="0" t="n">
        <f aca="false">MIN(AL43,MAX(0,$AP43-SUMPRODUCT(($AH$1:$AO$1&lt;AL$1)*$AH43:$AO43)))</f>
        <v>0</v>
      </c>
      <c r="AV43" s="0" t="n">
        <f aca="false">MIN(AM43,MAX(0,$AP43-SUMPRODUCT(($AH$1:$AO$1&lt;AM$1)*$AH43:$AO43)))</f>
        <v>0</v>
      </c>
      <c r="AW43" s="0" t="n">
        <f aca="false">MIN(AN43,MAX(0,$AP43-SUMPRODUCT(($AH$1:$AO$1&lt;AN$1)*$AH43:$AO43)))</f>
        <v>0</v>
      </c>
      <c r="AX43" s="0" t="n">
        <f aca="false">MIN(AO43,MAX(0,$AP43-SUMPRODUCT(($AH$1:$AO$1&lt;AO$1)*$AH43:$AO43)))</f>
        <v>0</v>
      </c>
      <c r="AY43" s="0" t="n">
        <f aca="false">ROUND(AH43-AQ43,2)</f>
        <v>0</v>
      </c>
      <c r="AZ43" s="0" t="n">
        <f aca="false">ROUND(AI43-AR43,2)</f>
        <v>0</v>
      </c>
      <c r="BA43" s="0" t="n">
        <f aca="false">ROUND(AJ43-AS43,2)</f>
        <v>0</v>
      </c>
      <c r="BB43" s="0" t="n">
        <f aca="false">ROUND(AK43-AT43,2)</f>
        <v>976.89</v>
      </c>
      <c r="BC43" s="0" t="n">
        <f aca="false">ROUND(AL43-AU43,2)</f>
        <v>0</v>
      </c>
      <c r="BD43" s="0" t="n">
        <f aca="false">ROUND(AM43-AV43,2)</f>
        <v>0</v>
      </c>
      <c r="BE43" s="0" t="n">
        <f aca="false">ROUND(AN43-AW43,2)</f>
        <v>0</v>
      </c>
      <c r="BF43" s="0" t="n">
        <f aca="false">ROUND(AO43-AX43,2)</f>
        <v>0</v>
      </c>
      <c r="BG43" s="0" t="n">
        <f aca="false">SUM(AY43:BF43)</f>
        <v>976.89</v>
      </c>
    </row>
    <row r="44" customFormat="false" ht="15" hidden="false" customHeight="false" outlineLevel="0" collapsed="false">
      <c r="A44" s="0" t="n">
        <v>42</v>
      </c>
      <c r="B44" s="0" t="n">
        <f aca="false">AY43</f>
        <v>0</v>
      </c>
      <c r="C44" s="0" t="n">
        <f aca="false">AZ43</f>
        <v>0</v>
      </c>
      <c r="D44" s="0" t="n">
        <f aca="false">BA43</f>
        <v>0</v>
      </c>
      <c r="E44" s="0" t="n">
        <f aca="false">BB43</f>
        <v>976.89</v>
      </c>
      <c r="F44" s="0" t="n">
        <f aca="false">BC43</f>
        <v>0</v>
      </c>
      <c r="G44" s="0" t="n">
        <f aca="false">BD43</f>
        <v>0</v>
      </c>
      <c r="H44" s="0" t="n">
        <f aca="false">BE43</f>
        <v>0</v>
      </c>
      <c r="I44" s="0" t="n">
        <f aca="false">BF43</f>
        <v>0</v>
      </c>
      <c r="J44" s="0" t="n">
        <f aca="false">B44*N('Debt Payoff'!D9)/12</f>
        <v>0</v>
      </c>
      <c r="K44" s="0" t="n">
        <f aca="false">C44*N('Debt Payoff'!D10)/12</f>
        <v>0</v>
      </c>
      <c r="L44" s="0" t="n">
        <f aca="false">D44*N('Debt Payoff'!D11)/12</f>
        <v>0</v>
      </c>
      <c r="M44" s="0" t="n">
        <f aca="false">E44*N('Debt Payoff'!D12)/12</f>
        <v>4.4774125</v>
      </c>
      <c r="N44" s="0" t="n">
        <f aca="false">F44*N('Debt Payoff'!D13)/12</f>
        <v>0</v>
      </c>
      <c r="O44" s="0" t="n">
        <f aca="false">G44*N('Debt Payoff'!D14)/12</f>
        <v>0</v>
      </c>
      <c r="P44" s="0" t="n">
        <f aca="false">H44*N('Debt Payoff'!D15)/12</f>
        <v>0</v>
      </c>
      <c r="Q44" s="0" t="n">
        <f aca="false">I44*N('Debt Payoff'!D16)/12</f>
        <v>0</v>
      </c>
      <c r="R44" s="0" t="n">
        <f aca="false">B44+J44</f>
        <v>0</v>
      </c>
      <c r="S44" s="0" t="n">
        <f aca="false">C44+K44</f>
        <v>0</v>
      </c>
      <c r="T44" s="0" t="n">
        <f aca="false">D44+L44</f>
        <v>0</v>
      </c>
      <c r="U44" s="0" t="n">
        <f aca="false">E44+M44</f>
        <v>981.3674125</v>
      </c>
      <c r="V44" s="0" t="n">
        <f aca="false">F44+N44</f>
        <v>0</v>
      </c>
      <c r="W44" s="0" t="n">
        <f aca="false">G44+O44</f>
        <v>0</v>
      </c>
      <c r="X44" s="0" t="n">
        <f aca="false">H44+P44</f>
        <v>0</v>
      </c>
      <c r="Y44" s="0" t="n">
        <f aca="false">I44+Q44</f>
        <v>0</v>
      </c>
      <c r="Z44" s="0" t="n">
        <f aca="false">MIN(R44,N('Debt Payoff'!E9))</f>
        <v>0</v>
      </c>
      <c r="AA44" s="0" t="n">
        <f aca="false">MIN(S44,N('Debt Payoff'!E10))</f>
        <v>0</v>
      </c>
      <c r="AB44" s="0" t="n">
        <f aca="false">MIN(T44,N('Debt Payoff'!E11))</f>
        <v>0</v>
      </c>
      <c r="AC44" s="0" t="n">
        <f aca="false">MIN(U44,N('Debt Payoff'!E12))</f>
        <v>160</v>
      </c>
      <c r="AD44" s="0" t="n">
        <f aca="false">MIN(V44,N('Debt Payoff'!E13))</f>
        <v>0</v>
      </c>
      <c r="AE44" s="0" t="n">
        <f aca="false">MIN(W44,N('Debt Payoff'!E14))</f>
        <v>0</v>
      </c>
      <c r="AF44" s="0" t="n">
        <f aca="false">MIN(X44,N('Debt Payoff'!E15))</f>
        <v>0</v>
      </c>
      <c r="AG44" s="0" t="n">
        <f aca="false">MIN(Y44,N('Debt Payoff'!E16))</f>
        <v>0</v>
      </c>
      <c r="AH44" s="0" t="n">
        <f aca="false">R44-Z44</f>
        <v>0</v>
      </c>
      <c r="AI44" s="0" t="n">
        <f aca="false">S44-AA44</f>
        <v>0</v>
      </c>
      <c r="AJ44" s="0" t="n">
        <f aca="false">T44-AB44</f>
        <v>0</v>
      </c>
      <c r="AK44" s="0" t="n">
        <f aca="false">U44-AC44</f>
        <v>821.3674125</v>
      </c>
      <c r="AL44" s="0" t="n">
        <f aca="false">V44-AD44</f>
        <v>0</v>
      </c>
      <c r="AM44" s="0" t="n">
        <f aca="false">W44-AE44</f>
        <v>0</v>
      </c>
      <c r="AN44" s="0" t="n">
        <f aca="false">X44-AF44</f>
        <v>0</v>
      </c>
      <c r="AO44" s="0" t="n">
        <f aca="false">Y44-AG44</f>
        <v>0</v>
      </c>
      <c r="AP44" s="0" t="n">
        <f aca="false">MAX(0,'Debt Payoff'!$D$17-SUM(Z44:AG44))</f>
        <v>645</v>
      </c>
      <c r="AQ44" s="0" t="n">
        <f aca="false">MIN(AH44,MAX(0,$AP44-SUMPRODUCT(($AH$1:$AO$1&lt;AH$1)*$AH44:$AO44)))</f>
        <v>0</v>
      </c>
      <c r="AR44" s="0" t="n">
        <f aca="false">MIN(AI44,MAX(0,$AP44-SUMPRODUCT(($AH$1:$AO$1&lt;AI$1)*$AH44:$AO44)))</f>
        <v>0</v>
      </c>
      <c r="AS44" s="0" t="n">
        <f aca="false">MIN(AJ44,MAX(0,$AP44-SUMPRODUCT(($AH$1:$AO$1&lt;AJ$1)*$AH44:$AO44)))</f>
        <v>0</v>
      </c>
      <c r="AT44" s="0" t="n">
        <f aca="false">MIN(AK44,MAX(0,$AP44-SUMPRODUCT(($AH$1:$AO$1&lt;AK$1)*$AH44:$AO44)))</f>
        <v>645</v>
      </c>
      <c r="AU44" s="0" t="n">
        <f aca="false">MIN(AL44,MAX(0,$AP44-SUMPRODUCT(($AH$1:$AO$1&lt;AL$1)*$AH44:$AO44)))</f>
        <v>0</v>
      </c>
      <c r="AV44" s="0" t="n">
        <f aca="false">MIN(AM44,MAX(0,$AP44-SUMPRODUCT(($AH$1:$AO$1&lt;AM$1)*$AH44:$AO44)))</f>
        <v>0</v>
      </c>
      <c r="AW44" s="0" t="n">
        <f aca="false">MIN(AN44,MAX(0,$AP44-SUMPRODUCT(($AH$1:$AO$1&lt;AN$1)*$AH44:$AO44)))</f>
        <v>0</v>
      </c>
      <c r="AX44" s="0" t="n">
        <f aca="false">MIN(AO44,MAX(0,$AP44-SUMPRODUCT(($AH$1:$AO$1&lt;AO$1)*$AH44:$AO44)))</f>
        <v>0</v>
      </c>
      <c r="AY44" s="0" t="n">
        <f aca="false">ROUND(AH44-AQ44,2)</f>
        <v>0</v>
      </c>
      <c r="AZ44" s="0" t="n">
        <f aca="false">ROUND(AI44-AR44,2)</f>
        <v>0</v>
      </c>
      <c r="BA44" s="0" t="n">
        <f aca="false">ROUND(AJ44-AS44,2)</f>
        <v>0</v>
      </c>
      <c r="BB44" s="0" t="n">
        <f aca="false">ROUND(AK44-AT44,2)</f>
        <v>176.37</v>
      </c>
      <c r="BC44" s="0" t="n">
        <f aca="false">ROUND(AL44-AU44,2)</f>
        <v>0</v>
      </c>
      <c r="BD44" s="0" t="n">
        <f aca="false">ROUND(AM44-AV44,2)</f>
        <v>0</v>
      </c>
      <c r="BE44" s="0" t="n">
        <f aca="false">ROUND(AN44-AW44,2)</f>
        <v>0</v>
      </c>
      <c r="BF44" s="0" t="n">
        <f aca="false">ROUND(AO44-AX44,2)</f>
        <v>0</v>
      </c>
      <c r="BG44" s="0" t="n">
        <f aca="false">SUM(AY44:BF44)</f>
        <v>176.37</v>
      </c>
    </row>
    <row r="45" customFormat="false" ht="15" hidden="false" customHeight="false" outlineLevel="0" collapsed="false">
      <c r="A45" s="0" t="n">
        <v>43</v>
      </c>
      <c r="B45" s="0" t="n">
        <f aca="false">AY44</f>
        <v>0</v>
      </c>
      <c r="C45" s="0" t="n">
        <f aca="false">AZ44</f>
        <v>0</v>
      </c>
      <c r="D45" s="0" t="n">
        <f aca="false">BA44</f>
        <v>0</v>
      </c>
      <c r="E45" s="0" t="n">
        <f aca="false">BB44</f>
        <v>176.37</v>
      </c>
      <c r="F45" s="0" t="n">
        <f aca="false">BC44</f>
        <v>0</v>
      </c>
      <c r="G45" s="0" t="n">
        <f aca="false">BD44</f>
        <v>0</v>
      </c>
      <c r="H45" s="0" t="n">
        <f aca="false">BE44</f>
        <v>0</v>
      </c>
      <c r="I45" s="0" t="n">
        <f aca="false">BF44</f>
        <v>0</v>
      </c>
      <c r="J45" s="0" t="n">
        <f aca="false">B45*N('Debt Payoff'!D9)/12</f>
        <v>0</v>
      </c>
      <c r="K45" s="0" t="n">
        <f aca="false">C45*N('Debt Payoff'!D10)/12</f>
        <v>0</v>
      </c>
      <c r="L45" s="0" t="n">
        <f aca="false">D45*N('Debt Payoff'!D11)/12</f>
        <v>0</v>
      </c>
      <c r="M45" s="0" t="n">
        <f aca="false">E45*N('Debt Payoff'!D12)/12</f>
        <v>0.8083625</v>
      </c>
      <c r="N45" s="0" t="n">
        <f aca="false">F45*N('Debt Payoff'!D13)/12</f>
        <v>0</v>
      </c>
      <c r="O45" s="0" t="n">
        <f aca="false">G45*N('Debt Payoff'!D14)/12</f>
        <v>0</v>
      </c>
      <c r="P45" s="0" t="n">
        <f aca="false">H45*N('Debt Payoff'!D15)/12</f>
        <v>0</v>
      </c>
      <c r="Q45" s="0" t="n">
        <f aca="false">I45*N('Debt Payoff'!D16)/12</f>
        <v>0</v>
      </c>
      <c r="R45" s="0" t="n">
        <f aca="false">B45+J45</f>
        <v>0</v>
      </c>
      <c r="S45" s="0" t="n">
        <f aca="false">C45+K45</f>
        <v>0</v>
      </c>
      <c r="T45" s="0" t="n">
        <f aca="false">D45+L45</f>
        <v>0</v>
      </c>
      <c r="U45" s="0" t="n">
        <f aca="false">E45+M45</f>
        <v>177.1783625</v>
      </c>
      <c r="V45" s="0" t="n">
        <f aca="false">F45+N45</f>
        <v>0</v>
      </c>
      <c r="W45" s="0" t="n">
        <f aca="false">G45+O45</f>
        <v>0</v>
      </c>
      <c r="X45" s="0" t="n">
        <f aca="false">H45+P45</f>
        <v>0</v>
      </c>
      <c r="Y45" s="0" t="n">
        <f aca="false">I45+Q45</f>
        <v>0</v>
      </c>
      <c r="Z45" s="0" t="n">
        <f aca="false">MIN(R45,N('Debt Payoff'!E9))</f>
        <v>0</v>
      </c>
      <c r="AA45" s="0" t="n">
        <f aca="false">MIN(S45,N('Debt Payoff'!E10))</f>
        <v>0</v>
      </c>
      <c r="AB45" s="0" t="n">
        <f aca="false">MIN(T45,N('Debt Payoff'!E11))</f>
        <v>0</v>
      </c>
      <c r="AC45" s="0" t="n">
        <f aca="false">MIN(U45,N('Debt Payoff'!E12))</f>
        <v>160</v>
      </c>
      <c r="AD45" s="0" t="n">
        <f aca="false">MIN(V45,N('Debt Payoff'!E13))</f>
        <v>0</v>
      </c>
      <c r="AE45" s="0" t="n">
        <f aca="false">MIN(W45,N('Debt Payoff'!E14))</f>
        <v>0</v>
      </c>
      <c r="AF45" s="0" t="n">
        <f aca="false">MIN(X45,N('Debt Payoff'!E15))</f>
        <v>0</v>
      </c>
      <c r="AG45" s="0" t="n">
        <f aca="false">MIN(Y45,N('Debt Payoff'!E16))</f>
        <v>0</v>
      </c>
      <c r="AH45" s="0" t="n">
        <f aca="false">R45-Z45</f>
        <v>0</v>
      </c>
      <c r="AI45" s="0" t="n">
        <f aca="false">S45-AA45</f>
        <v>0</v>
      </c>
      <c r="AJ45" s="0" t="n">
        <f aca="false">T45-AB45</f>
        <v>0</v>
      </c>
      <c r="AK45" s="0" t="n">
        <f aca="false">U45-AC45</f>
        <v>17.1783625</v>
      </c>
      <c r="AL45" s="0" t="n">
        <f aca="false">V45-AD45</f>
        <v>0</v>
      </c>
      <c r="AM45" s="0" t="n">
        <f aca="false">W45-AE45</f>
        <v>0</v>
      </c>
      <c r="AN45" s="0" t="n">
        <f aca="false">X45-AF45</f>
        <v>0</v>
      </c>
      <c r="AO45" s="0" t="n">
        <f aca="false">Y45-AG45</f>
        <v>0</v>
      </c>
      <c r="AP45" s="0" t="n">
        <f aca="false">MAX(0,'Debt Payoff'!$D$17-SUM(Z45:AG45))</f>
        <v>645</v>
      </c>
      <c r="AQ45" s="0" t="n">
        <f aca="false">MIN(AH45,MAX(0,$AP45-SUMPRODUCT(($AH$1:$AO$1&lt;AH$1)*$AH45:$AO45)))</f>
        <v>0</v>
      </c>
      <c r="AR45" s="0" t="n">
        <f aca="false">MIN(AI45,MAX(0,$AP45-SUMPRODUCT(($AH$1:$AO$1&lt;AI$1)*$AH45:$AO45)))</f>
        <v>0</v>
      </c>
      <c r="AS45" s="0" t="n">
        <f aca="false">MIN(AJ45,MAX(0,$AP45-SUMPRODUCT(($AH$1:$AO$1&lt;AJ$1)*$AH45:$AO45)))</f>
        <v>0</v>
      </c>
      <c r="AT45" s="0" t="n">
        <f aca="false">MIN(AK45,MAX(0,$AP45-SUMPRODUCT(($AH$1:$AO$1&lt;AK$1)*$AH45:$AO45)))</f>
        <v>17.1783625</v>
      </c>
      <c r="AU45" s="0" t="n">
        <f aca="false">MIN(AL45,MAX(0,$AP45-SUMPRODUCT(($AH$1:$AO$1&lt;AL$1)*$AH45:$AO45)))</f>
        <v>0</v>
      </c>
      <c r="AV45" s="0" t="n">
        <f aca="false">MIN(AM45,MAX(0,$AP45-SUMPRODUCT(($AH$1:$AO$1&lt;AM$1)*$AH45:$AO45)))</f>
        <v>0</v>
      </c>
      <c r="AW45" s="0" t="n">
        <f aca="false">MIN(AN45,MAX(0,$AP45-SUMPRODUCT(($AH$1:$AO$1&lt;AN$1)*$AH45:$AO45)))</f>
        <v>0</v>
      </c>
      <c r="AX45" s="0" t="n">
        <f aca="false">MIN(AO45,MAX(0,$AP45-SUMPRODUCT(($AH$1:$AO$1&lt;AO$1)*$AH45:$AO45)))</f>
        <v>0</v>
      </c>
      <c r="AY45" s="0" t="n">
        <f aca="false">ROUND(AH45-AQ45,2)</f>
        <v>0</v>
      </c>
      <c r="AZ45" s="0" t="n">
        <f aca="false">ROUND(AI45-AR45,2)</f>
        <v>0</v>
      </c>
      <c r="BA45" s="0" t="n">
        <f aca="false">ROUND(AJ45-AS45,2)</f>
        <v>0</v>
      </c>
      <c r="BB45" s="0" t="n">
        <f aca="false">ROUND(AK45-AT45,2)</f>
        <v>0</v>
      </c>
      <c r="BC45" s="0" t="n">
        <f aca="false">ROUND(AL45-AU45,2)</f>
        <v>0</v>
      </c>
      <c r="BD45" s="0" t="n">
        <f aca="false">ROUND(AM45-AV45,2)</f>
        <v>0</v>
      </c>
      <c r="BE45" s="0" t="n">
        <f aca="false">ROUND(AN45-AW45,2)</f>
        <v>0</v>
      </c>
      <c r="BF45" s="0" t="n">
        <f aca="false">ROUND(AO45-AX45,2)</f>
        <v>0</v>
      </c>
      <c r="BG45" s="0" t="n">
        <f aca="false">SUM(AY45:BF45)</f>
        <v>0</v>
      </c>
    </row>
    <row r="46" customFormat="false" ht="15" hidden="false" customHeight="false" outlineLevel="0" collapsed="false">
      <c r="A46" s="0" t="n">
        <v>44</v>
      </c>
      <c r="B46" s="0" t="n">
        <f aca="false">AY45</f>
        <v>0</v>
      </c>
      <c r="C46" s="0" t="n">
        <f aca="false">AZ45</f>
        <v>0</v>
      </c>
      <c r="D46" s="0" t="n">
        <f aca="false">BA45</f>
        <v>0</v>
      </c>
      <c r="E46" s="0" t="n">
        <f aca="false">BB45</f>
        <v>0</v>
      </c>
      <c r="F46" s="0" t="n">
        <f aca="false">BC45</f>
        <v>0</v>
      </c>
      <c r="G46" s="0" t="n">
        <f aca="false">BD45</f>
        <v>0</v>
      </c>
      <c r="H46" s="0" t="n">
        <f aca="false">BE45</f>
        <v>0</v>
      </c>
      <c r="I46" s="0" t="n">
        <f aca="false">BF45</f>
        <v>0</v>
      </c>
      <c r="J46" s="0" t="n">
        <f aca="false">B46*N('Debt Payoff'!D9)/12</f>
        <v>0</v>
      </c>
      <c r="K46" s="0" t="n">
        <f aca="false">C46*N('Debt Payoff'!D10)/12</f>
        <v>0</v>
      </c>
      <c r="L46" s="0" t="n">
        <f aca="false">D46*N('Debt Payoff'!D11)/12</f>
        <v>0</v>
      </c>
      <c r="M46" s="0" t="n">
        <f aca="false">E46*N('Debt Payoff'!D12)/12</f>
        <v>0</v>
      </c>
      <c r="N46" s="0" t="n">
        <f aca="false">F46*N('Debt Payoff'!D13)/12</f>
        <v>0</v>
      </c>
      <c r="O46" s="0" t="n">
        <f aca="false">G46*N('Debt Payoff'!D14)/12</f>
        <v>0</v>
      </c>
      <c r="P46" s="0" t="n">
        <f aca="false">H46*N('Debt Payoff'!D15)/12</f>
        <v>0</v>
      </c>
      <c r="Q46" s="0" t="n">
        <f aca="false">I46*N('Debt Payoff'!D16)/12</f>
        <v>0</v>
      </c>
      <c r="R46" s="0" t="n">
        <f aca="false">B46+J46</f>
        <v>0</v>
      </c>
      <c r="S46" s="0" t="n">
        <f aca="false">C46+K46</f>
        <v>0</v>
      </c>
      <c r="T46" s="0" t="n">
        <f aca="false">D46+L46</f>
        <v>0</v>
      </c>
      <c r="U46" s="0" t="n">
        <f aca="false">E46+M46</f>
        <v>0</v>
      </c>
      <c r="V46" s="0" t="n">
        <f aca="false">F46+N46</f>
        <v>0</v>
      </c>
      <c r="W46" s="0" t="n">
        <f aca="false">G46+O46</f>
        <v>0</v>
      </c>
      <c r="X46" s="0" t="n">
        <f aca="false">H46+P46</f>
        <v>0</v>
      </c>
      <c r="Y46" s="0" t="n">
        <f aca="false">I46+Q46</f>
        <v>0</v>
      </c>
      <c r="Z46" s="0" t="n">
        <f aca="false">MIN(R46,N('Debt Payoff'!E9))</f>
        <v>0</v>
      </c>
      <c r="AA46" s="0" t="n">
        <f aca="false">MIN(S46,N('Debt Payoff'!E10))</f>
        <v>0</v>
      </c>
      <c r="AB46" s="0" t="n">
        <f aca="false">MIN(T46,N('Debt Payoff'!E11))</f>
        <v>0</v>
      </c>
      <c r="AC46" s="0" t="n">
        <f aca="false">MIN(U46,N('Debt Payoff'!E12))</f>
        <v>0</v>
      </c>
      <c r="AD46" s="0" t="n">
        <f aca="false">MIN(V46,N('Debt Payoff'!E13))</f>
        <v>0</v>
      </c>
      <c r="AE46" s="0" t="n">
        <f aca="false">MIN(W46,N('Debt Payoff'!E14))</f>
        <v>0</v>
      </c>
      <c r="AF46" s="0" t="n">
        <f aca="false">MIN(X46,N('Debt Payoff'!E15))</f>
        <v>0</v>
      </c>
      <c r="AG46" s="0" t="n">
        <f aca="false">MIN(Y46,N('Debt Payoff'!E16))</f>
        <v>0</v>
      </c>
      <c r="AH46" s="0" t="n">
        <f aca="false">R46-Z46</f>
        <v>0</v>
      </c>
      <c r="AI46" s="0" t="n">
        <f aca="false">S46-AA46</f>
        <v>0</v>
      </c>
      <c r="AJ46" s="0" t="n">
        <f aca="false">T46-AB46</f>
        <v>0</v>
      </c>
      <c r="AK46" s="0" t="n">
        <f aca="false">U46-AC46</f>
        <v>0</v>
      </c>
      <c r="AL46" s="0" t="n">
        <f aca="false">V46-AD46</f>
        <v>0</v>
      </c>
      <c r="AM46" s="0" t="n">
        <f aca="false">W46-AE46</f>
        <v>0</v>
      </c>
      <c r="AN46" s="0" t="n">
        <f aca="false">X46-AF46</f>
        <v>0</v>
      </c>
      <c r="AO46" s="0" t="n">
        <f aca="false">Y46-AG46</f>
        <v>0</v>
      </c>
      <c r="AP46" s="0" t="n">
        <f aca="false">MAX(0,'Debt Payoff'!$D$17-SUM(Z46:AG46))</f>
        <v>805</v>
      </c>
      <c r="AQ46" s="0" t="n">
        <f aca="false">MIN(AH46,MAX(0,$AP46-SUMPRODUCT(($AH$1:$AO$1&lt;AH$1)*$AH46:$AO46)))</f>
        <v>0</v>
      </c>
      <c r="AR46" s="0" t="n">
        <f aca="false">MIN(AI46,MAX(0,$AP46-SUMPRODUCT(($AH$1:$AO$1&lt;AI$1)*$AH46:$AO46)))</f>
        <v>0</v>
      </c>
      <c r="AS46" s="0" t="n">
        <f aca="false">MIN(AJ46,MAX(0,$AP46-SUMPRODUCT(($AH$1:$AO$1&lt;AJ$1)*$AH46:$AO46)))</f>
        <v>0</v>
      </c>
      <c r="AT46" s="0" t="n">
        <f aca="false">MIN(AK46,MAX(0,$AP46-SUMPRODUCT(($AH$1:$AO$1&lt;AK$1)*$AH46:$AO46)))</f>
        <v>0</v>
      </c>
      <c r="AU46" s="0" t="n">
        <f aca="false">MIN(AL46,MAX(0,$AP46-SUMPRODUCT(($AH$1:$AO$1&lt;AL$1)*$AH46:$AO46)))</f>
        <v>0</v>
      </c>
      <c r="AV46" s="0" t="n">
        <f aca="false">MIN(AM46,MAX(0,$AP46-SUMPRODUCT(($AH$1:$AO$1&lt;AM$1)*$AH46:$AO46)))</f>
        <v>0</v>
      </c>
      <c r="AW46" s="0" t="n">
        <f aca="false">MIN(AN46,MAX(0,$AP46-SUMPRODUCT(($AH$1:$AO$1&lt;AN$1)*$AH46:$AO46)))</f>
        <v>0</v>
      </c>
      <c r="AX46" s="0" t="n">
        <f aca="false">MIN(AO46,MAX(0,$AP46-SUMPRODUCT(($AH$1:$AO$1&lt;AO$1)*$AH46:$AO46)))</f>
        <v>0</v>
      </c>
      <c r="AY46" s="0" t="n">
        <f aca="false">ROUND(AH46-AQ46,2)</f>
        <v>0</v>
      </c>
      <c r="AZ46" s="0" t="n">
        <f aca="false">ROUND(AI46-AR46,2)</f>
        <v>0</v>
      </c>
      <c r="BA46" s="0" t="n">
        <f aca="false">ROUND(AJ46-AS46,2)</f>
        <v>0</v>
      </c>
      <c r="BB46" s="0" t="n">
        <f aca="false">ROUND(AK46-AT46,2)</f>
        <v>0</v>
      </c>
      <c r="BC46" s="0" t="n">
        <f aca="false">ROUND(AL46-AU46,2)</f>
        <v>0</v>
      </c>
      <c r="BD46" s="0" t="n">
        <f aca="false">ROUND(AM46-AV46,2)</f>
        <v>0</v>
      </c>
      <c r="BE46" s="0" t="n">
        <f aca="false">ROUND(AN46-AW46,2)</f>
        <v>0</v>
      </c>
      <c r="BF46" s="0" t="n">
        <f aca="false">ROUND(AO46-AX46,2)</f>
        <v>0</v>
      </c>
      <c r="BG46" s="0" t="n">
        <f aca="false">SUM(AY46:BF46)</f>
        <v>0</v>
      </c>
    </row>
    <row r="47" customFormat="false" ht="15" hidden="false" customHeight="false" outlineLevel="0" collapsed="false">
      <c r="A47" s="0" t="n">
        <v>45</v>
      </c>
      <c r="B47" s="0" t="n">
        <f aca="false">AY46</f>
        <v>0</v>
      </c>
      <c r="C47" s="0" t="n">
        <f aca="false">AZ46</f>
        <v>0</v>
      </c>
      <c r="D47" s="0" t="n">
        <f aca="false">BA46</f>
        <v>0</v>
      </c>
      <c r="E47" s="0" t="n">
        <f aca="false">BB46</f>
        <v>0</v>
      </c>
      <c r="F47" s="0" t="n">
        <f aca="false">BC46</f>
        <v>0</v>
      </c>
      <c r="G47" s="0" t="n">
        <f aca="false">BD46</f>
        <v>0</v>
      </c>
      <c r="H47" s="0" t="n">
        <f aca="false">BE46</f>
        <v>0</v>
      </c>
      <c r="I47" s="0" t="n">
        <f aca="false">BF46</f>
        <v>0</v>
      </c>
      <c r="J47" s="0" t="n">
        <f aca="false">B47*N('Debt Payoff'!D9)/12</f>
        <v>0</v>
      </c>
      <c r="K47" s="0" t="n">
        <f aca="false">C47*N('Debt Payoff'!D10)/12</f>
        <v>0</v>
      </c>
      <c r="L47" s="0" t="n">
        <f aca="false">D47*N('Debt Payoff'!D11)/12</f>
        <v>0</v>
      </c>
      <c r="M47" s="0" t="n">
        <f aca="false">E47*N('Debt Payoff'!D12)/12</f>
        <v>0</v>
      </c>
      <c r="N47" s="0" t="n">
        <f aca="false">F47*N('Debt Payoff'!D13)/12</f>
        <v>0</v>
      </c>
      <c r="O47" s="0" t="n">
        <f aca="false">G47*N('Debt Payoff'!D14)/12</f>
        <v>0</v>
      </c>
      <c r="P47" s="0" t="n">
        <f aca="false">H47*N('Debt Payoff'!D15)/12</f>
        <v>0</v>
      </c>
      <c r="Q47" s="0" t="n">
        <f aca="false">I47*N('Debt Payoff'!D16)/12</f>
        <v>0</v>
      </c>
      <c r="R47" s="0" t="n">
        <f aca="false">B47+J47</f>
        <v>0</v>
      </c>
      <c r="S47" s="0" t="n">
        <f aca="false">C47+K47</f>
        <v>0</v>
      </c>
      <c r="T47" s="0" t="n">
        <f aca="false">D47+L47</f>
        <v>0</v>
      </c>
      <c r="U47" s="0" t="n">
        <f aca="false">E47+M47</f>
        <v>0</v>
      </c>
      <c r="V47" s="0" t="n">
        <f aca="false">F47+N47</f>
        <v>0</v>
      </c>
      <c r="W47" s="0" t="n">
        <f aca="false">G47+O47</f>
        <v>0</v>
      </c>
      <c r="X47" s="0" t="n">
        <f aca="false">H47+P47</f>
        <v>0</v>
      </c>
      <c r="Y47" s="0" t="n">
        <f aca="false">I47+Q47</f>
        <v>0</v>
      </c>
      <c r="Z47" s="0" t="n">
        <f aca="false">MIN(R47,N('Debt Payoff'!E9))</f>
        <v>0</v>
      </c>
      <c r="AA47" s="0" t="n">
        <f aca="false">MIN(S47,N('Debt Payoff'!E10))</f>
        <v>0</v>
      </c>
      <c r="AB47" s="0" t="n">
        <f aca="false">MIN(T47,N('Debt Payoff'!E11))</f>
        <v>0</v>
      </c>
      <c r="AC47" s="0" t="n">
        <f aca="false">MIN(U47,N('Debt Payoff'!E12))</f>
        <v>0</v>
      </c>
      <c r="AD47" s="0" t="n">
        <f aca="false">MIN(V47,N('Debt Payoff'!E13))</f>
        <v>0</v>
      </c>
      <c r="AE47" s="0" t="n">
        <f aca="false">MIN(W47,N('Debt Payoff'!E14))</f>
        <v>0</v>
      </c>
      <c r="AF47" s="0" t="n">
        <f aca="false">MIN(X47,N('Debt Payoff'!E15))</f>
        <v>0</v>
      </c>
      <c r="AG47" s="0" t="n">
        <f aca="false">MIN(Y47,N('Debt Payoff'!E16))</f>
        <v>0</v>
      </c>
      <c r="AH47" s="0" t="n">
        <f aca="false">R47-Z47</f>
        <v>0</v>
      </c>
      <c r="AI47" s="0" t="n">
        <f aca="false">S47-AA47</f>
        <v>0</v>
      </c>
      <c r="AJ47" s="0" t="n">
        <f aca="false">T47-AB47</f>
        <v>0</v>
      </c>
      <c r="AK47" s="0" t="n">
        <f aca="false">U47-AC47</f>
        <v>0</v>
      </c>
      <c r="AL47" s="0" t="n">
        <f aca="false">V47-AD47</f>
        <v>0</v>
      </c>
      <c r="AM47" s="0" t="n">
        <f aca="false">W47-AE47</f>
        <v>0</v>
      </c>
      <c r="AN47" s="0" t="n">
        <f aca="false">X47-AF47</f>
        <v>0</v>
      </c>
      <c r="AO47" s="0" t="n">
        <f aca="false">Y47-AG47</f>
        <v>0</v>
      </c>
      <c r="AP47" s="0" t="n">
        <f aca="false">MAX(0,'Debt Payoff'!$D$17-SUM(Z47:AG47))</f>
        <v>805</v>
      </c>
      <c r="AQ47" s="0" t="n">
        <f aca="false">MIN(AH47,MAX(0,$AP47-SUMPRODUCT(($AH$1:$AO$1&lt;AH$1)*$AH47:$AO47)))</f>
        <v>0</v>
      </c>
      <c r="AR47" s="0" t="n">
        <f aca="false">MIN(AI47,MAX(0,$AP47-SUMPRODUCT(($AH$1:$AO$1&lt;AI$1)*$AH47:$AO47)))</f>
        <v>0</v>
      </c>
      <c r="AS47" s="0" t="n">
        <f aca="false">MIN(AJ47,MAX(0,$AP47-SUMPRODUCT(($AH$1:$AO$1&lt;AJ$1)*$AH47:$AO47)))</f>
        <v>0</v>
      </c>
      <c r="AT47" s="0" t="n">
        <f aca="false">MIN(AK47,MAX(0,$AP47-SUMPRODUCT(($AH$1:$AO$1&lt;AK$1)*$AH47:$AO47)))</f>
        <v>0</v>
      </c>
      <c r="AU47" s="0" t="n">
        <f aca="false">MIN(AL47,MAX(0,$AP47-SUMPRODUCT(($AH$1:$AO$1&lt;AL$1)*$AH47:$AO47)))</f>
        <v>0</v>
      </c>
      <c r="AV47" s="0" t="n">
        <f aca="false">MIN(AM47,MAX(0,$AP47-SUMPRODUCT(($AH$1:$AO$1&lt;AM$1)*$AH47:$AO47)))</f>
        <v>0</v>
      </c>
      <c r="AW47" s="0" t="n">
        <f aca="false">MIN(AN47,MAX(0,$AP47-SUMPRODUCT(($AH$1:$AO$1&lt;AN$1)*$AH47:$AO47)))</f>
        <v>0</v>
      </c>
      <c r="AX47" s="0" t="n">
        <f aca="false">MIN(AO47,MAX(0,$AP47-SUMPRODUCT(($AH$1:$AO$1&lt;AO$1)*$AH47:$AO47)))</f>
        <v>0</v>
      </c>
      <c r="AY47" s="0" t="n">
        <f aca="false">ROUND(AH47-AQ47,2)</f>
        <v>0</v>
      </c>
      <c r="AZ47" s="0" t="n">
        <f aca="false">ROUND(AI47-AR47,2)</f>
        <v>0</v>
      </c>
      <c r="BA47" s="0" t="n">
        <f aca="false">ROUND(AJ47-AS47,2)</f>
        <v>0</v>
      </c>
      <c r="BB47" s="0" t="n">
        <f aca="false">ROUND(AK47-AT47,2)</f>
        <v>0</v>
      </c>
      <c r="BC47" s="0" t="n">
        <f aca="false">ROUND(AL47-AU47,2)</f>
        <v>0</v>
      </c>
      <c r="BD47" s="0" t="n">
        <f aca="false">ROUND(AM47-AV47,2)</f>
        <v>0</v>
      </c>
      <c r="BE47" s="0" t="n">
        <f aca="false">ROUND(AN47-AW47,2)</f>
        <v>0</v>
      </c>
      <c r="BF47" s="0" t="n">
        <f aca="false">ROUND(AO47-AX47,2)</f>
        <v>0</v>
      </c>
      <c r="BG47" s="0" t="n">
        <f aca="false">SUM(AY47:BF47)</f>
        <v>0</v>
      </c>
    </row>
    <row r="48" customFormat="false" ht="15" hidden="false" customHeight="false" outlineLevel="0" collapsed="false">
      <c r="A48" s="0" t="n">
        <v>46</v>
      </c>
      <c r="B48" s="0" t="n">
        <f aca="false">AY47</f>
        <v>0</v>
      </c>
      <c r="C48" s="0" t="n">
        <f aca="false">AZ47</f>
        <v>0</v>
      </c>
      <c r="D48" s="0" t="n">
        <f aca="false">BA47</f>
        <v>0</v>
      </c>
      <c r="E48" s="0" t="n">
        <f aca="false">BB47</f>
        <v>0</v>
      </c>
      <c r="F48" s="0" t="n">
        <f aca="false">BC47</f>
        <v>0</v>
      </c>
      <c r="G48" s="0" t="n">
        <f aca="false">BD47</f>
        <v>0</v>
      </c>
      <c r="H48" s="0" t="n">
        <f aca="false">BE47</f>
        <v>0</v>
      </c>
      <c r="I48" s="0" t="n">
        <f aca="false">BF47</f>
        <v>0</v>
      </c>
      <c r="J48" s="0" t="n">
        <f aca="false">B48*N('Debt Payoff'!D9)/12</f>
        <v>0</v>
      </c>
      <c r="K48" s="0" t="n">
        <f aca="false">C48*N('Debt Payoff'!D10)/12</f>
        <v>0</v>
      </c>
      <c r="L48" s="0" t="n">
        <f aca="false">D48*N('Debt Payoff'!D11)/12</f>
        <v>0</v>
      </c>
      <c r="M48" s="0" t="n">
        <f aca="false">E48*N('Debt Payoff'!D12)/12</f>
        <v>0</v>
      </c>
      <c r="N48" s="0" t="n">
        <f aca="false">F48*N('Debt Payoff'!D13)/12</f>
        <v>0</v>
      </c>
      <c r="O48" s="0" t="n">
        <f aca="false">G48*N('Debt Payoff'!D14)/12</f>
        <v>0</v>
      </c>
      <c r="P48" s="0" t="n">
        <f aca="false">H48*N('Debt Payoff'!D15)/12</f>
        <v>0</v>
      </c>
      <c r="Q48" s="0" t="n">
        <f aca="false">I48*N('Debt Payoff'!D16)/12</f>
        <v>0</v>
      </c>
      <c r="R48" s="0" t="n">
        <f aca="false">B48+J48</f>
        <v>0</v>
      </c>
      <c r="S48" s="0" t="n">
        <f aca="false">C48+K48</f>
        <v>0</v>
      </c>
      <c r="T48" s="0" t="n">
        <f aca="false">D48+L48</f>
        <v>0</v>
      </c>
      <c r="U48" s="0" t="n">
        <f aca="false">E48+M48</f>
        <v>0</v>
      </c>
      <c r="V48" s="0" t="n">
        <f aca="false">F48+N48</f>
        <v>0</v>
      </c>
      <c r="W48" s="0" t="n">
        <f aca="false">G48+O48</f>
        <v>0</v>
      </c>
      <c r="X48" s="0" t="n">
        <f aca="false">H48+P48</f>
        <v>0</v>
      </c>
      <c r="Y48" s="0" t="n">
        <f aca="false">I48+Q48</f>
        <v>0</v>
      </c>
      <c r="Z48" s="0" t="n">
        <f aca="false">MIN(R48,N('Debt Payoff'!E9))</f>
        <v>0</v>
      </c>
      <c r="AA48" s="0" t="n">
        <f aca="false">MIN(S48,N('Debt Payoff'!E10))</f>
        <v>0</v>
      </c>
      <c r="AB48" s="0" t="n">
        <f aca="false">MIN(T48,N('Debt Payoff'!E11))</f>
        <v>0</v>
      </c>
      <c r="AC48" s="0" t="n">
        <f aca="false">MIN(U48,N('Debt Payoff'!E12))</f>
        <v>0</v>
      </c>
      <c r="AD48" s="0" t="n">
        <f aca="false">MIN(V48,N('Debt Payoff'!E13))</f>
        <v>0</v>
      </c>
      <c r="AE48" s="0" t="n">
        <f aca="false">MIN(W48,N('Debt Payoff'!E14))</f>
        <v>0</v>
      </c>
      <c r="AF48" s="0" t="n">
        <f aca="false">MIN(X48,N('Debt Payoff'!E15))</f>
        <v>0</v>
      </c>
      <c r="AG48" s="0" t="n">
        <f aca="false">MIN(Y48,N('Debt Payoff'!E16))</f>
        <v>0</v>
      </c>
      <c r="AH48" s="0" t="n">
        <f aca="false">R48-Z48</f>
        <v>0</v>
      </c>
      <c r="AI48" s="0" t="n">
        <f aca="false">S48-AA48</f>
        <v>0</v>
      </c>
      <c r="AJ48" s="0" t="n">
        <f aca="false">T48-AB48</f>
        <v>0</v>
      </c>
      <c r="AK48" s="0" t="n">
        <f aca="false">U48-AC48</f>
        <v>0</v>
      </c>
      <c r="AL48" s="0" t="n">
        <f aca="false">V48-AD48</f>
        <v>0</v>
      </c>
      <c r="AM48" s="0" t="n">
        <f aca="false">W48-AE48</f>
        <v>0</v>
      </c>
      <c r="AN48" s="0" t="n">
        <f aca="false">X48-AF48</f>
        <v>0</v>
      </c>
      <c r="AO48" s="0" t="n">
        <f aca="false">Y48-AG48</f>
        <v>0</v>
      </c>
      <c r="AP48" s="0" t="n">
        <f aca="false">MAX(0,'Debt Payoff'!$D$17-SUM(Z48:AG48))</f>
        <v>805</v>
      </c>
      <c r="AQ48" s="0" t="n">
        <f aca="false">MIN(AH48,MAX(0,$AP48-SUMPRODUCT(($AH$1:$AO$1&lt;AH$1)*$AH48:$AO48)))</f>
        <v>0</v>
      </c>
      <c r="AR48" s="0" t="n">
        <f aca="false">MIN(AI48,MAX(0,$AP48-SUMPRODUCT(($AH$1:$AO$1&lt;AI$1)*$AH48:$AO48)))</f>
        <v>0</v>
      </c>
      <c r="AS48" s="0" t="n">
        <f aca="false">MIN(AJ48,MAX(0,$AP48-SUMPRODUCT(($AH$1:$AO$1&lt;AJ$1)*$AH48:$AO48)))</f>
        <v>0</v>
      </c>
      <c r="AT48" s="0" t="n">
        <f aca="false">MIN(AK48,MAX(0,$AP48-SUMPRODUCT(($AH$1:$AO$1&lt;AK$1)*$AH48:$AO48)))</f>
        <v>0</v>
      </c>
      <c r="AU48" s="0" t="n">
        <f aca="false">MIN(AL48,MAX(0,$AP48-SUMPRODUCT(($AH$1:$AO$1&lt;AL$1)*$AH48:$AO48)))</f>
        <v>0</v>
      </c>
      <c r="AV48" s="0" t="n">
        <f aca="false">MIN(AM48,MAX(0,$AP48-SUMPRODUCT(($AH$1:$AO$1&lt;AM$1)*$AH48:$AO48)))</f>
        <v>0</v>
      </c>
      <c r="AW48" s="0" t="n">
        <f aca="false">MIN(AN48,MAX(0,$AP48-SUMPRODUCT(($AH$1:$AO$1&lt;AN$1)*$AH48:$AO48)))</f>
        <v>0</v>
      </c>
      <c r="AX48" s="0" t="n">
        <f aca="false">MIN(AO48,MAX(0,$AP48-SUMPRODUCT(($AH$1:$AO$1&lt;AO$1)*$AH48:$AO48)))</f>
        <v>0</v>
      </c>
      <c r="AY48" s="0" t="n">
        <f aca="false">ROUND(AH48-AQ48,2)</f>
        <v>0</v>
      </c>
      <c r="AZ48" s="0" t="n">
        <f aca="false">ROUND(AI48-AR48,2)</f>
        <v>0</v>
      </c>
      <c r="BA48" s="0" t="n">
        <f aca="false">ROUND(AJ48-AS48,2)</f>
        <v>0</v>
      </c>
      <c r="BB48" s="0" t="n">
        <f aca="false">ROUND(AK48-AT48,2)</f>
        <v>0</v>
      </c>
      <c r="BC48" s="0" t="n">
        <f aca="false">ROUND(AL48-AU48,2)</f>
        <v>0</v>
      </c>
      <c r="BD48" s="0" t="n">
        <f aca="false">ROUND(AM48-AV48,2)</f>
        <v>0</v>
      </c>
      <c r="BE48" s="0" t="n">
        <f aca="false">ROUND(AN48-AW48,2)</f>
        <v>0</v>
      </c>
      <c r="BF48" s="0" t="n">
        <f aca="false">ROUND(AO48-AX48,2)</f>
        <v>0</v>
      </c>
      <c r="BG48" s="0" t="n">
        <f aca="false">SUM(AY48:BF48)</f>
        <v>0</v>
      </c>
    </row>
    <row r="49" customFormat="false" ht="15" hidden="false" customHeight="false" outlineLevel="0" collapsed="false">
      <c r="A49" s="0" t="n">
        <v>47</v>
      </c>
      <c r="B49" s="0" t="n">
        <f aca="false">AY48</f>
        <v>0</v>
      </c>
      <c r="C49" s="0" t="n">
        <f aca="false">AZ48</f>
        <v>0</v>
      </c>
      <c r="D49" s="0" t="n">
        <f aca="false">BA48</f>
        <v>0</v>
      </c>
      <c r="E49" s="0" t="n">
        <f aca="false">BB48</f>
        <v>0</v>
      </c>
      <c r="F49" s="0" t="n">
        <f aca="false">BC48</f>
        <v>0</v>
      </c>
      <c r="G49" s="0" t="n">
        <f aca="false">BD48</f>
        <v>0</v>
      </c>
      <c r="H49" s="0" t="n">
        <f aca="false">BE48</f>
        <v>0</v>
      </c>
      <c r="I49" s="0" t="n">
        <f aca="false">BF48</f>
        <v>0</v>
      </c>
      <c r="J49" s="0" t="n">
        <f aca="false">B49*N('Debt Payoff'!D9)/12</f>
        <v>0</v>
      </c>
      <c r="K49" s="0" t="n">
        <f aca="false">C49*N('Debt Payoff'!D10)/12</f>
        <v>0</v>
      </c>
      <c r="L49" s="0" t="n">
        <f aca="false">D49*N('Debt Payoff'!D11)/12</f>
        <v>0</v>
      </c>
      <c r="M49" s="0" t="n">
        <f aca="false">E49*N('Debt Payoff'!D12)/12</f>
        <v>0</v>
      </c>
      <c r="N49" s="0" t="n">
        <f aca="false">F49*N('Debt Payoff'!D13)/12</f>
        <v>0</v>
      </c>
      <c r="O49" s="0" t="n">
        <f aca="false">G49*N('Debt Payoff'!D14)/12</f>
        <v>0</v>
      </c>
      <c r="P49" s="0" t="n">
        <f aca="false">H49*N('Debt Payoff'!D15)/12</f>
        <v>0</v>
      </c>
      <c r="Q49" s="0" t="n">
        <f aca="false">I49*N('Debt Payoff'!D16)/12</f>
        <v>0</v>
      </c>
      <c r="R49" s="0" t="n">
        <f aca="false">B49+J49</f>
        <v>0</v>
      </c>
      <c r="S49" s="0" t="n">
        <f aca="false">C49+K49</f>
        <v>0</v>
      </c>
      <c r="T49" s="0" t="n">
        <f aca="false">D49+L49</f>
        <v>0</v>
      </c>
      <c r="U49" s="0" t="n">
        <f aca="false">E49+M49</f>
        <v>0</v>
      </c>
      <c r="V49" s="0" t="n">
        <f aca="false">F49+N49</f>
        <v>0</v>
      </c>
      <c r="W49" s="0" t="n">
        <f aca="false">G49+O49</f>
        <v>0</v>
      </c>
      <c r="X49" s="0" t="n">
        <f aca="false">H49+P49</f>
        <v>0</v>
      </c>
      <c r="Y49" s="0" t="n">
        <f aca="false">I49+Q49</f>
        <v>0</v>
      </c>
      <c r="Z49" s="0" t="n">
        <f aca="false">MIN(R49,N('Debt Payoff'!E9))</f>
        <v>0</v>
      </c>
      <c r="AA49" s="0" t="n">
        <f aca="false">MIN(S49,N('Debt Payoff'!E10))</f>
        <v>0</v>
      </c>
      <c r="AB49" s="0" t="n">
        <f aca="false">MIN(T49,N('Debt Payoff'!E11))</f>
        <v>0</v>
      </c>
      <c r="AC49" s="0" t="n">
        <f aca="false">MIN(U49,N('Debt Payoff'!E12))</f>
        <v>0</v>
      </c>
      <c r="AD49" s="0" t="n">
        <f aca="false">MIN(V49,N('Debt Payoff'!E13))</f>
        <v>0</v>
      </c>
      <c r="AE49" s="0" t="n">
        <f aca="false">MIN(W49,N('Debt Payoff'!E14))</f>
        <v>0</v>
      </c>
      <c r="AF49" s="0" t="n">
        <f aca="false">MIN(X49,N('Debt Payoff'!E15))</f>
        <v>0</v>
      </c>
      <c r="AG49" s="0" t="n">
        <f aca="false">MIN(Y49,N('Debt Payoff'!E16))</f>
        <v>0</v>
      </c>
      <c r="AH49" s="0" t="n">
        <f aca="false">R49-Z49</f>
        <v>0</v>
      </c>
      <c r="AI49" s="0" t="n">
        <f aca="false">S49-AA49</f>
        <v>0</v>
      </c>
      <c r="AJ49" s="0" t="n">
        <f aca="false">T49-AB49</f>
        <v>0</v>
      </c>
      <c r="AK49" s="0" t="n">
        <f aca="false">U49-AC49</f>
        <v>0</v>
      </c>
      <c r="AL49" s="0" t="n">
        <f aca="false">V49-AD49</f>
        <v>0</v>
      </c>
      <c r="AM49" s="0" t="n">
        <f aca="false">W49-AE49</f>
        <v>0</v>
      </c>
      <c r="AN49" s="0" t="n">
        <f aca="false">X49-AF49</f>
        <v>0</v>
      </c>
      <c r="AO49" s="0" t="n">
        <f aca="false">Y49-AG49</f>
        <v>0</v>
      </c>
      <c r="AP49" s="0" t="n">
        <f aca="false">MAX(0,'Debt Payoff'!$D$17-SUM(Z49:AG49))</f>
        <v>805</v>
      </c>
      <c r="AQ49" s="0" t="n">
        <f aca="false">MIN(AH49,MAX(0,$AP49-SUMPRODUCT(($AH$1:$AO$1&lt;AH$1)*$AH49:$AO49)))</f>
        <v>0</v>
      </c>
      <c r="AR49" s="0" t="n">
        <f aca="false">MIN(AI49,MAX(0,$AP49-SUMPRODUCT(($AH$1:$AO$1&lt;AI$1)*$AH49:$AO49)))</f>
        <v>0</v>
      </c>
      <c r="AS49" s="0" t="n">
        <f aca="false">MIN(AJ49,MAX(0,$AP49-SUMPRODUCT(($AH$1:$AO$1&lt;AJ$1)*$AH49:$AO49)))</f>
        <v>0</v>
      </c>
      <c r="AT49" s="0" t="n">
        <f aca="false">MIN(AK49,MAX(0,$AP49-SUMPRODUCT(($AH$1:$AO$1&lt;AK$1)*$AH49:$AO49)))</f>
        <v>0</v>
      </c>
      <c r="AU49" s="0" t="n">
        <f aca="false">MIN(AL49,MAX(0,$AP49-SUMPRODUCT(($AH$1:$AO$1&lt;AL$1)*$AH49:$AO49)))</f>
        <v>0</v>
      </c>
      <c r="AV49" s="0" t="n">
        <f aca="false">MIN(AM49,MAX(0,$AP49-SUMPRODUCT(($AH$1:$AO$1&lt;AM$1)*$AH49:$AO49)))</f>
        <v>0</v>
      </c>
      <c r="AW49" s="0" t="n">
        <f aca="false">MIN(AN49,MAX(0,$AP49-SUMPRODUCT(($AH$1:$AO$1&lt;AN$1)*$AH49:$AO49)))</f>
        <v>0</v>
      </c>
      <c r="AX49" s="0" t="n">
        <f aca="false">MIN(AO49,MAX(0,$AP49-SUMPRODUCT(($AH$1:$AO$1&lt;AO$1)*$AH49:$AO49)))</f>
        <v>0</v>
      </c>
      <c r="AY49" s="0" t="n">
        <f aca="false">ROUND(AH49-AQ49,2)</f>
        <v>0</v>
      </c>
      <c r="AZ49" s="0" t="n">
        <f aca="false">ROUND(AI49-AR49,2)</f>
        <v>0</v>
      </c>
      <c r="BA49" s="0" t="n">
        <f aca="false">ROUND(AJ49-AS49,2)</f>
        <v>0</v>
      </c>
      <c r="BB49" s="0" t="n">
        <f aca="false">ROUND(AK49-AT49,2)</f>
        <v>0</v>
      </c>
      <c r="BC49" s="0" t="n">
        <f aca="false">ROUND(AL49-AU49,2)</f>
        <v>0</v>
      </c>
      <c r="BD49" s="0" t="n">
        <f aca="false">ROUND(AM49-AV49,2)</f>
        <v>0</v>
      </c>
      <c r="BE49" s="0" t="n">
        <f aca="false">ROUND(AN49-AW49,2)</f>
        <v>0</v>
      </c>
      <c r="BF49" s="0" t="n">
        <f aca="false">ROUND(AO49-AX49,2)</f>
        <v>0</v>
      </c>
      <c r="BG49" s="0" t="n">
        <f aca="false">SUM(AY49:BF49)</f>
        <v>0</v>
      </c>
    </row>
    <row r="50" customFormat="false" ht="15" hidden="false" customHeight="false" outlineLevel="0" collapsed="false">
      <c r="A50" s="0" t="n">
        <v>48</v>
      </c>
      <c r="B50" s="0" t="n">
        <f aca="false">AY49</f>
        <v>0</v>
      </c>
      <c r="C50" s="0" t="n">
        <f aca="false">AZ49</f>
        <v>0</v>
      </c>
      <c r="D50" s="0" t="n">
        <f aca="false">BA49</f>
        <v>0</v>
      </c>
      <c r="E50" s="0" t="n">
        <f aca="false">BB49</f>
        <v>0</v>
      </c>
      <c r="F50" s="0" t="n">
        <f aca="false">BC49</f>
        <v>0</v>
      </c>
      <c r="G50" s="0" t="n">
        <f aca="false">BD49</f>
        <v>0</v>
      </c>
      <c r="H50" s="0" t="n">
        <f aca="false">BE49</f>
        <v>0</v>
      </c>
      <c r="I50" s="0" t="n">
        <f aca="false">BF49</f>
        <v>0</v>
      </c>
      <c r="J50" s="0" t="n">
        <f aca="false">B50*N('Debt Payoff'!D9)/12</f>
        <v>0</v>
      </c>
      <c r="K50" s="0" t="n">
        <f aca="false">C50*N('Debt Payoff'!D10)/12</f>
        <v>0</v>
      </c>
      <c r="L50" s="0" t="n">
        <f aca="false">D50*N('Debt Payoff'!D11)/12</f>
        <v>0</v>
      </c>
      <c r="M50" s="0" t="n">
        <f aca="false">E50*N('Debt Payoff'!D12)/12</f>
        <v>0</v>
      </c>
      <c r="N50" s="0" t="n">
        <f aca="false">F50*N('Debt Payoff'!D13)/12</f>
        <v>0</v>
      </c>
      <c r="O50" s="0" t="n">
        <f aca="false">G50*N('Debt Payoff'!D14)/12</f>
        <v>0</v>
      </c>
      <c r="P50" s="0" t="n">
        <f aca="false">H50*N('Debt Payoff'!D15)/12</f>
        <v>0</v>
      </c>
      <c r="Q50" s="0" t="n">
        <f aca="false">I50*N('Debt Payoff'!D16)/12</f>
        <v>0</v>
      </c>
      <c r="R50" s="0" t="n">
        <f aca="false">B50+J50</f>
        <v>0</v>
      </c>
      <c r="S50" s="0" t="n">
        <f aca="false">C50+K50</f>
        <v>0</v>
      </c>
      <c r="T50" s="0" t="n">
        <f aca="false">D50+L50</f>
        <v>0</v>
      </c>
      <c r="U50" s="0" t="n">
        <f aca="false">E50+M50</f>
        <v>0</v>
      </c>
      <c r="V50" s="0" t="n">
        <f aca="false">F50+N50</f>
        <v>0</v>
      </c>
      <c r="W50" s="0" t="n">
        <f aca="false">G50+O50</f>
        <v>0</v>
      </c>
      <c r="X50" s="0" t="n">
        <f aca="false">H50+P50</f>
        <v>0</v>
      </c>
      <c r="Y50" s="0" t="n">
        <f aca="false">I50+Q50</f>
        <v>0</v>
      </c>
      <c r="Z50" s="0" t="n">
        <f aca="false">MIN(R50,N('Debt Payoff'!E9))</f>
        <v>0</v>
      </c>
      <c r="AA50" s="0" t="n">
        <f aca="false">MIN(S50,N('Debt Payoff'!E10))</f>
        <v>0</v>
      </c>
      <c r="AB50" s="0" t="n">
        <f aca="false">MIN(T50,N('Debt Payoff'!E11))</f>
        <v>0</v>
      </c>
      <c r="AC50" s="0" t="n">
        <f aca="false">MIN(U50,N('Debt Payoff'!E12))</f>
        <v>0</v>
      </c>
      <c r="AD50" s="0" t="n">
        <f aca="false">MIN(V50,N('Debt Payoff'!E13))</f>
        <v>0</v>
      </c>
      <c r="AE50" s="0" t="n">
        <f aca="false">MIN(W50,N('Debt Payoff'!E14))</f>
        <v>0</v>
      </c>
      <c r="AF50" s="0" t="n">
        <f aca="false">MIN(X50,N('Debt Payoff'!E15))</f>
        <v>0</v>
      </c>
      <c r="AG50" s="0" t="n">
        <f aca="false">MIN(Y50,N('Debt Payoff'!E16))</f>
        <v>0</v>
      </c>
      <c r="AH50" s="0" t="n">
        <f aca="false">R50-Z50</f>
        <v>0</v>
      </c>
      <c r="AI50" s="0" t="n">
        <f aca="false">S50-AA50</f>
        <v>0</v>
      </c>
      <c r="AJ50" s="0" t="n">
        <f aca="false">T50-AB50</f>
        <v>0</v>
      </c>
      <c r="AK50" s="0" t="n">
        <f aca="false">U50-AC50</f>
        <v>0</v>
      </c>
      <c r="AL50" s="0" t="n">
        <f aca="false">V50-AD50</f>
        <v>0</v>
      </c>
      <c r="AM50" s="0" t="n">
        <f aca="false">W50-AE50</f>
        <v>0</v>
      </c>
      <c r="AN50" s="0" t="n">
        <f aca="false">X50-AF50</f>
        <v>0</v>
      </c>
      <c r="AO50" s="0" t="n">
        <f aca="false">Y50-AG50</f>
        <v>0</v>
      </c>
      <c r="AP50" s="0" t="n">
        <f aca="false">MAX(0,'Debt Payoff'!$D$17-SUM(Z50:AG50))</f>
        <v>805</v>
      </c>
      <c r="AQ50" s="0" t="n">
        <f aca="false">MIN(AH50,MAX(0,$AP50-SUMPRODUCT(($AH$1:$AO$1&lt;AH$1)*$AH50:$AO50)))</f>
        <v>0</v>
      </c>
      <c r="AR50" s="0" t="n">
        <f aca="false">MIN(AI50,MAX(0,$AP50-SUMPRODUCT(($AH$1:$AO$1&lt;AI$1)*$AH50:$AO50)))</f>
        <v>0</v>
      </c>
      <c r="AS50" s="0" t="n">
        <f aca="false">MIN(AJ50,MAX(0,$AP50-SUMPRODUCT(($AH$1:$AO$1&lt;AJ$1)*$AH50:$AO50)))</f>
        <v>0</v>
      </c>
      <c r="AT50" s="0" t="n">
        <f aca="false">MIN(AK50,MAX(0,$AP50-SUMPRODUCT(($AH$1:$AO$1&lt;AK$1)*$AH50:$AO50)))</f>
        <v>0</v>
      </c>
      <c r="AU50" s="0" t="n">
        <f aca="false">MIN(AL50,MAX(0,$AP50-SUMPRODUCT(($AH$1:$AO$1&lt;AL$1)*$AH50:$AO50)))</f>
        <v>0</v>
      </c>
      <c r="AV50" s="0" t="n">
        <f aca="false">MIN(AM50,MAX(0,$AP50-SUMPRODUCT(($AH$1:$AO$1&lt;AM$1)*$AH50:$AO50)))</f>
        <v>0</v>
      </c>
      <c r="AW50" s="0" t="n">
        <f aca="false">MIN(AN50,MAX(0,$AP50-SUMPRODUCT(($AH$1:$AO$1&lt;AN$1)*$AH50:$AO50)))</f>
        <v>0</v>
      </c>
      <c r="AX50" s="0" t="n">
        <f aca="false">MIN(AO50,MAX(0,$AP50-SUMPRODUCT(($AH$1:$AO$1&lt;AO$1)*$AH50:$AO50)))</f>
        <v>0</v>
      </c>
      <c r="AY50" s="0" t="n">
        <f aca="false">ROUND(AH50-AQ50,2)</f>
        <v>0</v>
      </c>
      <c r="AZ50" s="0" t="n">
        <f aca="false">ROUND(AI50-AR50,2)</f>
        <v>0</v>
      </c>
      <c r="BA50" s="0" t="n">
        <f aca="false">ROUND(AJ50-AS50,2)</f>
        <v>0</v>
      </c>
      <c r="BB50" s="0" t="n">
        <f aca="false">ROUND(AK50-AT50,2)</f>
        <v>0</v>
      </c>
      <c r="BC50" s="0" t="n">
        <f aca="false">ROUND(AL50-AU50,2)</f>
        <v>0</v>
      </c>
      <c r="BD50" s="0" t="n">
        <f aca="false">ROUND(AM50-AV50,2)</f>
        <v>0</v>
      </c>
      <c r="BE50" s="0" t="n">
        <f aca="false">ROUND(AN50-AW50,2)</f>
        <v>0</v>
      </c>
      <c r="BF50" s="0" t="n">
        <f aca="false">ROUND(AO50-AX50,2)</f>
        <v>0</v>
      </c>
      <c r="BG50" s="0" t="n">
        <f aca="false">SUM(AY50:BF50)</f>
        <v>0</v>
      </c>
    </row>
    <row r="51" customFormat="false" ht="15" hidden="false" customHeight="false" outlineLevel="0" collapsed="false">
      <c r="A51" s="0" t="n">
        <v>49</v>
      </c>
      <c r="B51" s="0" t="n">
        <f aca="false">AY50</f>
        <v>0</v>
      </c>
      <c r="C51" s="0" t="n">
        <f aca="false">AZ50</f>
        <v>0</v>
      </c>
      <c r="D51" s="0" t="n">
        <f aca="false">BA50</f>
        <v>0</v>
      </c>
      <c r="E51" s="0" t="n">
        <f aca="false">BB50</f>
        <v>0</v>
      </c>
      <c r="F51" s="0" t="n">
        <f aca="false">BC50</f>
        <v>0</v>
      </c>
      <c r="G51" s="0" t="n">
        <f aca="false">BD50</f>
        <v>0</v>
      </c>
      <c r="H51" s="0" t="n">
        <f aca="false">BE50</f>
        <v>0</v>
      </c>
      <c r="I51" s="0" t="n">
        <f aca="false">BF50</f>
        <v>0</v>
      </c>
      <c r="J51" s="0" t="n">
        <f aca="false">B51*N('Debt Payoff'!D9)/12</f>
        <v>0</v>
      </c>
      <c r="K51" s="0" t="n">
        <f aca="false">C51*N('Debt Payoff'!D10)/12</f>
        <v>0</v>
      </c>
      <c r="L51" s="0" t="n">
        <f aca="false">D51*N('Debt Payoff'!D11)/12</f>
        <v>0</v>
      </c>
      <c r="M51" s="0" t="n">
        <f aca="false">E51*N('Debt Payoff'!D12)/12</f>
        <v>0</v>
      </c>
      <c r="N51" s="0" t="n">
        <f aca="false">F51*N('Debt Payoff'!D13)/12</f>
        <v>0</v>
      </c>
      <c r="O51" s="0" t="n">
        <f aca="false">G51*N('Debt Payoff'!D14)/12</f>
        <v>0</v>
      </c>
      <c r="P51" s="0" t="n">
        <f aca="false">H51*N('Debt Payoff'!D15)/12</f>
        <v>0</v>
      </c>
      <c r="Q51" s="0" t="n">
        <f aca="false">I51*N('Debt Payoff'!D16)/12</f>
        <v>0</v>
      </c>
      <c r="R51" s="0" t="n">
        <f aca="false">B51+J51</f>
        <v>0</v>
      </c>
      <c r="S51" s="0" t="n">
        <f aca="false">C51+K51</f>
        <v>0</v>
      </c>
      <c r="T51" s="0" t="n">
        <f aca="false">D51+L51</f>
        <v>0</v>
      </c>
      <c r="U51" s="0" t="n">
        <f aca="false">E51+M51</f>
        <v>0</v>
      </c>
      <c r="V51" s="0" t="n">
        <f aca="false">F51+N51</f>
        <v>0</v>
      </c>
      <c r="W51" s="0" t="n">
        <f aca="false">G51+O51</f>
        <v>0</v>
      </c>
      <c r="X51" s="0" t="n">
        <f aca="false">H51+P51</f>
        <v>0</v>
      </c>
      <c r="Y51" s="0" t="n">
        <f aca="false">I51+Q51</f>
        <v>0</v>
      </c>
      <c r="Z51" s="0" t="n">
        <f aca="false">MIN(R51,N('Debt Payoff'!E9))</f>
        <v>0</v>
      </c>
      <c r="AA51" s="0" t="n">
        <f aca="false">MIN(S51,N('Debt Payoff'!E10))</f>
        <v>0</v>
      </c>
      <c r="AB51" s="0" t="n">
        <f aca="false">MIN(T51,N('Debt Payoff'!E11))</f>
        <v>0</v>
      </c>
      <c r="AC51" s="0" t="n">
        <f aca="false">MIN(U51,N('Debt Payoff'!E12))</f>
        <v>0</v>
      </c>
      <c r="AD51" s="0" t="n">
        <f aca="false">MIN(V51,N('Debt Payoff'!E13))</f>
        <v>0</v>
      </c>
      <c r="AE51" s="0" t="n">
        <f aca="false">MIN(W51,N('Debt Payoff'!E14))</f>
        <v>0</v>
      </c>
      <c r="AF51" s="0" t="n">
        <f aca="false">MIN(X51,N('Debt Payoff'!E15))</f>
        <v>0</v>
      </c>
      <c r="AG51" s="0" t="n">
        <f aca="false">MIN(Y51,N('Debt Payoff'!E16))</f>
        <v>0</v>
      </c>
      <c r="AH51" s="0" t="n">
        <f aca="false">R51-Z51</f>
        <v>0</v>
      </c>
      <c r="AI51" s="0" t="n">
        <f aca="false">S51-AA51</f>
        <v>0</v>
      </c>
      <c r="AJ51" s="0" t="n">
        <f aca="false">T51-AB51</f>
        <v>0</v>
      </c>
      <c r="AK51" s="0" t="n">
        <f aca="false">U51-AC51</f>
        <v>0</v>
      </c>
      <c r="AL51" s="0" t="n">
        <f aca="false">V51-AD51</f>
        <v>0</v>
      </c>
      <c r="AM51" s="0" t="n">
        <f aca="false">W51-AE51</f>
        <v>0</v>
      </c>
      <c r="AN51" s="0" t="n">
        <f aca="false">X51-AF51</f>
        <v>0</v>
      </c>
      <c r="AO51" s="0" t="n">
        <f aca="false">Y51-AG51</f>
        <v>0</v>
      </c>
      <c r="AP51" s="0" t="n">
        <f aca="false">MAX(0,'Debt Payoff'!$D$17-SUM(Z51:AG51))</f>
        <v>805</v>
      </c>
      <c r="AQ51" s="0" t="n">
        <f aca="false">MIN(AH51,MAX(0,$AP51-SUMPRODUCT(($AH$1:$AO$1&lt;AH$1)*$AH51:$AO51)))</f>
        <v>0</v>
      </c>
      <c r="AR51" s="0" t="n">
        <f aca="false">MIN(AI51,MAX(0,$AP51-SUMPRODUCT(($AH$1:$AO$1&lt;AI$1)*$AH51:$AO51)))</f>
        <v>0</v>
      </c>
      <c r="AS51" s="0" t="n">
        <f aca="false">MIN(AJ51,MAX(0,$AP51-SUMPRODUCT(($AH$1:$AO$1&lt;AJ$1)*$AH51:$AO51)))</f>
        <v>0</v>
      </c>
      <c r="AT51" s="0" t="n">
        <f aca="false">MIN(AK51,MAX(0,$AP51-SUMPRODUCT(($AH$1:$AO$1&lt;AK$1)*$AH51:$AO51)))</f>
        <v>0</v>
      </c>
      <c r="AU51" s="0" t="n">
        <f aca="false">MIN(AL51,MAX(0,$AP51-SUMPRODUCT(($AH$1:$AO$1&lt;AL$1)*$AH51:$AO51)))</f>
        <v>0</v>
      </c>
      <c r="AV51" s="0" t="n">
        <f aca="false">MIN(AM51,MAX(0,$AP51-SUMPRODUCT(($AH$1:$AO$1&lt;AM$1)*$AH51:$AO51)))</f>
        <v>0</v>
      </c>
      <c r="AW51" s="0" t="n">
        <f aca="false">MIN(AN51,MAX(0,$AP51-SUMPRODUCT(($AH$1:$AO$1&lt;AN$1)*$AH51:$AO51)))</f>
        <v>0</v>
      </c>
      <c r="AX51" s="0" t="n">
        <f aca="false">MIN(AO51,MAX(0,$AP51-SUMPRODUCT(($AH$1:$AO$1&lt;AO$1)*$AH51:$AO51)))</f>
        <v>0</v>
      </c>
      <c r="AY51" s="0" t="n">
        <f aca="false">ROUND(AH51-AQ51,2)</f>
        <v>0</v>
      </c>
      <c r="AZ51" s="0" t="n">
        <f aca="false">ROUND(AI51-AR51,2)</f>
        <v>0</v>
      </c>
      <c r="BA51" s="0" t="n">
        <f aca="false">ROUND(AJ51-AS51,2)</f>
        <v>0</v>
      </c>
      <c r="BB51" s="0" t="n">
        <f aca="false">ROUND(AK51-AT51,2)</f>
        <v>0</v>
      </c>
      <c r="BC51" s="0" t="n">
        <f aca="false">ROUND(AL51-AU51,2)</f>
        <v>0</v>
      </c>
      <c r="BD51" s="0" t="n">
        <f aca="false">ROUND(AM51-AV51,2)</f>
        <v>0</v>
      </c>
      <c r="BE51" s="0" t="n">
        <f aca="false">ROUND(AN51-AW51,2)</f>
        <v>0</v>
      </c>
      <c r="BF51" s="0" t="n">
        <f aca="false">ROUND(AO51-AX51,2)</f>
        <v>0</v>
      </c>
      <c r="BG51" s="0" t="n">
        <f aca="false">SUM(AY51:BF51)</f>
        <v>0</v>
      </c>
    </row>
    <row r="52" customFormat="false" ht="15" hidden="false" customHeight="false" outlineLevel="0" collapsed="false">
      <c r="A52" s="0" t="n">
        <v>50</v>
      </c>
      <c r="B52" s="0" t="n">
        <f aca="false">AY51</f>
        <v>0</v>
      </c>
      <c r="C52" s="0" t="n">
        <f aca="false">AZ51</f>
        <v>0</v>
      </c>
      <c r="D52" s="0" t="n">
        <f aca="false">BA51</f>
        <v>0</v>
      </c>
      <c r="E52" s="0" t="n">
        <f aca="false">BB51</f>
        <v>0</v>
      </c>
      <c r="F52" s="0" t="n">
        <f aca="false">BC51</f>
        <v>0</v>
      </c>
      <c r="G52" s="0" t="n">
        <f aca="false">BD51</f>
        <v>0</v>
      </c>
      <c r="H52" s="0" t="n">
        <f aca="false">BE51</f>
        <v>0</v>
      </c>
      <c r="I52" s="0" t="n">
        <f aca="false">BF51</f>
        <v>0</v>
      </c>
      <c r="J52" s="0" t="n">
        <f aca="false">B52*N('Debt Payoff'!D9)/12</f>
        <v>0</v>
      </c>
      <c r="K52" s="0" t="n">
        <f aca="false">C52*N('Debt Payoff'!D10)/12</f>
        <v>0</v>
      </c>
      <c r="L52" s="0" t="n">
        <f aca="false">D52*N('Debt Payoff'!D11)/12</f>
        <v>0</v>
      </c>
      <c r="M52" s="0" t="n">
        <f aca="false">E52*N('Debt Payoff'!D12)/12</f>
        <v>0</v>
      </c>
      <c r="N52" s="0" t="n">
        <f aca="false">F52*N('Debt Payoff'!D13)/12</f>
        <v>0</v>
      </c>
      <c r="O52" s="0" t="n">
        <f aca="false">G52*N('Debt Payoff'!D14)/12</f>
        <v>0</v>
      </c>
      <c r="P52" s="0" t="n">
        <f aca="false">H52*N('Debt Payoff'!D15)/12</f>
        <v>0</v>
      </c>
      <c r="Q52" s="0" t="n">
        <f aca="false">I52*N('Debt Payoff'!D16)/12</f>
        <v>0</v>
      </c>
      <c r="R52" s="0" t="n">
        <f aca="false">B52+J52</f>
        <v>0</v>
      </c>
      <c r="S52" s="0" t="n">
        <f aca="false">C52+K52</f>
        <v>0</v>
      </c>
      <c r="T52" s="0" t="n">
        <f aca="false">D52+L52</f>
        <v>0</v>
      </c>
      <c r="U52" s="0" t="n">
        <f aca="false">E52+M52</f>
        <v>0</v>
      </c>
      <c r="V52" s="0" t="n">
        <f aca="false">F52+N52</f>
        <v>0</v>
      </c>
      <c r="W52" s="0" t="n">
        <f aca="false">G52+O52</f>
        <v>0</v>
      </c>
      <c r="X52" s="0" t="n">
        <f aca="false">H52+P52</f>
        <v>0</v>
      </c>
      <c r="Y52" s="0" t="n">
        <f aca="false">I52+Q52</f>
        <v>0</v>
      </c>
      <c r="Z52" s="0" t="n">
        <f aca="false">MIN(R52,N('Debt Payoff'!E9))</f>
        <v>0</v>
      </c>
      <c r="AA52" s="0" t="n">
        <f aca="false">MIN(S52,N('Debt Payoff'!E10))</f>
        <v>0</v>
      </c>
      <c r="AB52" s="0" t="n">
        <f aca="false">MIN(T52,N('Debt Payoff'!E11))</f>
        <v>0</v>
      </c>
      <c r="AC52" s="0" t="n">
        <f aca="false">MIN(U52,N('Debt Payoff'!E12))</f>
        <v>0</v>
      </c>
      <c r="AD52" s="0" t="n">
        <f aca="false">MIN(V52,N('Debt Payoff'!E13))</f>
        <v>0</v>
      </c>
      <c r="AE52" s="0" t="n">
        <f aca="false">MIN(W52,N('Debt Payoff'!E14))</f>
        <v>0</v>
      </c>
      <c r="AF52" s="0" t="n">
        <f aca="false">MIN(X52,N('Debt Payoff'!E15))</f>
        <v>0</v>
      </c>
      <c r="AG52" s="0" t="n">
        <f aca="false">MIN(Y52,N('Debt Payoff'!E16))</f>
        <v>0</v>
      </c>
      <c r="AH52" s="0" t="n">
        <f aca="false">R52-Z52</f>
        <v>0</v>
      </c>
      <c r="AI52" s="0" t="n">
        <f aca="false">S52-AA52</f>
        <v>0</v>
      </c>
      <c r="AJ52" s="0" t="n">
        <f aca="false">T52-AB52</f>
        <v>0</v>
      </c>
      <c r="AK52" s="0" t="n">
        <f aca="false">U52-AC52</f>
        <v>0</v>
      </c>
      <c r="AL52" s="0" t="n">
        <f aca="false">V52-AD52</f>
        <v>0</v>
      </c>
      <c r="AM52" s="0" t="n">
        <f aca="false">W52-AE52</f>
        <v>0</v>
      </c>
      <c r="AN52" s="0" t="n">
        <f aca="false">X52-AF52</f>
        <v>0</v>
      </c>
      <c r="AO52" s="0" t="n">
        <f aca="false">Y52-AG52</f>
        <v>0</v>
      </c>
      <c r="AP52" s="0" t="n">
        <f aca="false">MAX(0,'Debt Payoff'!$D$17-SUM(Z52:AG52))</f>
        <v>805</v>
      </c>
      <c r="AQ52" s="0" t="n">
        <f aca="false">MIN(AH52,MAX(0,$AP52-SUMPRODUCT(($AH$1:$AO$1&lt;AH$1)*$AH52:$AO52)))</f>
        <v>0</v>
      </c>
      <c r="AR52" s="0" t="n">
        <f aca="false">MIN(AI52,MAX(0,$AP52-SUMPRODUCT(($AH$1:$AO$1&lt;AI$1)*$AH52:$AO52)))</f>
        <v>0</v>
      </c>
      <c r="AS52" s="0" t="n">
        <f aca="false">MIN(AJ52,MAX(0,$AP52-SUMPRODUCT(($AH$1:$AO$1&lt;AJ$1)*$AH52:$AO52)))</f>
        <v>0</v>
      </c>
      <c r="AT52" s="0" t="n">
        <f aca="false">MIN(AK52,MAX(0,$AP52-SUMPRODUCT(($AH$1:$AO$1&lt;AK$1)*$AH52:$AO52)))</f>
        <v>0</v>
      </c>
      <c r="AU52" s="0" t="n">
        <f aca="false">MIN(AL52,MAX(0,$AP52-SUMPRODUCT(($AH$1:$AO$1&lt;AL$1)*$AH52:$AO52)))</f>
        <v>0</v>
      </c>
      <c r="AV52" s="0" t="n">
        <f aca="false">MIN(AM52,MAX(0,$AP52-SUMPRODUCT(($AH$1:$AO$1&lt;AM$1)*$AH52:$AO52)))</f>
        <v>0</v>
      </c>
      <c r="AW52" s="0" t="n">
        <f aca="false">MIN(AN52,MAX(0,$AP52-SUMPRODUCT(($AH$1:$AO$1&lt;AN$1)*$AH52:$AO52)))</f>
        <v>0</v>
      </c>
      <c r="AX52" s="0" t="n">
        <f aca="false">MIN(AO52,MAX(0,$AP52-SUMPRODUCT(($AH$1:$AO$1&lt;AO$1)*$AH52:$AO52)))</f>
        <v>0</v>
      </c>
      <c r="AY52" s="0" t="n">
        <f aca="false">ROUND(AH52-AQ52,2)</f>
        <v>0</v>
      </c>
      <c r="AZ52" s="0" t="n">
        <f aca="false">ROUND(AI52-AR52,2)</f>
        <v>0</v>
      </c>
      <c r="BA52" s="0" t="n">
        <f aca="false">ROUND(AJ52-AS52,2)</f>
        <v>0</v>
      </c>
      <c r="BB52" s="0" t="n">
        <f aca="false">ROUND(AK52-AT52,2)</f>
        <v>0</v>
      </c>
      <c r="BC52" s="0" t="n">
        <f aca="false">ROUND(AL52-AU52,2)</f>
        <v>0</v>
      </c>
      <c r="BD52" s="0" t="n">
        <f aca="false">ROUND(AM52-AV52,2)</f>
        <v>0</v>
      </c>
      <c r="BE52" s="0" t="n">
        <f aca="false">ROUND(AN52-AW52,2)</f>
        <v>0</v>
      </c>
      <c r="BF52" s="0" t="n">
        <f aca="false">ROUND(AO52-AX52,2)</f>
        <v>0</v>
      </c>
      <c r="BG52" s="0" t="n">
        <f aca="false">SUM(AY52:BF52)</f>
        <v>0</v>
      </c>
    </row>
    <row r="53" customFormat="false" ht="15" hidden="false" customHeight="false" outlineLevel="0" collapsed="false">
      <c r="A53" s="0" t="n">
        <v>51</v>
      </c>
      <c r="B53" s="0" t="n">
        <f aca="false">AY52</f>
        <v>0</v>
      </c>
      <c r="C53" s="0" t="n">
        <f aca="false">AZ52</f>
        <v>0</v>
      </c>
      <c r="D53" s="0" t="n">
        <f aca="false">BA52</f>
        <v>0</v>
      </c>
      <c r="E53" s="0" t="n">
        <f aca="false">BB52</f>
        <v>0</v>
      </c>
      <c r="F53" s="0" t="n">
        <f aca="false">BC52</f>
        <v>0</v>
      </c>
      <c r="G53" s="0" t="n">
        <f aca="false">BD52</f>
        <v>0</v>
      </c>
      <c r="H53" s="0" t="n">
        <f aca="false">BE52</f>
        <v>0</v>
      </c>
      <c r="I53" s="0" t="n">
        <f aca="false">BF52</f>
        <v>0</v>
      </c>
      <c r="J53" s="0" t="n">
        <f aca="false">B53*N('Debt Payoff'!D9)/12</f>
        <v>0</v>
      </c>
      <c r="K53" s="0" t="n">
        <f aca="false">C53*N('Debt Payoff'!D10)/12</f>
        <v>0</v>
      </c>
      <c r="L53" s="0" t="n">
        <f aca="false">D53*N('Debt Payoff'!D11)/12</f>
        <v>0</v>
      </c>
      <c r="M53" s="0" t="n">
        <f aca="false">E53*N('Debt Payoff'!D12)/12</f>
        <v>0</v>
      </c>
      <c r="N53" s="0" t="n">
        <f aca="false">F53*N('Debt Payoff'!D13)/12</f>
        <v>0</v>
      </c>
      <c r="O53" s="0" t="n">
        <f aca="false">G53*N('Debt Payoff'!D14)/12</f>
        <v>0</v>
      </c>
      <c r="P53" s="0" t="n">
        <f aca="false">H53*N('Debt Payoff'!D15)/12</f>
        <v>0</v>
      </c>
      <c r="Q53" s="0" t="n">
        <f aca="false">I53*N('Debt Payoff'!D16)/12</f>
        <v>0</v>
      </c>
      <c r="R53" s="0" t="n">
        <f aca="false">B53+J53</f>
        <v>0</v>
      </c>
      <c r="S53" s="0" t="n">
        <f aca="false">C53+K53</f>
        <v>0</v>
      </c>
      <c r="T53" s="0" t="n">
        <f aca="false">D53+L53</f>
        <v>0</v>
      </c>
      <c r="U53" s="0" t="n">
        <f aca="false">E53+M53</f>
        <v>0</v>
      </c>
      <c r="V53" s="0" t="n">
        <f aca="false">F53+N53</f>
        <v>0</v>
      </c>
      <c r="W53" s="0" t="n">
        <f aca="false">G53+O53</f>
        <v>0</v>
      </c>
      <c r="X53" s="0" t="n">
        <f aca="false">H53+P53</f>
        <v>0</v>
      </c>
      <c r="Y53" s="0" t="n">
        <f aca="false">I53+Q53</f>
        <v>0</v>
      </c>
      <c r="Z53" s="0" t="n">
        <f aca="false">MIN(R53,N('Debt Payoff'!E9))</f>
        <v>0</v>
      </c>
      <c r="AA53" s="0" t="n">
        <f aca="false">MIN(S53,N('Debt Payoff'!E10))</f>
        <v>0</v>
      </c>
      <c r="AB53" s="0" t="n">
        <f aca="false">MIN(T53,N('Debt Payoff'!E11))</f>
        <v>0</v>
      </c>
      <c r="AC53" s="0" t="n">
        <f aca="false">MIN(U53,N('Debt Payoff'!E12))</f>
        <v>0</v>
      </c>
      <c r="AD53" s="0" t="n">
        <f aca="false">MIN(V53,N('Debt Payoff'!E13))</f>
        <v>0</v>
      </c>
      <c r="AE53" s="0" t="n">
        <f aca="false">MIN(W53,N('Debt Payoff'!E14))</f>
        <v>0</v>
      </c>
      <c r="AF53" s="0" t="n">
        <f aca="false">MIN(X53,N('Debt Payoff'!E15))</f>
        <v>0</v>
      </c>
      <c r="AG53" s="0" t="n">
        <f aca="false">MIN(Y53,N('Debt Payoff'!E16))</f>
        <v>0</v>
      </c>
      <c r="AH53" s="0" t="n">
        <f aca="false">R53-Z53</f>
        <v>0</v>
      </c>
      <c r="AI53" s="0" t="n">
        <f aca="false">S53-AA53</f>
        <v>0</v>
      </c>
      <c r="AJ53" s="0" t="n">
        <f aca="false">T53-AB53</f>
        <v>0</v>
      </c>
      <c r="AK53" s="0" t="n">
        <f aca="false">U53-AC53</f>
        <v>0</v>
      </c>
      <c r="AL53" s="0" t="n">
        <f aca="false">V53-AD53</f>
        <v>0</v>
      </c>
      <c r="AM53" s="0" t="n">
        <f aca="false">W53-AE53</f>
        <v>0</v>
      </c>
      <c r="AN53" s="0" t="n">
        <f aca="false">X53-AF53</f>
        <v>0</v>
      </c>
      <c r="AO53" s="0" t="n">
        <f aca="false">Y53-AG53</f>
        <v>0</v>
      </c>
      <c r="AP53" s="0" t="n">
        <f aca="false">MAX(0,'Debt Payoff'!$D$17-SUM(Z53:AG53))</f>
        <v>805</v>
      </c>
      <c r="AQ53" s="0" t="n">
        <f aca="false">MIN(AH53,MAX(0,$AP53-SUMPRODUCT(($AH$1:$AO$1&lt;AH$1)*$AH53:$AO53)))</f>
        <v>0</v>
      </c>
      <c r="AR53" s="0" t="n">
        <f aca="false">MIN(AI53,MAX(0,$AP53-SUMPRODUCT(($AH$1:$AO$1&lt;AI$1)*$AH53:$AO53)))</f>
        <v>0</v>
      </c>
      <c r="AS53" s="0" t="n">
        <f aca="false">MIN(AJ53,MAX(0,$AP53-SUMPRODUCT(($AH$1:$AO$1&lt;AJ$1)*$AH53:$AO53)))</f>
        <v>0</v>
      </c>
      <c r="AT53" s="0" t="n">
        <f aca="false">MIN(AK53,MAX(0,$AP53-SUMPRODUCT(($AH$1:$AO$1&lt;AK$1)*$AH53:$AO53)))</f>
        <v>0</v>
      </c>
      <c r="AU53" s="0" t="n">
        <f aca="false">MIN(AL53,MAX(0,$AP53-SUMPRODUCT(($AH$1:$AO$1&lt;AL$1)*$AH53:$AO53)))</f>
        <v>0</v>
      </c>
      <c r="AV53" s="0" t="n">
        <f aca="false">MIN(AM53,MAX(0,$AP53-SUMPRODUCT(($AH$1:$AO$1&lt;AM$1)*$AH53:$AO53)))</f>
        <v>0</v>
      </c>
      <c r="AW53" s="0" t="n">
        <f aca="false">MIN(AN53,MAX(0,$AP53-SUMPRODUCT(($AH$1:$AO$1&lt;AN$1)*$AH53:$AO53)))</f>
        <v>0</v>
      </c>
      <c r="AX53" s="0" t="n">
        <f aca="false">MIN(AO53,MAX(0,$AP53-SUMPRODUCT(($AH$1:$AO$1&lt;AO$1)*$AH53:$AO53)))</f>
        <v>0</v>
      </c>
      <c r="AY53" s="0" t="n">
        <f aca="false">ROUND(AH53-AQ53,2)</f>
        <v>0</v>
      </c>
      <c r="AZ53" s="0" t="n">
        <f aca="false">ROUND(AI53-AR53,2)</f>
        <v>0</v>
      </c>
      <c r="BA53" s="0" t="n">
        <f aca="false">ROUND(AJ53-AS53,2)</f>
        <v>0</v>
      </c>
      <c r="BB53" s="0" t="n">
        <f aca="false">ROUND(AK53-AT53,2)</f>
        <v>0</v>
      </c>
      <c r="BC53" s="0" t="n">
        <f aca="false">ROUND(AL53-AU53,2)</f>
        <v>0</v>
      </c>
      <c r="BD53" s="0" t="n">
        <f aca="false">ROUND(AM53-AV53,2)</f>
        <v>0</v>
      </c>
      <c r="BE53" s="0" t="n">
        <f aca="false">ROUND(AN53-AW53,2)</f>
        <v>0</v>
      </c>
      <c r="BF53" s="0" t="n">
        <f aca="false">ROUND(AO53-AX53,2)</f>
        <v>0</v>
      </c>
      <c r="BG53" s="0" t="n">
        <f aca="false">SUM(AY53:BF53)</f>
        <v>0</v>
      </c>
    </row>
    <row r="54" customFormat="false" ht="15" hidden="false" customHeight="false" outlineLevel="0" collapsed="false">
      <c r="A54" s="0" t="n">
        <v>52</v>
      </c>
      <c r="B54" s="0" t="n">
        <f aca="false">AY53</f>
        <v>0</v>
      </c>
      <c r="C54" s="0" t="n">
        <f aca="false">AZ53</f>
        <v>0</v>
      </c>
      <c r="D54" s="0" t="n">
        <f aca="false">BA53</f>
        <v>0</v>
      </c>
      <c r="E54" s="0" t="n">
        <f aca="false">BB53</f>
        <v>0</v>
      </c>
      <c r="F54" s="0" t="n">
        <f aca="false">BC53</f>
        <v>0</v>
      </c>
      <c r="G54" s="0" t="n">
        <f aca="false">BD53</f>
        <v>0</v>
      </c>
      <c r="H54" s="0" t="n">
        <f aca="false">BE53</f>
        <v>0</v>
      </c>
      <c r="I54" s="0" t="n">
        <f aca="false">BF53</f>
        <v>0</v>
      </c>
      <c r="J54" s="0" t="n">
        <f aca="false">B54*N('Debt Payoff'!D9)/12</f>
        <v>0</v>
      </c>
      <c r="K54" s="0" t="n">
        <f aca="false">C54*N('Debt Payoff'!D10)/12</f>
        <v>0</v>
      </c>
      <c r="L54" s="0" t="n">
        <f aca="false">D54*N('Debt Payoff'!D11)/12</f>
        <v>0</v>
      </c>
      <c r="M54" s="0" t="n">
        <f aca="false">E54*N('Debt Payoff'!D12)/12</f>
        <v>0</v>
      </c>
      <c r="N54" s="0" t="n">
        <f aca="false">F54*N('Debt Payoff'!D13)/12</f>
        <v>0</v>
      </c>
      <c r="O54" s="0" t="n">
        <f aca="false">G54*N('Debt Payoff'!D14)/12</f>
        <v>0</v>
      </c>
      <c r="P54" s="0" t="n">
        <f aca="false">H54*N('Debt Payoff'!D15)/12</f>
        <v>0</v>
      </c>
      <c r="Q54" s="0" t="n">
        <f aca="false">I54*N('Debt Payoff'!D16)/12</f>
        <v>0</v>
      </c>
      <c r="R54" s="0" t="n">
        <f aca="false">B54+J54</f>
        <v>0</v>
      </c>
      <c r="S54" s="0" t="n">
        <f aca="false">C54+K54</f>
        <v>0</v>
      </c>
      <c r="T54" s="0" t="n">
        <f aca="false">D54+L54</f>
        <v>0</v>
      </c>
      <c r="U54" s="0" t="n">
        <f aca="false">E54+M54</f>
        <v>0</v>
      </c>
      <c r="V54" s="0" t="n">
        <f aca="false">F54+N54</f>
        <v>0</v>
      </c>
      <c r="W54" s="0" t="n">
        <f aca="false">G54+O54</f>
        <v>0</v>
      </c>
      <c r="X54" s="0" t="n">
        <f aca="false">H54+P54</f>
        <v>0</v>
      </c>
      <c r="Y54" s="0" t="n">
        <f aca="false">I54+Q54</f>
        <v>0</v>
      </c>
      <c r="Z54" s="0" t="n">
        <f aca="false">MIN(R54,N('Debt Payoff'!E9))</f>
        <v>0</v>
      </c>
      <c r="AA54" s="0" t="n">
        <f aca="false">MIN(S54,N('Debt Payoff'!E10))</f>
        <v>0</v>
      </c>
      <c r="AB54" s="0" t="n">
        <f aca="false">MIN(T54,N('Debt Payoff'!E11))</f>
        <v>0</v>
      </c>
      <c r="AC54" s="0" t="n">
        <f aca="false">MIN(U54,N('Debt Payoff'!E12))</f>
        <v>0</v>
      </c>
      <c r="AD54" s="0" t="n">
        <f aca="false">MIN(V54,N('Debt Payoff'!E13))</f>
        <v>0</v>
      </c>
      <c r="AE54" s="0" t="n">
        <f aca="false">MIN(W54,N('Debt Payoff'!E14))</f>
        <v>0</v>
      </c>
      <c r="AF54" s="0" t="n">
        <f aca="false">MIN(X54,N('Debt Payoff'!E15))</f>
        <v>0</v>
      </c>
      <c r="AG54" s="0" t="n">
        <f aca="false">MIN(Y54,N('Debt Payoff'!E16))</f>
        <v>0</v>
      </c>
      <c r="AH54" s="0" t="n">
        <f aca="false">R54-Z54</f>
        <v>0</v>
      </c>
      <c r="AI54" s="0" t="n">
        <f aca="false">S54-AA54</f>
        <v>0</v>
      </c>
      <c r="AJ54" s="0" t="n">
        <f aca="false">T54-AB54</f>
        <v>0</v>
      </c>
      <c r="AK54" s="0" t="n">
        <f aca="false">U54-AC54</f>
        <v>0</v>
      </c>
      <c r="AL54" s="0" t="n">
        <f aca="false">V54-AD54</f>
        <v>0</v>
      </c>
      <c r="AM54" s="0" t="n">
        <f aca="false">W54-AE54</f>
        <v>0</v>
      </c>
      <c r="AN54" s="0" t="n">
        <f aca="false">X54-AF54</f>
        <v>0</v>
      </c>
      <c r="AO54" s="0" t="n">
        <f aca="false">Y54-AG54</f>
        <v>0</v>
      </c>
      <c r="AP54" s="0" t="n">
        <f aca="false">MAX(0,'Debt Payoff'!$D$17-SUM(Z54:AG54))</f>
        <v>805</v>
      </c>
      <c r="AQ54" s="0" t="n">
        <f aca="false">MIN(AH54,MAX(0,$AP54-SUMPRODUCT(($AH$1:$AO$1&lt;AH$1)*$AH54:$AO54)))</f>
        <v>0</v>
      </c>
      <c r="AR54" s="0" t="n">
        <f aca="false">MIN(AI54,MAX(0,$AP54-SUMPRODUCT(($AH$1:$AO$1&lt;AI$1)*$AH54:$AO54)))</f>
        <v>0</v>
      </c>
      <c r="AS54" s="0" t="n">
        <f aca="false">MIN(AJ54,MAX(0,$AP54-SUMPRODUCT(($AH$1:$AO$1&lt;AJ$1)*$AH54:$AO54)))</f>
        <v>0</v>
      </c>
      <c r="AT54" s="0" t="n">
        <f aca="false">MIN(AK54,MAX(0,$AP54-SUMPRODUCT(($AH$1:$AO$1&lt;AK$1)*$AH54:$AO54)))</f>
        <v>0</v>
      </c>
      <c r="AU54" s="0" t="n">
        <f aca="false">MIN(AL54,MAX(0,$AP54-SUMPRODUCT(($AH$1:$AO$1&lt;AL$1)*$AH54:$AO54)))</f>
        <v>0</v>
      </c>
      <c r="AV54" s="0" t="n">
        <f aca="false">MIN(AM54,MAX(0,$AP54-SUMPRODUCT(($AH$1:$AO$1&lt;AM$1)*$AH54:$AO54)))</f>
        <v>0</v>
      </c>
      <c r="AW54" s="0" t="n">
        <f aca="false">MIN(AN54,MAX(0,$AP54-SUMPRODUCT(($AH$1:$AO$1&lt;AN$1)*$AH54:$AO54)))</f>
        <v>0</v>
      </c>
      <c r="AX54" s="0" t="n">
        <f aca="false">MIN(AO54,MAX(0,$AP54-SUMPRODUCT(($AH$1:$AO$1&lt;AO$1)*$AH54:$AO54)))</f>
        <v>0</v>
      </c>
      <c r="AY54" s="0" t="n">
        <f aca="false">ROUND(AH54-AQ54,2)</f>
        <v>0</v>
      </c>
      <c r="AZ54" s="0" t="n">
        <f aca="false">ROUND(AI54-AR54,2)</f>
        <v>0</v>
      </c>
      <c r="BA54" s="0" t="n">
        <f aca="false">ROUND(AJ54-AS54,2)</f>
        <v>0</v>
      </c>
      <c r="BB54" s="0" t="n">
        <f aca="false">ROUND(AK54-AT54,2)</f>
        <v>0</v>
      </c>
      <c r="BC54" s="0" t="n">
        <f aca="false">ROUND(AL54-AU54,2)</f>
        <v>0</v>
      </c>
      <c r="BD54" s="0" t="n">
        <f aca="false">ROUND(AM54-AV54,2)</f>
        <v>0</v>
      </c>
      <c r="BE54" s="0" t="n">
        <f aca="false">ROUND(AN54-AW54,2)</f>
        <v>0</v>
      </c>
      <c r="BF54" s="0" t="n">
        <f aca="false">ROUND(AO54-AX54,2)</f>
        <v>0</v>
      </c>
      <c r="BG54" s="0" t="n">
        <f aca="false">SUM(AY54:BF54)</f>
        <v>0</v>
      </c>
    </row>
    <row r="55" customFormat="false" ht="15" hidden="false" customHeight="false" outlineLevel="0" collapsed="false">
      <c r="A55" s="0" t="n">
        <v>53</v>
      </c>
      <c r="B55" s="0" t="n">
        <f aca="false">AY54</f>
        <v>0</v>
      </c>
      <c r="C55" s="0" t="n">
        <f aca="false">AZ54</f>
        <v>0</v>
      </c>
      <c r="D55" s="0" t="n">
        <f aca="false">BA54</f>
        <v>0</v>
      </c>
      <c r="E55" s="0" t="n">
        <f aca="false">BB54</f>
        <v>0</v>
      </c>
      <c r="F55" s="0" t="n">
        <f aca="false">BC54</f>
        <v>0</v>
      </c>
      <c r="G55" s="0" t="n">
        <f aca="false">BD54</f>
        <v>0</v>
      </c>
      <c r="H55" s="0" t="n">
        <f aca="false">BE54</f>
        <v>0</v>
      </c>
      <c r="I55" s="0" t="n">
        <f aca="false">BF54</f>
        <v>0</v>
      </c>
      <c r="J55" s="0" t="n">
        <f aca="false">B55*N('Debt Payoff'!D9)/12</f>
        <v>0</v>
      </c>
      <c r="K55" s="0" t="n">
        <f aca="false">C55*N('Debt Payoff'!D10)/12</f>
        <v>0</v>
      </c>
      <c r="L55" s="0" t="n">
        <f aca="false">D55*N('Debt Payoff'!D11)/12</f>
        <v>0</v>
      </c>
      <c r="M55" s="0" t="n">
        <f aca="false">E55*N('Debt Payoff'!D12)/12</f>
        <v>0</v>
      </c>
      <c r="N55" s="0" t="n">
        <f aca="false">F55*N('Debt Payoff'!D13)/12</f>
        <v>0</v>
      </c>
      <c r="O55" s="0" t="n">
        <f aca="false">G55*N('Debt Payoff'!D14)/12</f>
        <v>0</v>
      </c>
      <c r="P55" s="0" t="n">
        <f aca="false">H55*N('Debt Payoff'!D15)/12</f>
        <v>0</v>
      </c>
      <c r="Q55" s="0" t="n">
        <f aca="false">I55*N('Debt Payoff'!D16)/12</f>
        <v>0</v>
      </c>
      <c r="R55" s="0" t="n">
        <f aca="false">B55+J55</f>
        <v>0</v>
      </c>
      <c r="S55" s="0" t="n">
        <f aca="false">C55+K55</f>
        <v>0</v>
      </c>
      <c r="T55" s="0" t="n">
        <f aca="false">D55+L55</f>
        <v>0</v>
      </c>
      <c r="U55" s="0" t="n">
        <f aca="false">E55+M55</f>
        <v>0</v>
      </c>
      <c r="V55" s="0" t="n">
        <f aca="false">F55+N55</f>
        <v>0</v>
      </c>
      <c r="W55" s="0" t="n">
        <f aca="false">G55+O55</f>
        <v>0</v>
      </c>
      <c r="X55" s="0" t="n">
        <f aca="false">H55+P55</f>
        <v>0</v>
      </c>
      <c r="Y55" s="0" t="n">
        <f aca="false">I55+Q55</f>
        <v>0</v>
      </c>
      <c r="Z55" s="0" t="n">
        <f aca="false">MIN(R55,N('Debt Payoff'!E9))</f>
        <v>0</v>
      </c>
      <c r="AA55" s="0" t="n">
        <f aca="false">MIN(S55,N('Debt Payoff'!E10))</f>
        <v>0</v>
      </c>
      <c r="AB55" s="0" t="n">
        <f aca="false">MIN(T55,N('Debt Payoff'!E11))</f>
        <v>0</v>
      </c>
      <c r="AC55" s="0" t="n">
        <f aca="false">MIN(U55,N('Debt Payoff'!E12))</f>
        <v>0</v>
      </c>
      <c r="AD55" s="0" t="n">
        <f aca="false">MIN(V55,N('Debt Payoff'!E13))</f>
        <v>0</v>
      </c>
      <c r="AE55" s="0" t="n">
        <f aca="false">MIN(W55,N('Debt Payoff'!E14))</f>
        <v>0</v>
      </c>
      <c r="AF55" s="0" t="n">
        <f aca="false">MIN(X55,N('Debt Payoff'!E15))</f>
        <v>0</v>
      </c>
      <c r="AG55" s="0" t="n">
        <f aca="false">MIN(Y55,N('Debt Payoff'!E16))</f>
        <v>0</v>
      </c>
      <c r="AH55" s="0" t="n">
        <f aca="false">R55-Z55</f>
        <v>0</v>
      </c>
      <c r="AI55" s="0" t="n">
        <f aca="false">S55-AA55</f>
        <v>0</v>
      </c>
      <c r="AJ55" s="0" t="n">
        <f aca="false">T55-AB55</f>
        <v>0</v>
      </c>
      <c r="AK55" s="0" t="n">
        <f aca="false">U55-AC55</f>
        <v>0</v>
      </c>
      <c r="AL55" s="0" t="n">
        <f aca="false">V55-AD55</f>
        <v>0</v>
      </c>
      <c r="AM55" s="0" t="n">
        <f aca="false">W55-AE55</f>
        <v>0</v>
      </c>
      <c r="AN55" s="0" t="n">
        <f aca="false">X55-AF55</f>
        <v>0</v>
      </c>
      <c r="AO55" s="0" t="n">
        <f aca="false">Y55-AG55</f>
        <v>0</v>
      </c>
      <c r="AP55" s="0" t="n">
        <f aca="false">MAX(0,'Debt Payoff'!$D$17-SUM(Z55:AG55))</f>
        <v>805</v>
      </c>
      <c r="AQ55" s="0" t="n">
        <f aca="false">MIN(AH55,MAX(0,$AP55-SUMPRODUCT(($AH$1:$AO$1&lt;AH$1)*$AH55:$AO55)))</f>
        <v>0</v>
      </c>
      <c r="AR55" s="0" t="n">
        <f aca="false">MIN(AI55,MAX(0,$AP55-SUMPRODUCT(($AH$1:$AO$1&lt;AI$1)*$AH55:$AO55)))</f>
        <v>0</v>
      </c>
      <c r="AS55" s="0" t="n">
        <f aca="false">MIN(AJ55,MAX(0,$AP55-SUMPRODUCT(($AH$1:$AO$1&lt;AJ$1)*$AH55:$AO55)))</f>
        <v>0</v>
      </c>
      <c r="AT55" s="0" t="n">
        <f aca="false">MIN(AK55,MAX(0,$AP55-SUMPRODUCT(($AH$1:$AO$1&lt;AK$1)*$AH55:$AO55)))</f>
        <v>0</v>
      </c>
      <c r="AU55" s="0" t="n">
        <f aca="false">MIN(AL55,MAX(0,$AP55-SUMPRODUCT(($AH$1:$AO$1&lt;AL$1)*$AH55:$AO55)))</f>
        <v>0</v>
      </c>
      <c r="AV55" s="0" t="n">
        <f aca="false">MIN(AM55,MAX(0,$AP55-SUMPRODUCT(($AH$1:$AO$1&lt;AM$1)*$AH55:$AO55)))</f>
        <v>0</v>
      </c>
      <c r="AW55" s="0" t="n">
        <f aca="false">MIN(AN55,MAX(0,$AP55-SUMPRODUCT(($AH$1:$AO$1&lt;AN$1)*$AH55:$AO55)))</f>
        <v>0</v>
      </c>
      <c r="AX55" s="0" t="n">
        <f aca="false">MIN(AO55,MAX(0,$AP55-SUMPRODUCT(($AH$1:$AO$1&lt;AO$1)*$AH55:$AO55)))</f>
        <v>0</v>
      </c>
      <c r="AY55" s="0" t="n">
        <f aca="false">ROUND(AH55-AQ55,2)</f>
        <v>0</v>
      </c>
      <c r="AZ55" s="0" t="n">
        <f aca="false">ROUND(AI55-AR55,2)</f>
        <v>0</v>
      </c>
      <c r="BA55" s="0" t="n">
        <f aca="false">ROUND(AJ55-AS55,2)</f>
        <v>0</v>
      </c>
      <c r="BB55" s="0" t="n">
        <f aca="false">ROUND(AK55-AT55,2)</f>
        <v>0</v>
      </c>
      <c r="BC55" s="0" t="n">
        <f aca="false">ROUND(AL55-AU55,2)</f>
        <v>0</v>
      </c>
      <c r="BD55" s="0" t="n">
        <f aca="false">ROUND(AM55-AV55,2)</f>
        <v>0</v>
      </c>
      <c r="BE55" s="0" t="n">
        <f aca="false">ROUND(AN55-AW55,2)</f>
        <v>0</v>
      </c>
      <c r="BF55" s="0" t="n">
        <f aca="false">ROUND(AO55-AX55,2)</f>
        <v>0</v>
      </c>
      <c r="BG55" s="0" t="n">
        <f aca="false">SUM(AY55:BF55)</f>
        <v>0</v>
      </c>
    </row>
    <row r="56" customFormat="false" ht="15" hidden="false" customHeight="false" outlineLevel="0" collapsed="false">
      <c r="A56" s="0" t="n">
        <v>54</v>
      </c>
      <c r="B56" s="0" t="n">
        <f aca="false">AY55</f>
        <v>0</v>
      </c>
      <c r="C56" s="0" t="n">
        <f aca="false">AZ55</f>
        <v>0</v>
      </c>
      <c r="D56" s="0" t="n">
        <f aca="false">BA55</f>
        <v>0</v>
      </c>
      <c r="E56" s="0" t="n">
        <f aca="false">BB55</f>
        <v>0</v>
      </c>
      <c r="F56" s="0" t="n">
        <f aca="false">BC55</f>
        <v>0</v>
      </c>
      <c r="G56" s="0" t="n">
        <f aca="false">BD55</f>
        <v>0</v>
      </c>
      <c r="H56" s="0" t="n">
        <f aca="false">BE55</f>
        <v>0</v>
      </c>
      <c r="I56" s="0" t="n">
        <f aca="false">BF55</f>
        <v>0</v>
      </c>
      <c r="J56" s="0" t="n">
        <f aca="false">B56*N('Debt Payoff'!D9)/12</f>
        <v>0</v>
      </c>
      <c r="K56" s="0" t="n">
        <f aca="false">C56*N('Debt Payoff'!D10)/12</f>
        <v>0</v>
      </c>
      <c r="L56" s="0" t="n">
        <f aca="false">D56*N('Debt Payoff'!D11)/12</f>
        <v>0</v>
      </c>
      <c r="M56" s="0" t="n">
        <f aca="false">E56*N('Debt Payoff'!D12)/12</f>
        <v>0</v>
      </c>
      <c r="N56" s="0" t="n">
        <f aca="false">F56*N('Debt Payoff'!D13)/12</f>
        <v>0</v>
      </c>
      <c r="O56" s="0" t="n">
        <f aca="false">G56*N('Debt Payoff'!D14)/12</f>
        <v>0</v>
      </c>
      <c r="P56" s="0" t="n">
        <f aca="false">H56*N('Debt Payoff'!D15)/12</f>
        <v>0</v>
      </c>
      <c r="Q56" s="0" t="n">
        <f aca="false">I56*N('Debt Payoff'!D16)/12</f>
        <v>0</v>
      </c>
      <c r="R56" s="0" t="n">
        <f aca="false">B56+J56</f>
        <v>0</v>
      </c>
      <c r="S56" s="0" t="n">
        <f aca="false">C56+K56</f>
        <v>0</v>
      </c>
      <c r="T56" s="0" t="n">
        <f aca="false">D56+L56</f>
        <v>0</v>
      </c>
      <c r="U56" s="0" t="n">
        <f aca="false">E56+M56</f>
        <v>0</v>
      </c>
      <c r="V56" s="0" t="n">
        <f aca="false">F56+N56</f>
        <v>0</v>
      </c>
      <c r="W56" s="0" t="n">
        <f aca="false">G56+O56</f>
        <v>0</v>
      </c>
      <c r="X56" s="0" t="n">
        <f aca="false">H56+P56</f>
        <v>0</v>
      </c>
      <c r="Y56" s="0" t="n">
        <f aca="false">I56+Q56</f>
        <v>0</v>
      </c>
      <c r="Z56" s="0" t="n">
        <f aca="false">MIN(R56,N('Debt Payoff'!E9))</f>
        <v>0</v>
      </c>
      <c r="AA56" s="0" t="n">
        <f aca="false">MIN(S56,N('Debt Payoff'!E10))</f>
        <v>0</v>
      </c>
      <c r="AB56" s="0" t="n">
        <f aca="false">MIN(T56,N('Debt Payoff'!E11))</f>
        <v>0</v>
      </c>
      <c r="AC56" s="0" t="n">
        <f aca="false">MIN(U56,N('Debt Payoff'!E12))</f>
        <v>0</v>
      </c>
      <c r="AD56" s="0" t="n">
        <f aca="false">MIN(V56,N('Debt Payoff'!E13))</f>
        <v>0</v>
      </c>
      <c r="AE56" s="0" t="n">
        <f aca="false">MIN(W56,N('Debt Payoff'!E14))</f>
        <v>0</v>
      </c>
      <c r="AF56" s="0" t="n">
        <f aca="false">MIN(X56,N('Debt Payoff'!E15))</f>
        <v>0</v>
      </c>
      <c r="AG56" s="0" t="n">
        <f aca="false">MIN(Y56,N('Debt Payoff'!E16))</f>
        <v>0</v>
      </c>
      <c r="AH56" s="0" t="n">
        <f aca="false">R56-Z56</f>
        <v>0</v>
      </c>
      <c r="AI56" s="0" t="n">
        <f aca="false">S56-AA56</f>
        <v>0</v>
      </c>
      <c r="AJ56" s="0" t="n">
        <f aca="false">T56-AB56</f>
        <v>0</v>
      </c>
      <c r="AK56" s="0" t="n">
        <f aca="false">U56-AC56</f>
        <v>0</v>
      </c>
      <c r="AL56" s="0" t="n">
        <f aca="false">V56-AD56</f>
        <v>0</v>
      </c>
      <c r="AM56" s="0" t="n">
        <f aca="false">W56-AE56</f>
        <v>0</v>
      </c>
      <c r="AN56" s="0" t="n">
        <f aca="false">X56-AF56</f>
        <v>0</v>
      </c>
      <c r="AO56" s="0" t="n">
        <f aca="false">Y56-AG56</f>
        <v>0</v>
      </c>
      <c r="AP56" s="0" t="n">
        <f aca="false">MAX(0,'Debt Payoff'!$D$17-SUM(Z56:AG56))</f>
        <v>805</v>
      </c>
      <c r="AQ56" s="0" t="n">
        <f aca="false">MIN(AH56,MAX(0,$AP56-SUMPRODUCT(($AH$1:$AO$1&lt;AH$1)*$AH56:$AO56)))</f>
        <v>0</v>
      </c>
      <c r="AR56" s="0" t="n">
        <f aca="false">MIN(AI56,MAX(0,$AP56-SUMPRODUCT(($AH$1:$AO$1&lt;AI$1)*$AH56:$AO56)))</f>
        <v>0</v>
      </c>
      <c r="AS56" s="0" t="n">
        <f aca="false">MIN(AJ56,MAX(0,$AP56-SUMPRODUCT(($AH$1:$AO$1&lt;AJ$1)*$AH56:$AO56)))</f>
        <v>0</v>
      </c>
      <c r="AT56" s="0" t="n">
        <f aca="false">MIN(AK56,MAX(0,$AP56-SUMPRODUCT(($AH$1:$AO$1&lt;AK$1)*$AH56:$AO56)))</f>
        <v>0</v>
      </c>
      <c r="AU56" s="0" t="n">
        <f aca="false">MIN(AL56,MAX(0,$AP56-SUMPRODUCT(($AH$1:$AO$1&lt;AL$1)*$AH56:$AO56)))</f>
        <v>0</v>
      </c>
      <c r="AV56" s="0" t="n">
        <f aca="false">MIN(AM56,MAX(0,$AP56-SUMPRODUCT(($AH$1:$AO$1&lt;AM$1)*$AH56:$AO56)))</f>
        <v>0</v>
      </c>
      <c r="AW56" s="0" t="n">
        <f aca="false">MIN(AN56,MAX(0,$AP56-SUMPRODUCT(($AH$1:$AO$1&lt;AN$1)*$AH56:$AO56)))</f>
        <v>0</v>
      </c>
      <c r="AX56" s="0" t="n">
        <f aca="false">MIN(AO56,MAX(0,$AP56-SUMPRODUCT(($AH$1:$AO$1&lt;AO$1)*$AH56:$AO56)))</f>
        <v>0</v>
      </c>
      <c r="AY56" s="0" t="n">
        <f aca="false">ROUND(AH56-AQ56,2)</f>
        <v>0</v>
      </c>
      <c r="AZ56" s="0" t="n">
        <f aca="false">ROUND(AI56-AR56,2)</f>
        <v>0</v>
      </c>
      <c r="BA56" s="0" t="n">
        <f aca="false">ROUND(AJ56-AS56,2)</f>
        <v>0</v>
      </c>
      <c r="BB56" s="0" t="n">
        <f aca="false">ROUND(AK56-AT56,2)</f>
        <v>0</v>
      </c>
      <c r="BC56" s="0" t="n">
        <f aca="false">ROUND(AL56-AU56,2)</f>
        <v>0</v>
      </c>
      <c r="BD56" s="0" t="n">
        <f aca="false">ROUND(AM56-AV56,2)</f>
        <v>0</v>
      </c>
      <c r="BE56" s="0" t="n">
        <f aca="false">ROUND(AN56-AW56,2)</f>
        <v>0</v>
      </c>
      <c r="BF56" s="0" t="n">
        <f aca="false">ROUND(AO56-AX56,2)</f>
        <v>0</v>
      </c>
      <c r="BG56" s="0" t="n">
        <f aca="false">SUM(AY56:BF56)</f>
        <v>0</v>
      </c>
    </row>
    <row r="57" customFormat="false" ht="15" hidden="false" customHeight="false" outlineLevel="0" collapsed="false">
      <c r="A57" s="0" t="n">
        <v>55</v>
      </c>
      <c r="B57" s="0" t="n">
        <f aca="false">AY56</f>
        <v>0</v>
      </c>
      <c r="C57" s="0" t="n">
        <f aca="false">AZ56</f>
        <v>0</v>
      </c>
      <c r="D57" s="0" t="n">
        <f aca="false">BA56</f>
        <v>0</v>
      </c>
      <c r="E57" s="0" t="n">
        <f aca="false">BB56</f>
        <v>0</v>
      </c>
      <c r="F57" s="0" t="n">
        <f aca="false">BC56</f>
        <v>0</v>
      </c>
      <c r="G57" s="0" t="n">
        <f aca="false">BD56</f>
        <v>0</v>
      </c>
      <c r="H57" s="0" t="n">
        <f aca="false">BE56</f>
        <v>0</v>
      </c>
      <c r="I57" s="0" t="n">
        <f aca="false">BF56</f>
        <v>0</v>
      </c>
      <c r="J57" s="0" t="n">
        <f aca="false">B57*N('Debt Payoff'!D9)/12</f>
        <v>0</v>
      </c>
      <c r="K57" s="0" t="n">
        <f aca="false">C57*N('Debt Payoff'!D10)/12</f>
        <v>0</v>
      </c>
      <c r="L57" s="0" t="n">
        <f aca="false">D57*N('Debt Payoff'!D11)/12</f>
        <v>0</v>
      </c>
      <c r="M57" s="0" t="n">
        <f aca="false">E57*N('Debt Payoff'!D12)/12</f>
        <v>0</v>
      </c>
      <c r="N57" s="0" t="n">
        <f aca="false">F57*N('Debt Payoff'!D13)/12</f>
        <v>0</v>
      </c>
      <c r="O57" s="0" t="n">
        <f aca="false">G57*N('Debt Payoff'!D14)/12</f>
        <v>0</v>
      </c>
      <c r="P57" s="0" t="n">
        <f aca="false">H57*N('Debt Payoff'!D15)/12</f>
        <v>0</v>
      </c>
      <c r="Q57" s="0" t="n">
        <f aca="false">I57*N('Debt Payoff'!D16)/12</f>
        <v>0</v>
      </c>
      <c r="R57" s="0" t="n">
        <f aca="false">B57+J57</f>
        <v>0</v>
      </c>
      <c r="S57" s="0" t="n">
        <f aca="false">C57+K57</f>
        <v>0</v>
      </c>
      <c r="T57" s="0" t="n">
        <f aca="false">D57+L57</f>
        <v>0</v>
      </c>
      <c r="U57" s="0" t="n">
        <f aca="false">E57+M57</f>
        <v>0</v>
      </c>
      <c r="V57" s="0" t="n">
        <f aca="false">F57+N57</f>
        <v>0</v>
      </c>
      <c r="W57" s="0" t="n">
        <f aca="false">G57+O57</f>
        <v>0</v>
      </c>
      <c r="X57" s="0" t="n">
        <f aca="false">H57+P57</f>
        <v>0</v>
      </c>
      <c r="Y57" s="0" t="n">
        <f aca="false">I57+Q57</f>
        <v>0</v>
      </c>
      <c r="Z57" s="0" t="n">
        <f aca="false">MIN(R57,N('Debt Payoff'!E9))</f>
        <v>0</v>
      </c>
      <c r="AA57" s="0" t="n">
        <f aca="false">MIN(S57,N('Debt Payoff'!E10))</f>
        <v>0</v>
      </c>
      <c r="AB57" s="0" t="n">
        <f aca="false">MIN(T57,N('Debt Payoff'!E11))</f>
        <v>0</v>
      </c>
      <c r="AC57" s="0" t="n">
        <f aca="false">MIN(U57,N('Debt Payoff'!E12))</f>
        <v>0</v>
      </c>
      <c r="AD57" s="0" t="n">
        <f aca="false">MIN(V57,N('Debt Payoff'!E13))</f>
        <v>0</v>
      </c>
      <c r="AE57" s="0" t="n">
        <f aca="false">MIN(W57,N('Debt Payoff'!E14))</f>
        <v>0</v>
      </c>
      <c r="AF57" s="0" t="n">
        <f aca="false">MIN(X57,N('Debt Payoff'!E15))</f>
        <v>0</v>
      </c>
      <c r="AG57" s="0" t="n">
        <f aca="false">MIN(Y57,N('Debt Payoff'!E16))</f>
        <v>0</v>
      </c>
      <c r="AH57" s="0" t="n">
        <f aca="false">R57-Z57</f>
        <v>0</v>
      </c>
      <c r="AI57" s="0" t="n">
        <f aca="false">S57-AA57</f>
        <v>0</v>
      </c>
      <c r="AJ57" s="0" t="n">
        <f aca="false">T57-AB57</f>
        <v>0</v>
      </c>
      <c r="AK57" s="0" t="n">
        <f aca="false">U57-AC57</f>
        <v>0</v>
      </c>
      <c r="AL57" s="0" t="n">
        <f aca="false">V57-AD57</f>
        <v>0</v>
      </c>
      <c r="AM57" s="0" t="n">
        <f aca="false">W57-AE57</f>
        <v>0</v>
      </c>
      <c r="AN57" s="0" t="n">
        <f aca="false">X57-AF57</f>
        <v>0</v>
      </c>
      <c r="AO57" s="0" t="n">
        <f aca="false">Y57-AG57</f>
        <v>0</v>
      </c>
      <c r="AP57" s="0" t="n">
        <f aca="false">MAX(0,'Debt Payoff'!$D$17-SUM(Z57:AG57))</f>
        <v>805</v>
      </c>
      <c r="AQ57" s="0" t="n">
        <f aca="false">MIN(AH57,MAX(0,$AP57-SUMPRODUCT(($AH$1:$AO$1&lt;AH$1)*$AH57:$AO57)))</f>
        <v>0</v>
      </c>
      <c r="AR57" s="0" t="n">
        <f aca="false">MIN(AI57,MAX(0,$AP57-SUMPRODUCT(($AH$1:$AO$1&lt;AI$1)*$AH57:$AO57)))</f>
        <v>0</v>
      </c>
      <c r="AS57" s="0" t="n">
        <f aca="false">MIN(AJ57,MAX(0,$AP57-SUMPRODUCT(($AH$1:$AO$1&lt;AJ$1)*$AH57:$AO57)))</f>
        <v>0</v>
      </c>
      <c r="AT57" s="0" t="n">
        <f aca="false">MIN(AK57,MAX(0,$AP57-SUMPRODUCT(($AH$1:$AO$1&lt;AK$1)*$AH57:$AO57)))</f>
        <v>0</v>
      </c>
      <c r="AU57" s="0" t="n">
        <f aca="false">MIN(AL57,MAX(0,$AP57-SUMPRODUCT(($AH$1:$AO$1&lt;AL$1)*$AH57:$AO57)))</f>
        <v>0</v>
      </c>
      <c r="AV57" s="0" t="n">
        <f aca="false">MIN(AM57,MAX(0,$AP57-SUMPRODUCT(($AH$1:$AO$1&lt;AM$1)*$AH57:$AO57)))</f>
        <v>0</v>
      </c>
      <c r="AW57" s="0" t="n">
        <f aca="false">MIN(AN57,MAX(0,$AP57-SUMPRODUCT(($AH$1:$AO$1&lt;AN$1)*$AH57:$AO57)))</f>
        <v>0</v>
      </c>
      <c r="AX57" s="0" t="n">
        <f aca="false">MIN(AO57,MAX(0,$AP57-SUMPRODUCT(($AH$1:$AO$1&lt;AO$1)*$AH57:$AO57)))</f>
        <v>0</v>
      </c>
      <c r="AY57" s="0" t="n">
        <f aca="false">ROUND(AH57-AQ57,2)</f>
        <v>0</v>
      </c>
      <c r="AZ57" s="0" t="n">
        <f aca="false">ROUND(AI57-AR57,2)</f>
        <v>0</v>
      </c>
      <c r="BA57" s="0" t="n">
        <f aca="false">ROUND(AJ57-AS57,2)</f>
        <v>0</v>
      </c>
      <c r="BB57" s="0" t="n">
        <f aca="false">ROUND(AK57-AT57,2)</f>
        <v>0</v>
      </c>
      <c r="BC57" s="0" t="n">
        <f aca="false">ROUND(AL57-AU57,2)</f>
        <v>0</v>
      </c>
      <c r="BD57" s="0" t="n">
        <f aca="false">ROUND(AM57-AV57,2)</f>
        <v>0</v>
      </c>
      <c r="BE57" s="0" t="n">
        <f aca="false">ROUND(AN57-AW57,2)</f>
        <v>0</v>
      </c>
      <c r="BF57" s="0" t="n">
        <f aca="false">ROUND(AO57-AX57,2)</f>
        <v>0</v>
      </c>
      <c r="BG57" s="0" t="n">
        <f aca="false">SUM(AY57:BF57)</f>
        <v>0</v>
      </c>
    </row>
    <row r="58" customFormat="false" ht="15" hidden="false" customHeight="false" outlineLevel="0" collapsed="false">
      <c r="A58" s="0" t="n">
        <v>56</v>
      </c>
      <c r="B58" s="0" t="n">
        <f aca="false">AY57</f>
        <v>0</v>
      </c>
      <c r="C58" s="0" t="n">
        <f aca="false">AZ57</f>
        <v>0</v>
      </c>
      <c r="D58" s="0" t="n">
        <f aca="false">BA57</f>
        <v>0</v>
      </c>
      <c r="E58" s="0" t="n">
        <f aca="false">BB57</f>
        <v>0</v>
      </c>
      <c r="F58" s="0" t="n">
        <f aca="false">BC57</f>
        <v>0</v>
      </c>
      <c r="G58" s="0" t="n">
        <f aca="false">BD57</f>
        <v>0</v>
      </c>
      <c r="H58" s="0" t="n">
        <f aca="false">BE57</f>
        <v>0</v>
      </c>
      <c r="I58" s="0" t="n">
        <f aca="false">BF57</f>
        <v>0</v>
      </c>
      <c r="J58" s="0" t="n">
        <f aca="false">B58*N('Debt Payoff'!D9)/12</f>
        <v>0</v>
      </c>
      <c r="K58" s="0" t="n">
        <f aca="false">C58*N('Debt Payoff'!D10)/12</f>
        <v>0</v>
      </c>
      <c r="L58" s="0" t="n">
        <f aca="false">D58*N('Debt Payoff'!D11)/12</f>
        <v>0</v>
      </c>
      <c r="M58" s="0" t="n">
        <f aca="false">E58*N('Debt Payoff'!D12)/12</f>
        <v>0</v>
      </c>
      <c r="N58" s="0" t="n">
        <f aca="false">F58*N('Debt Payoff'!D13)/12</f>
        <v>0</v>
      </c>
      <c r="O58" s="0" t="n">
        <f aca="false">G58*N('Debt Payoff'!D14)/12</f>
        <v>0</v>
      </c>
      <c r="P58" s="0" t="n">
        <f aca="false">H58*N('Debt Payoff'!D15)/12</f>
        <v>0</v>
      </c>
      <c r="Q58" s="0" t="n">
        <f aca="false">I58*N('Debt Payoff'!D16)/12</f>
        <v>0</v>
      </c>
      <c r="R58" s="0" t="n">
        <f aca="false">B58+J58</f>
        <v>0</v>
      </c>
      <c r="S58" s="0" t="n">
        <f aca="false">C58+K58</f>
        <v>0</v>
      </c>
      <c r="T58" s="0" t="n">
        <f aca="false">D58+L58</f>
        <v>0</v>
      </c>
      <c r="U58" s="0" t="n">
        <f aca="false">E58+M58</f>
        <v>0</v>
      </c>
      <c r="V58" s="0" t="n">
        <f aca="false">F58+N58</f>
        <v>0</v>
      </c>
      <c r="W58" s="0" t="n">
        <f aca="false">G58+O58</f>
        <v>0</v>
      </c>
      <c r="X58" s="0" t="n">
        <f aca="false">H58+P58</f>
        <v>0</v>
      </c>
      <c r="Y58" s="0" t="n">
        <f aca="false">I58+Q58</f>
        <v>0</v>
      </c>
      <c r="Z58" s="0" t="n">
        <f aca="false">MIN(R58,N('Debt Payoff'!E9))</f>
        <v>0</v>
      </c>
      <c r="AA58" s="0" t="n">
        <f aca="false">MIN(S58,N('Debt Payoff'!E10))</f>
        <v>0</v>
      </c>
      <c r="AB58" s="0" t="n">
        <f aca="false">MIN(T58,N('Debt Payoff'!E11))</f>
        <v>0</v>
      </c>
      <c r="AC58" s="0" t="n">
        <f aca="false">MIN(U58,N('Debt Payoff'!E12))</f>
        <v>0</v>
      </c>
      <c r="AD58" s="0" t="n">
        <f aca="false">MIN(V58,N('Debt Payoff'!E13))</f>
        <v>0</v>
      </c>
      <c r="AE58" s="0" t="n">
        <f aca="false">MIN(W58,N('Debt Payoff'!E14))</f>
        <v>0</v>
      </c>
      <c r="AF58" s="0" t="n">
        <f aca="false">MIN(X58,N('Debt Payoff'!E15))</f>
        <v>0</v>
      </c>
      <c r="AG58" s="0" t="n">
        <f aca="false">MIN(Y58,N('Debt Payoff'!E16))</f>
        <v>0</v>
      </c>
      <c r="AH58" s="0" t="n">
        <f aca="false">R58-Z58</f>
        <v>0</v>
      </c>
      <c r="AI58" s="0" t="n">
        <f aca="false">S58-AA58</f>
        <v>0</v>
      </c>
      <c r="AJ58" s="0" t="n">
        <f aca="false">T58-AB58</f>
        <v>0</v>
      </c>
      <c r="AK58" s="0" t="n">
        <f aca="false">U58-AC58</f>
        <v>0</v>
      </c>
      <c r="AL58" s="0" t="n">
        <f aca="false">V58-AD58</f>
        <v>0</v>
      </c>
      <c r="AM58" s="0" t="n">
        <f aca="false">W58-AE58</f>
        <v>0</v>
      </c>
      <c r="AN58" s="0" t="n">
        <f aca="false">X58-AF58</f>
        <v>0</v>
      </c>
      <c r="AO58" s="0" t="n">
        <f aca="false">Y58-AG58</f>
        <v>0</v>
      </c>
      <c r="AP58" s="0" t="n">
        <f aca="false">MAX(0,'Debt Payoff'!$D$17-SUM(Z58:AG58))</f>
        <v>805</v>
      </c>
      <c r="AQ58" s="0" t="n">
        <f aca="false">MIN(AH58,MAX(0,$AP58-SUMPRODUCT(($AH$1:$AO$1&lt;AH$1)*$AH58:$AO58)))</f>
        <v>0</v>
      </c>
      <c r="AR58" s="0" t="n">
        <f aca="false">MIN(AI58,MAX(0,$AP58-SUMPRODUCT(($AH$1:$AO$1&lt;AI$1)*$AH58:$AO58)))</f>
        <v>0</v>
      </c>
      <c r="AS58" s="0" t="n">
        <f aca="false">MIN(AJ58,MAX(0,$AP58-SUMPRODUCT(($AH$1:$AO$1&lt;AJ$1)*$AH58:$AO58)))</f>
        <v>0</v>
      </c>
      <c r="AT58" s="0" t="n">
        <f aca="false">MIN(AK58,MAX(0,$AP58-SUMPRODUCT(($AH$1:$AO$1&lt;AK$1)*$AH58:$AO58)))</f>
        <v>0</v>
      </c>
      <c r="AU58" s="0" t="n">
        <f aca="false">MIN(AL58,MAX(0,$AP58-SUMPRODUCT(($AH$1:$AO$1&lt;AL$1)*$AH58:$AO58)))</f>
        <v>0</v>
      </c>
      <c r="AV58" s="0" t="n">
        <f aca="false">MIN(AM58,MAX(0,$AP58-SUMPRODUCT(($AH$1:$AO$1&lt;AM$1)*$AH58:$AO58)))</f>
        <v>0</v>
      </c>
      <c r="AW58" s="0" t="n">
        <f aca="false">MIN(AN58,MAX(0,$AP58-SUMPRODUCT(($AH$1:$AO$1&lt;AN$1)*$AH58:$AO58)))</f>
        <v>0</v>
      </c>
      <c r="AX58" s="0" t="n">
        <f aca="false">MIN(AO58,MAX(0,$AP58-SUMPRODUCT(($AH$1:$AO$1&lt;AO$1)*$AH58:$AO58)))</f>
        <v>0</v>
      </c>
      <c r="AY58" s="0" t="n">
        <f aca="false">ROUND(AH58-AQ58,2)</f>
        <v>0</v>
      </c>
      <c r="AZ58" s="0" t="n">
        <f aca="false">ROUND(AI58-AR58,2)</f>
        <v>0</v>
      </c>
      <c r="BA58" s="0" t="n">
        <f aca="false">ROUND(AJ58-AS58,2)</f>
        <v>0</v>
      </c>
      <c r="BB58" s="0" t="n">
        <f aca="false">ROUND(AK58-AT58,2)</f>
        <v>0</v>
      </c>
      <c r="BC58" s="0" t="n">
        <f aca="false">ROUND(AL58-AU58,2)</f>
        <v>0</v>
      </c>
      <c r="BD58" s="0" t="n">
        <f aca="false">ROUND(AM58-AV58,2)</f>
        <v>0</v>
      </c>
      <c r="BE58" s="0" t="n">
        <f aca="false">ROUND(AN58-AW58,2)</f>
        <v>0</v>
      </c>
      <c r="BF58" s="0" t="n">
        <f aca="false">ROUND(AO58-AX58,2)</f>
        <v>0</v>
      </c>
      <c r="BG58" s="0" t="n">
        <f aca="false">SUM(AY58:BF58)</f>
        <v>0</v>
      </c>
    </row>
    <row r="59" customFormat="false" ht="15" hidden="false" customHeight="false" outlineLevel="0" collapsed="false">
      <c r="A59" s="0" t="n">
        <v>57</v>
      </c>
      <c r="B59" s="0" t="n">
        <f aca="false">AY58</f>
        <v>0</v>
      </c>
      <c r="C59" s="0" t="n">
        <f aca="false">AZ58</f>
        <v>0</v>
      </c>
      <c r="D59" s="0" t="n">
        <f aca="false">BA58</f>
        <v>0</v>
      </c>
      <c r="E59" s="0" t="n">
        <f aca="false">BB58</f>
        <v>0</v>
      </c>
      <c r="F59" s="0" t="n">
        <f aca="false">BC58</f>
        <v>0</v>
      </c>
      <c r="G59" s="0" t="n">
        <f aca="false">BD58</f>
        <v>0</v>
      </c>
      <c r="H59" s="0" t="n">
        <f aca="false">BE58</f>
        <v>0</v>
      </c>
      <c r="I59" s="0" t="n">
        <f aca="false">BF58</f>
        <v>0</v>
      </c>
      <c r="J59" s="0" t="n">
        <f aca="false">B59*N('Debt Payoff'!D9)/12</f>
        <v>0</v>
      </c>
      <c r="K59" s="0" t="n">
        <f aca="false">C59*N('Debt Payoff'!D10)/12</f>
        <v>0</v>
      </c>
      <c r="L59" s="0" t="n">
        <f aca="false">D59*N('Debt Payoff'!D11)/12</f>
        <v>0</v>
      </c>
      <c r="M59" s="0" t="n">
        <f aca="false">E59*N('Debt Payoff'!D12)/12</f>
        <v>0</v>
      </c>
      <c r="N59" s="0" t="n">
        <f aca="false">F59*N('Debt Payoff'!D13)/12</f>
        <v>0</v>
      </c>
      <c r="O59" s="0" t="n">
        <f aca="false">G59*N('Debt Payoff'!D14)/12</f>
        <v>0</v>
      </c>
      <c r="P59" s="0" t="n">
        <f aca="false">H59*N('Debt Payoff'!D15)/12</f>
        <v>0</v>
      </c>
      <c r="Q59" s="0" t="n">
        <f aca="false">I59*N('Debt Payoff'!D16)/12</f>
        <v>0</v>
      </c>
      <c r="R59" s="0" t="n">
        <f aca="false">B59+J59</f>
        <v>0</v>
      </c>
      <c r="S59" s="0" t="n">
        <f aca="false">C59+K59</f>
        <v>0</v>
      </c>
      <c r="T59" s="0" t="n">
        <f aca="false">D59+L59</f>
        <v>0</v>
      </c>
      <c r="U59" s="0" t="n">
        <f aca="false">E59+M59</f>
        <v>0</v>
      </c>
      <c r="V59" s="0" t="n">
        <f aca="false">F59+N59</f>
        <v>0</v>
      </c>
      <c r="W59" s="0" t="n">
        <f aca="false">G59+O59</f>
        <v>0</v>
      </c>
      <c r="X59" s="0" t="n">
        <f aca="false">H59+P59</f>
        <v>0</v>
      </c>
      <c r="Y59" s="0" t="n">
        <f aca="false">I59+Q59</f>
        <v>0</v>
      </c>
      <c r="Z59" s="0" t="n">
        <f aca="false">MIN(R59,N('Debt Payoff'!E9))</f>
        <v>0</v>
      </c>
      <c r="AA59" s="0" t="n">
        <f aca="false">MIN(S59,N('Debt Payoff'!E10))</f>
        <v>0</v>
      </c>
      <c r="AB59" s="0" t="n">
        <f aca="false">MIN(T59,N('Debt Payoff'!E11))</f>
        <v>0</v>
      </c>
      <c r="AC59" s="0" t="n">
        <f aca="false">MIN(U59,N('Debt Payoff'!E12))</f>
        <v>0</v>
      </c>
      <c r="AD59" s="0" t="n">
        <f aca="false">MIN(V59,N('Debt Payoff'!E13))</f>
        <v>0</v>
      </c>
      <c r="AE59" s="0" t="n">
        <f aca="false">MIN(W59,N('Debt Payoff'!E14))</f>
        <v>0</v>
      </c>
      <c r="AF59" s="0" t="n">
        <f aca="false">MIN(X59,N('Debt Payoff'!E15))</f>
        <v>0</v>
      </c>
      <c r="AG59" s="0" t="n">
        <f aca="false">MIN(Y59,N('Debt Payoff'!E16))</f>
        <v>0</v>
      </c>
      <c r="AH59" s="0" t="n">
        <f aca="false">R59-Z59</f>
        <v>0</v>
      </c>
      <c r="AI59" s="0" t="n">
        <f aca="false">S59-AA59</f>
        <v>0</v>
      </c>
      <c r="AJ59" s="0" t="n">
        <f aca="false">T59-AB59</f>
        <v>0</v>
      </c>
      <c r="AK59" s="0" t="n">
        <f aca="false">U59-AC59</f>
        <v>0</v>
      </c>
      <c r="AL59" s="0" t="n">
        <f aca="false">V59-AD59</f>
        <v>0</v>
      </c>
      <c r="AM59" s="0" t="n">
        <f aca="false">W59-AE59</f>
        <v>0</v>
      </c>
      <c r="AN59" s="0" t="n">
        <f aca="false">X59-AF59</f>
        <v>0</v>
      </c>
      <c r="AO59" s="0" t="n">
        <f aca="false">Y59-AG59</f>
        <v>0</v>
      </c>
      <c r="AP59" s="0" t="n">
        <f aca="false">MAX(0,'Debt Payoff'!$D$17-SUM(Z59:AG59))</f>
        <v>805</v>
      </c>
      <c r="AQ59" s="0" t="n">
        <f aca="false">MIN(AH59,MAX(0,$AP59-SUMPRODUCT(($AH$1:$AO$1&lt;AH$1)*$AH59:$AO59)))</f>
        <v>0</v>
      </c>
      <c r="AR59" s="0" t="n">
        <f aca="false">MIN(AI59,MAX(0,$AP59-SUMPRODUCT(($AH$1:$AO$1&lt;AI$1)*$AH59:$AO59)))</f>
        <v>0</v>
      </c>
      <c r="AS59" s="0" t="n">
        <f aca="false">MIN(AJ59,MAX(0,$AP59-SUMPRODUCT(($AH$1:$AO$1&lt;AJ$1)*$AH59:$AO59)))</f>
        <v>0</v>
      </c>
      <c r="AT59" s="0" t="n">
        <f aca="false">MIN(AK59,MAX(0,$AP59-SUMPRODUCT(($AH$1:$AO$1&lt;AK$1)*$AH59:$AO59)))</f>
        <v>0</v>
      </c>
      <c r="AU59" s="0" t="n">
        <f aca="false">MIN(AL59,MAX(0,$AP59-SUMPRODUCT(($AH$1:$AO$1&lt;AL$1)*$AH59:$AO59)))</f>
        <v>0</v>
      </c>
      <c r="AV59" s="0" t="n">
        <f aca="false">MIN(AM59,MAX(0,$AP59-SUMPRODUCT(($AH$1:$AO$1&lt;AM$1)*$AH59:$AO59)))</f>
        <v>0</v>
      </c>
      <c r="AW59" s="0" t="n">
        <f aca="false">MIN(AN59,MAX(0,$AP59-SUMPRODUCT(($AH$1:$AO$1&lt;AN$1)*$AH59:$AO59)))</f>
        <v>0</v>
      </c>
      <c r="AX59" s="0" t="n">
        <f aca="false">MIN(AO59,MAX(0,$AP59-SUMPRODUCT(($AH$1:$AO$1&lt;AO$1)*$AH59:$AO59)))</f>
        <v>0</v>
      </c>
      <c r="AY59" s="0" t="n">
        <f aca="false">ROUND(AH59-AQ59,2)</f>
        <v>0</v>
      </c>
      <c r="AZ59" s="0" t="n">
        <f aca="false">ROUND(AI59-AR59,2)</f>
        <v>0</v>
      </c>
      <c r="BA59" s="0" t="n">
        <f aca="false">ROUND(AJ59-AS59,2)</f>
        <v>0</v>
      </c>
      <c r="BB59" s="0" t="n">
        <f aca="false">ROUND(AK59-AT59,2)</f>
        <v>0</v>
      </c>
      <c r="BC59" s="0" t="n">
        <f aca="false">ROUND(AL59-AU59,2)</f>
        <v>0</v>
      </c>
      <c r="BD59" s="0" t="n">
        <f aca="false">ROUND(AM59-AV59,2)</f>
        <v>0</v>
      </c>
      <c r="BE59" s="0" t="n">
        <f aca="false">ROUND(AN59-AW59,2)</f>
        <v>0</v>
      </c>
      <c r="BF59" s="0" t="n">
        <f aca="false">ROUND(AO59-AX59,2)</f>
        <v>0</v>
      </c>
      <c r="BG59" s="0" t="n">
        <f aca="false">SUM(AY59:BF59)</f>
        <v>0</v>
      </c>
    </row>
    <row r="60" customFormat="false" ht="15" hidden="false" customHeight="false" outlineLevel="0" collapsed="false">
      <c r="A60" s="0" t="n">
        <v>58</v>
      </c>
      <c r="B60" s="0" t="n">
        <f aca="false">AY59</f>
        <v>0</v>
      </c>
      <c r="C60" s="0" t="n">
        <f aca="false">AZ59</f>
        <v>0</v>
      </c>
      <c r="D60" s="0" t="n">
        <f aca="false">BA59</f>
        <v>0</v>
      </c>
      <c r="E60" s="0" t="n">
        <f aca="false">BB59</f>
        <v>0</v>
      </c>
      <c r="F60" s="0" t="n">
        <f aca="false">BC59</f>
        <v>0</v>
      </c>
      <c r="G60" s="0" t="n">
        <f aca="false">BD59</f>
        <v>0</v>
      </c>
      <c r="H60" s="0" t="n">
        <f aca="false">BE59</f>
        <v>0</v>
      </c>
      <c r="I60" s="0" t="n">
        <f aca="false">BF59</f>
        <v>0</v>
      </c>
      <c r="J60" s="0" t="n">
        <f aca="false">B60*N('Debt Payoff'!D9)/12</f>
        <v>0</v>
      </c>
      <c r="K60" s="0" t="n">
        <f aca="false">C60*N('Debt Payoff'!D10)/12</f>
        <v>0</v>
      </c>
      <c r="L60" s="0" t="n">
        <f aca="false">D60*N('Debt Payoff'!D11)/12</f>
        <v>0</v>
      </c>
      <c r="M60" s="0" t="n">
        <f aca="false">E60*N('Debt Payoff'!D12)/12</f>
        <v>0</v>
      </c>
      <c r="N60" s="0" t="n">
        <f aca="false">F60*N('Debt Payoff'!D13)/12</f>
        <v>0</v>
      </c>
      <c r="O60" s="0" t="n">
        <f aca="false">G60*N('Debt Payoff'!D14)/12</f>
        <v>0</v>
      </c>
      <c r="P60" s="0" t="n">
        <f aca="false">H60*N('Debt Payoff'!D15)/12</f>
        <v>0</v>
      </c>
      <c r="Q60" s="0" t="n">
        <f aca="false">I60*N('Debt Payoff'!D16)/12</f>
        <v>0</v>
      </c>
      <c r="R60" s="0" t="n">
        <f aca="false">B60+J60</f>
        <v>0</v>
      </c>
      <c r="S60" s="0" t="n">
        <f aca="false">C60+K60</f>
        <v>0</v>
      </c>
      <c r="T60" s="0" t="n">
        <f aca="false">D60+L60</f>
        <v>0</v>
      </c>
      <c r="U60" s="0" t="n">
        <f aca="false">E60+M60</f>
        <v>0</v>
      </c>
      <c r="V60" s="0" t="n">
        <f aca="false">F60+N60</f>
        <v>0</v>
      </c>
      <c r="W60" s="0" t="n">
        <f aca="false">G60+O60</f>
        <v>0</v>
      </c>
      <c r="X60" s="0" t="n">
        <f aca="false">H60+P60</f>
        <v>0</v>
      </c>
      <c r="Y60" s="0" t="n">
        <f aca="false">I60+Q60</f>
        <v>0</v>
      </c>
      <c r="Z60" s="0" t="n">
        <f aca="false">MIN(R60,N('Debt Payoff'!E9))</f>
        <v>0</v>
      </c>
      <c r="AA60" s="0" t="n">
        <f aca="false">MIN(S60,N('Debt Payoff'!E10))</f>
        <v>0</v>
      </c>
      <c r="AB60" s="0" t="n">
        <f aca="false">MIN(T60,N('Debt Payoff'!E11))</f>
        <v>0</v>
      </c>
      <c r="AC60" s="0" t="n">
        <f aca="false">MIN(U60,N('Debt Payoff'!E12))</f>
        <v>0</v>
      </c>
      <c r="AD60" s="0" t="n">
        <f aca="false">MIN(V60,N('Debt Payoff'!E13))</f>
        <v>0</v>
      </c>
      <c r="AE60" s="0" t="n">
        <f aca="false">MIN(W60,N('Debt Payoff'!E14))</f>
        <v>0</v>
      </c>
      <c r="AF60" s="0" t="n">
        <f aca="false">MIN(X60,N('Debt Payoff'!E15))</f>
        <v>0</v>
      </c>
      <c r="AG60" s="0" t="n">
        <f aca="false">MIN(Y60,N('Debt Payoff'!E16))</f>
        <v>0</v>
      </c>
      <c r="AH60" s="0" t="n">
        <f aca="false">R60-Z60</f>
        <v>0</v>
      </c>
      <c r="AI60" s="0" t="n">
        <f aca="false">S60-AA60</f>
        <v>0</v>
      </c>
      <c r="AJ60" s="0" t="n">
        <f aca="false">T60-AB60</f>
        <v>0</v>
      </c>
      <c r="AK60" s="0" t="n">
        <f aca="false">U60-AC60</f>
        <v>0</v>
      </c>
      <c r="AL60" s="0" t="n">
        <f aca="false">V60-AD60</f>
        <v>0</v>
      </c>
      <c r="AM60" s="0" t="n">
        <f aca="false">W60-AE60</f>
        <v>0</v>
      </c>
      <c r="AN60" s="0" t="n">
        <f aca="false">X60-AF60</f>
        <v>0</v>
      </c>
      <c r="AO60" s="0" t="n">
        <f aca="false">Y60-AG60</f>
        <v>0</v>
      </c>
      <c r="AP60" s="0" t="n">
        <f aca="false">MAX(0,'Debt Payoff'!$D$17-SUM(Z60:AG60))</f>
        <v>805</v>
      </c>
      <c r="AQ60" s="0" t="n">
        <f aca="false">MIN(AH60,MAX(0,$AP60-SUMPRODUCT(($AH$1:$AO$1&lt;AH$1)*$AH60:$AO60)))</f>
        <v>0</v>
      </c>
      <c r="AR60" s="0" t="n">
        <f aca="false">MIN(AI60,MAX(0,$AP60-SUMPRODUCT(($AH$1:$AO$1&lt;AI$1)*$AH60:$AO60)))</f>
        <v>0</v>
      </c>
      <c r="AS60" s="0" t="n">
        <f aca="false">MIN(AJ60,MAX(0,$AP60-SUMPRODUCT(($AH$1:$AO$1&lt;AJ$1)*$AH60:$AO60)))</f>
        <v>0</v>
      </c>
      <c r="AT60" s="0" t="n">
        <f aca="false">MIN(AK60,MAX(0,$AP60-SUMPRODUCT(($AH$1:$AO$1&lt;AK$1)*$AH60:$AO60)))</f>
        <v>0</v>
      </c>
      <c r="AU60" s="0" t="n">
        <f aca="false">MIN(AL60,MAX(0,$AP60-SUMPRODUCT(($AH$1:$AO$1&lt;AL$1)*$AH60:$AO60)))</f>
        <v>0</v>
      </c>
      <c r="AV60" s="0" t="n">
        <f aca="false">MIN(AM60,MAX(0,$AP60-SUMPRODUCT(($AH$1:$AO$1&lt;AM$1)*$AH60:$AO60)))</f>
        <v>0</v>
      </c>
      <c r="AW60" s="0" t="n">
        <f aca="false">MIN(AN60,MAX(0,$AP60-SUMPRODUCT(($AH$1:$AO$1&lt;AN$1)*$AH60:$AO60)))</f>
        <v>0</v>
      </c>
      <c r="AX60" s="0" t="n">
        <f aca="false">MIN(AO60,MAX(0,$AP60-SUMPRODUCT(($AH$1:$AO$1&lt;AO$1)*$AH60:$AO60)))</f>
        <v>0</v>
      </c>
      <c r="AY60" s="0" t="n">
        <f aca="false">ROUND(AH60-AQ60,2)</f>
        <v>0</v>
      </c>
      <c r="AZ60" s="0" t="n">
        <f aca="false">ROUND(AI60-AR60,2)</f>
        <v>0</v>
      </c>
      <c r="BA60" s="0" t="n">
        <f aca="false">ROUND(AJ60-AS60,2)</f>
        <v>0</v>
      </c>
      <c r="BB60" s="0" t="n">
        <f aca="false">ROUND(AK60-AT60,2)</f>
        <v>0</v>
      </c>
      <c r="BC60" s="0" t="n">
        <f aca="false">ROUND(AL60-AU60,2)</f>
        <v>0</v>
      </c>
      <c r="BD60" s="0" t="n">
        <f aca="false">ROUND(AM60-AV60,2)</f>
        <v>0</v>
      </c>
      <c r="BE60" s="0" t="n">
        <f aca="false">ROUND(AN60-AW60,2)</f>
        <v>0</v>
      </c>
      <c r="BF60" s="0" t="n">
        <f aca="false">ROUND(AO60-AX60,2)</f>
        <v>0</v>
      </c>
      <c r="BG60" s="0" t="n">
        <f aca="false">SUM(AY60:BF60)</f>
        <v>0</v>
      </c>
    </row>
    <row r="61" customFormat="false" ht="15" hidden="false" customHeight="false" outlineLevel="0" collapsed="false">
      <c r="A61" s="0" t="n">
        <v>59</v>
      </c>
      <c r="B61" s="0" t="n">
        <f aca="false">AY60</f>
        <v>0</v>
      </c>
      <c r="C61" s="0" t="n">
        <f aca="false">AZ60</f>
        <v>0</v>
      </c>
      <c r="D61" s="0" t="n">
        <f aca="false">BA60</f>
        <v>0</v>
      </c>
      <c r="E61" s="0" t="n">
        <f aca="false">BB60</f>
        <v>0</v>
      </c>
      <c r="F61" s="0" t="n">
        <f aca="false">BC60</f>
        <v>0</v>
      </c>
      <c r="G61" s="0" t="n">
        <f aca="false">BD60</f>
        <v>0</v>
      </c>
      <c r="H61" s="0" t="n">
        <f aca="false">BE60</f>
        <v>0</v>
      </c>
      <c r="I61" s="0" t="n">
        <f aca="false">BF60</f>
        <v>0</v>
      </c>
      <c r="J61" s="0" t="n">
        <f aca="false">B61*N('Debt Payoff'!D9)/12</f>
        <v>0</v>
      </c>
      <c r="K61" s="0" t="n">
        <f aca="false">C61*N('Debt Payoff'!D10)/12</f>
        <v>0</v>
      </c>
      <c r="L61" s="0" t="n">
        <f aca="false">D61*N('Debt Payoff'!D11)/12</f>
        <v>0</v>
      </c>
      <c r="M61" s="0" t="n">
        <f aca="false">E61*N('Debt Payoff'!D12)/12</f>
        <v>0</v>
      </c>
      <c r="N61" s="0" t="n">
        <f aca="false">F61*N('Debt Payoff'!D13)/12</f>
        <v>0</v>
      </c>
      <c r="O61" s="0" t="n">
        <f aca="false">G61*N('Debt Payoff'!D14)/12</f>
        <v>0</v>
      </c>
      <c r="P61" s="0" t="n">
        <f aca="false">H61*N('Debt Payoff'!D15)/12</f>
        <v>0</v>
      </c>
      <c r="Q61" s="0" t="n">
        <f aca="false">I61*N('Debt Payoff'!D16)/12</f>
        <v>0</v>
      </c>
      <c r="R61" s="0" t="n">
        <f aca="false">B61+J61</f>
        <v>0</v>
      </c>
      <c r="S61" s="0" t="n">
        <f aca="false">C61+K61</f>
        <v>0</v>
      </c>
      <c r="T61" s="0" t="n">
        <f aca="false">D61+L61</f>
        <v>0</v>
      </c>
      <c r="U61" s="0" t="n">
        <f aca="false">E61+M61</f>
        <v>0</v>
      </c>
      <c r="V61" s="0" t="n">
        <f aca="false">F61+N61</f>
        <v>0</v>
      </c>
      <c r="W61" s="0" t="n">
        <f aca="false">G61+O61</f>
        <v>0</v>
      </c>
      <c r="X61" s="0" t="n">
        <f aca="false">H61+P61</f>
        <v>0</v>
      </c>
      <c r="Y61" s="0" t="n">
        <f aca="false">I61+Q61</f>
        <v>0</v>
      </c>
      <c r="Z61" s="0" t="n">
        <f aca="false">MIN(R61,N('Debt Payoff'!E9))</f>
        <v>0</v>
      </c>
      <c r="AA61" s="0" t="n">
        <f aca="false">MIN(S61,N('Debt Payoff'!E10))</f>
        <v>0</v>
      </c>
      <c r="AB61" s="0" t="n">
        <f aca="false">MIN(T61,N('Debt Payoff'!E11))</f>
        <v>0</v>
      </c>
      <c r="AC61" s="0" t="n">
        <f aca="false">MIN(U61,N('Debt Payoff'!E12))</f>
        <v>0</v>
      </c>
      <c r="AD61" s="0" t="n">
        <f aca="false">MIN(V61,N('Debt Payoff'!E13))</f>
        <v>0</v>
      </c>
      <c r="AE61" s="0" t="n">
        <f aca="false">MIN(W61,N('Debt Payoff'!E14))</f>
        <v>0</v>
      </c>
      <c r="AF61" s="0" t="n">
        <f aca="false">MIN(X61,N('Debt Payoff'!E15))</f>
        <v>0</v>
      </c>
      <c r="AG61" s="0" t="n">
        <f aca="false">MIN(Y61,N('Debt Payoff'!E16))</f>
        <v>0</v>
      </c>
      <c r="AH61" s="0" t="n">
        <f aca="false">R61-Z61</f>
        <v>0</v>
      </c>
      <c r="AI61" s="0" t="n">
        <f aca="false">S61-AA61</f>
        <v>0</v>
      </c>
      <c r="AJ61" s="0" t="n">
        <f aca="false">T61-AB61</f>
        <v>0</v>
      </c>
      <c r="AK61" s="0" t="n">
        <f aca="false">U61-AC61</f>
        <v>0</v>
      </c>
      <c r="AL61" s="0" t="n">
        <f aca="false">V61-AD61</f>
        <v>0</v>
      </c>
      <c r="AM61" s="0" t="n">
        <f aca="false">W61-AE61</f>
        <v>0</v>
      </c>
      <c r="AN61" s="0" t="n">
        <f aca="false">X61-AF61</f>
        <v>0</v>
      </c>
      <c r="AO61" s="0" t="n">
        <f aca="false">Y61-AG61</f>
        <v>0</v>
      </c>
      <c r="AP61" s="0" t="n">
        <f aca="false">MAX(0,'Debt Payoff'!$D$17-SUM(Z61:AG61))</f>
        <v>805</v>
      </c>
      <c r="AQ61" s="0" t="n">
        <f aca="false">MIN(AH61,MAX(0,$AP61-SUMPRODUCT(($AH$1:$AO$1&lt;AH$1)*$AH61:$AO61)))</f>
        <v>0</v>
      </c>
      <c r="AR61" s="0" t="n">
        <f aca="false">MIN(AI61,MAX(0,$AP61-SUMPRODUCT(($AH$1:$AO$1&lt;AI$1)*$AH61:$AO61)))</f>
        <v>0</v>
      </c>
      <c r="AS61" s="0" t="n">
        <f aca="false">MIN(AJ61,MAX(0,$AP61-SUMPRODUCT(($AH$1:$AO$1&lt;AJ$1)*$AH61:$AO61)))</f>
        <v>0</v>
      </c>
      <c r="AT61" s="0" t="n">
        <f aca="false">MIN(AK61,MAX(0,$AP61-SUMPRODUCT(($AH$1:$AO$1&lt;AK$1)*$AH61:$AO61)))</f>
        <v>0</v>
      </c>
      <c r="AU61" s="0" t="n">
        <f aca="false">MIN(AL61,MAX(0,$AP61-SUMPRODUCT(($AH$1:$AO$1&lt;AL$1)*$AH61:$AO61)))</f>
        <v>0</v>
      </c>
      <c r="AV61" s="0" t="n">
        <f aca="false">MIN(AM61,MAX(0,$AP61-SUMPRODUCT(($AH$1:$AO$1&lt;AM$1)*$AH61:$AO61)))</f>
        <v>0</v>
      </c>
      <c r="AW61" s="0" t="n">
        <f aca="false">MIN(AN61,MAX(0,$AP61-SUMPRODUCT(($AH$1:$AO$1&lt;AN$1)*$AH61:$AO61)))</f>
        <v>0</v>
      </c>
      <c r="AX61" s="0" t="n">
        <f aca="false">MIN(AO61,MAX(0,$AP61-SUMPRODUCT(($AH$1:$AO$1&lt;AO$1)*$AH61:$AO61)))</f>
        <v>0</v>
      </c>
      <c r="AY61" s="0" t="n">
        <f aca="false">ROUND(AH61-AQ61,2)</f>
        <v>0</v>
      </c>
      <c r="AZ61" s="0" t="n">
        <f aca="false">ROUND(AI61-AR61,2)</f>
        <v>0</v>
      </c>
      <c r="BA61" s="0" t="n">
        <f aca="false">ROUND(AJ61-AS61,2)</f>
        <v>0</v>
      </c>
      <c r="BB61" s="0" t="n">
        <f aca="false">ROUND(AK61-AT61,2)</f>
        <v>0</v>
      </c>
      <c r="BC61" s="0" t="n">
        <f aca="false">ROUND(AL61-AU61,2)</f>
        <v>0</v>
      </c>
      <c r="BD61" s="0" t="n">
        <f aca="false">ROUND(AM61-AV61,2)</f>
        <v>0</v>
      </c>
      <c r="BE61" s="0" t="n">
        <f aca="false">ROUND(AN61-AW61,2)</f>
        <v>0</v>
      </c>
      <c r="BF61" s="0" t="n">
        <f aca="false">ROUND(AO61-AX61,2)</f>
        <v>0</v>
      </c>
      <c r="BG61" s="0" t="n">
        <f aca="false">SUM(AY61:BF61)</f>
        <v>0</v>
      </c>
    </row>
    <row r="62" customFormat="false" ht="15" hidden="false" customHeight="false" outlineLevel="0" collapsed="false">
      <c r="A62" s="0" t="n">
        <v>60</v>
      </c>
      <c r="B62" s="0" t="n">
        <f aca="false">AY61</f>
        <v>0</v>
      </c>
      <c r="C62" s="0" t="n">
        <f aca="false">AZ61</f>
        <v>0</v>
      </c>
      <c r="D62" s="0" t="n">
        <f aca="false">BA61</f>
        <v>0</v>
      </c>
      <c r="E62" s="0" t="n">
        <f aca="false">BB61</f>
        <v>0</v>
      </c>
      <c r="F62" s="0" t="n">
        <f aca="false">BC61</f>
        <v>0</v>
      </c>
      <c r="G62" s="0" t="n">
        <f aca="false">BD61</f>
        <v>0</v>
      </c>
      <c r="H62" s="0" t="n">
        <f aca="false">BE61</f>
        <v>0</v>
      </c>
      <c r="I62" s="0" t="n">
        <f aca="false">BF61</f>
        <v>0</v>
      </c>
      <c r="J62" s="0" t="n">
        <f aca="false">B62*N('Debt Payoff'!D9)/12</f>
        <v>0</v>
      </c>
      <c r="K62" s="0" t="n">
        <f aca="false">C62*N('Debt Payoff'!D10)/12</f>
        <v>0</v>
      </c>
      <c r="L62" s="0" t="n">
        <f aca="false">D62*N('Debt Payoff'!D11)/12</f>
        <v>0</v>
      </c>
      <c r="M62" s="0" t="n">
        <f aca="false">E62*N('Debt Payoff'!D12)/12</f>
        <v>0</v>
      </c>
      <c r="N62" s="0" t="n">
        <f aca="false">F62*N('Debt Payoff'!D13)/12</f>
        <v>0</v>
      </c>
      <c r="O62" s="0" t="n">
        <f aca="false">G62*N('Debt Payoff'!D14)/12</f>
        <v>0</v>
      </c>
      <c r="P62" s="0" t="n">
        <f aca="false">H62*N('Debt Payoff'!D15)/12</f>
        <v>0</v>
      </c>
      <c r="Q62" s="0" t="n">
        <f aca="false">I62*N('Debt Payoff'!D16)/12</f>
        <v>0</v>
      </c>
      <c r="R62" s="0" t="n">
        <f aca="false">B62+J62</f>
        <v>0</v>
      </c>
      <c r="S62" s="0" t="n">
        <f aca="false">C62+K62</f>
        <v>0</v>
      </c>
      <c r="T62" s="0" t="n">
        <f aca="false">D62+L62</f>
        <v>0</v>
      </c>
      <c r="U62" s="0" t="n">
        <f aca="false">E62+M62</f>
        <v>0</v>
      </c>
      <c r="V62" s="0" t="n">
        <f aca="false">F62+N62</f>
        <v>0</v>
      </c>
      <c r="W62" s="0" t="n">
        <f aca="false">G62+O62</f>
        <v>0</v>
      </c>
      <c r="X62" s="0" t="n">
        <f aca="false">H62+P62</f>
        <v>0</v>
      </c>
      <c r="Y62" s="0" t="n">
        <f aca="false">I62+Q62</f>
        <v>0</v>
      </c>
      <c r="Z62" s="0" t="n">
        <f aca="false">MIN(R62,N('Debt Payoff'!E9))</f>
        <v>0</v>
      </c>
      <c r="AA62" s="0" t="n">
        <f aca="false">MIN(S62,N('Debt Payoff'!E10))</f>
        <v>0</v>
      </c>
      <c r="AB62" s="0" t="n">
        <f aca="false">MIN(T62,N('Debt Payoff'!E11))</f>
        <v>0</v>
      </c>
      <c r="AC62" s="0" t="n">
        <f aca="false">MIN(U62,N('Debt Payoff'!E12))</f>
        <v>0</v>
      </c>
      <c r="AD62" s="0" t="n">
        <f aca="false">MIN(V62,N('Debt Payoff'!E13))</f>
        <v>0</v>
      </c>
      <c r="AE62" s="0" t="n">
        <f aca="false">MIN(W62,N('Debt Payoff'!E14))</f>
        <v>0</v>
      </c>
      <c r="AF62" s="0" t="n">
        <f aca="false">MIN(X62,N('Debt Payoff'!E15))</f>
        <v>0</v>
      </c>
      <c r="AG62" s="0" t="n">
        <f aca="false">MIN(Y62,N('Debt Payoff'!E16))</f>
        <v>0</v>
      </c>
      <c r="AH62" s="0" t="n">
        <f aca="false">R62-Z62</f>
        <v>0</v>
      </c>
      <c r="AI62" s="0" t="n">
        <f aca="false">S62-AA62</f>
        <v>0</v>
      </c>
      <c r="AJ62" s="0" t="n">
        <f aca="false">T62-AB62</f>
        <v>0</v>
      </c>
      <c r="AK62" s="0" t="n">
        <f aca="false">U62-AC62</f>
        <v>0</v>
      </c>
      <c r="AL62" s="0" t="n">
        <f aca="false">V62-AD62</f>
        <v>0</v>
      </c>
      <c r="AM62" s="0" t="n">
        <f aca="false">W62-AE62</f>
        <v>0</v>
      </c>
      <c r="AN62" s="0" t="n">
        <f aca="false">X62-AF62</f>
        <v>0</v>
      </c>
      <c r="AO62" s="0" t="n">
        <f aca="false">Y62-AG62</f>
        <v>0</v>
      </c>
      <c r="AP62" s="0" t="n">
        <f aca="false">MAX(0,'Debt Payoff'!$D$17-SUM(Z62:AG62))</f>
        <v>805</v>
      </c>
      <c r="AQ62" s="0" t="n">
        <f aca="false">MIN(AH62,MAX(0,$AP62-SUMPRODUCT(($AH$1:$AO$1&lt;AH$1)*$AH62:$AO62)))</f>
        <v>0</v>
      </c>
      <c r="AR62" s="0" t="n">
        <f aca="false">MIN(AI62,MAX(0,$AP62-SUMPRODUCT(($AH$1:$AO$1&lt;AI$1)*$AH62:$AO62)))</f>
        <v>0</v>
      </c>
      <c r="AS62" s="0" t="n">
        <f aca="false">MIN(AJ62,MAX(0,$AP62-SUMPRODUCT(($AH$1:$AO$1&lt;AJ$1)*$AH62:$AO62)))</f>
        <v>0</v>
      </c>
      <c r="AT62" s="0" t="n">
        <f aca="false">MIN(AK62,MAX(0,$AP62-SUMPRODUCT(($AH$1:$AO$1&lt;AK$1)*$AH62:$AO62)))</f>
        <v>0</v>
      </c>
      <c r="AU62" s="0" t="n">
        <f aca="false">MIN(AL62,MAX(0,$AP62-SUMPRODUCT(($AH$1:$AO$1&lt;AL$1)*$AH62:$AO62)))</f>
        <v>0</v>
      </c>
      <c r="AV62" s="0" t="n">
        <f aca="false">MIN(AM62,MAX(0,$AP62-SUMPRODUCT(($AH$1:$AO$1&lt;AM$1)*$AH62:$AO62)))</f>
        <v>0</v>
      </c>
      <c r="AW62" s="0" t="n">
        <f aca="false">MIN(AN62,MAX(0,$AP62-SUMPRODUCT(($AH$1:$AO$1&lt;AN$1)*$AH62:$AO62)))</f>
        <v>0</v>
      </c>
      <c r="AX62" s="0" t="n">
        <f aca="false">MIN(AO62,MAX(0,$AP62-SUMPRODUCT(($AH$1:$AO$1&lt;AO$1)*$AH62:$AO62)))</f>
        <v>0</v>
      </c>
      <c r="AY62" s="0" t="n">
        <f aca="false">ROUND(AH62-AQ62,2)</f>
        <v>0</v>
      </c>
      <c r="AZ62" s="0" t="n">
        <f aca="false">ROUND(AI62-AR62,2)</f>
        <v>0</v>
      </c>
      <c r="BA62" s="0" t="n">
        <f aca="false">ROUND(AJ62-AS62,2)</f>
        <v>0</v>
      </c>
      <c r="BB62" s="0" t="n">
        <f aca="false">ROUND(AK62-AT62,2)</f>
        <v>0</v>
      </c>
      <c r="BC62" s="0" t="n">
        <f aca="false">ROUND(AL62-AU62,2)</f>
        <v>0</v>
      </c>
      <c r="BD62" s="0" t="n">
        <f aca="false">ROUND(AM62-AV62,2)</f>
        <v>0</v>
      </c>
      <c r="BE62" s="0" t="n">
        <f aca="false">ROUND(AN62-AW62,2)</f>
        <v>0</v>
      </c>
      <c r="BF62" s="0" t="n">
        <f aca="false">ROUND(AO62-AX62,2)</f>
        <v>0</v>
      </c>
      <c r="BG62" s="0" t="n">
        <f aca="false">SUM(AY62:BF62)</f>
        <v>0</v>
      </c>
    </row>
    <row r="63" customFormat="false" ht="15" hidden="false" customHeight="false" outlineLevel="0" collapsed="false">
      <c r="A63" s="0" t="n">
        <v>61</v>
      </c>
      <c r="B63" s="0" t="n">
        <f aca="false">AY62</f>
        <v>0</v>
      </c>
      <c r="C63" s="0" t="n">
        <f aca="false">AZ62</f>
        <v>0</v>
      </c>
      <c r="D63" s="0" t="n">
        <f aca="false">BA62</f>
        <v>0</v>
      </c>
      <c r="E63" s="0" t="n">
        <f aca="false">BB62</f>
        <v>0</v>
      </c>
      <c r="F63" s="0" t="n">
        <f aca="false">BC62</f>
        <v>0</v>
      </c>
      <c r="G63" s="0" t="n">
        <f aca="false">BD62</f>
        <v>0</v>
      </c>
      <c r="H63" s="0" t="n">
        <f aca="false">BE62</f>
        <v>0</v>
      </c>
      <c r="I63" s="0" t="n">
        <f aca="false">BF62</f>
        <v>0</v>
      </c>
      <c r="J63" s="0" t="n">
        <f aca="false">B63*N('Debt Payoff'!D9)/12</f>
        <v>0</v>
      </c>
      <c r="K63" s="0" t="n">
        <f aca="false">C63*N('Debt Payoff'!D10)/12</f>
        <v>0</v>
      </c>
      <c r="L63" s="0" t="n">
        <f aca="false">D63*N('Debt Payoff'!D11)/12</f>
        <v>0</v>
      </c>
      <c r="M63" s="0" t="n">
        <f aca="false">E63*N('Debt Payoff'!D12)/12</f>
        <v>0</v>
      </c>
      <c r="N63" s="0" t="n">
        <f aca="false">F63*N('Debt Payoff'!D13)/12</f>
        <v>0</v>
      </c>
      <c r="O63" s="0" t="n">
        <f aca="false">G63*N('Debt Payoff'!D14)/12</f>
        <v>0</v>
      </c>
      <c r="P63" s="0" t="n">
        <f aca="false">H63*N('Debt Payoff'!D15)/12</f>
        <v>0</v>
      </c>
      <c r="Q63" s="0" t="n">
        <f aca="false">I63*N('Debt Payoff'!D16)/12</f>
        <v>0</v>
      </c>
      <c r="R63" s="0" t="n">
        <f aca="false">B63+J63</f>
        <v>0</v>
      </c>
      <c r="S63" s="0" t="n">
        <f aca="false">C63+K63</f>
        <v>0</v>
      </c>
      <c r="T63" s="0" t="n">
        <f aca="false">D63+L63</f>
        <v>0</v>
      </c>
      <c r="U63" s="0" t="n">
        <f aca="false">E63+M63</f>
        <v>0</v>
      </c>
      <c r="V63" s="0" t="n">
        <f aca="false">F63+N63</f>
        <v>0</v>
      </c>
      <c r="W63" s="0" t="n">
        <f aca="false">G63+O63</f>
        <v>0</v>
      </c>
      <c r="X63" s="0" t="n">
        <f aca="false">H63+P63</f>
        <v>0</v>
      </c>
      <c r="Y63" s="0" t="n">
        <f aca="false">I63+Q63</f>
        <v>0</v>
      </c>
      <c r="Z63" s="0" t="n">
        <f aca="false">MIN(R63,N('Debt Payoff'!E9))</f>
        <v>0</v>
      </c>
      <c r="AA63" s="0" t="n">
        <f aca="false">MIN(S63,N('Debt Payoff'!E10))</f>
        <v>0</v>
      </c>
      <c r="AB63" s="0" t="n">
        <f aca="false">MIN(T63,N('Debt Payoff'!E11))</f>
        <v>0</v>
      </c>
      <c r="AC63" s="0" t="n">
        <f aca="false">MIN(U63,N('Debt Payoff'!E12))</f>
        <v>0</v>
      </c>
      <c r="AD63" s="0" t="n">
        <f aca="false">MIN(V63,N('Debt Payoff'!E13))</f>
        <v>0</v>
      </c>
      <c r="AE63" s="0" t="n">
        <f aca="false">MIN(W63,N('Debt Payoff'!E14))</f>
        <v>0</v>
      </c>
      <c r="AF63" s="0" t="n">
        <f aca="false">MIN(X63,N('Debt Payoff'!E15))</f>
        <v>0</v>
      </c>
      <c r="AG63" s="0" t="n">
        <f aca="false">MIN(Y63,N('Debt Payoff'!E16))</f>
        <v>0</v>
      </c>
      <c r="AH63" s="0" t="n">
        <f aca="false">R63-Z63</f>
        <v>0</v>
      </c>
      <c r="AI63" s="0" t="n">
        <f aca="false">S63-AA63</f>
        <v>0</v>
      </c>
      <c r="AJ63" s="0" t="n">
        <f aca="false">T63-AB63</f>
        <v>0</v>
      </c>
      <c r="AK63" s="0" t="n">
        <f aca="false">U63-AC63</f>
        <v>0</v>
      </c>
      <c r="AL63" s="0" t="n">
        <f aca="false">V63-AD63</f>
        <v>0</v>
      </c>
      <c r="AM63" s="0" t="n">
        <f aca="false">W63-AE63</f>
        <v>0</v>
      </c>
      <c r="AN63" s="0" t="n">
        <f aca="false">X63-AF63</f>
        <v>0</v>
      </c>
      <c r="AO63" s="0" t="n">
        <f aca="false">Y63-AG63</f>
        <v>0</v>
      </c>
      <c r="AP63" s="0" t="n">
        <f aca="false">MAX(0,'Debt Payoff'!$D$17-SUM(Z63:AG63))</f>
        <v>805</v>
      </c>
      <c r="AQ63" s="0" t="n">
        <f aca="false">MIN(AH63,MAX(0,$AP63-SUMPRODUCT(($AH$1:$AO$1&lt;AH$1)*$AH63:$AO63)))</f>
        <v>0</v>
      </c>
      <c r="AR63" s="0" t="n">
        <f aca="false">MIN(AI63,MAX(0,$AP63-SUMPRODUCT(($AH$1:$AO$1&lt;AI$1)*$AH63:$AO63)))</f>
        <v>0</v>
      </c>
      <c r="AS63" s="0" t="n">
        <f aca="false">MIN(AJ63,MAX(0,$AP63-SUMPRODUCT(($AH$1:$AO$1&lt;AJ$1)*$AH63:$AO63)))</f>
        <v>0</v>
      </c>
      <c r="AT63" s="0" t="n">
        <f aca="false">MIN(AK63,MAX(0,$AP63-SUMPRODUCT(($AH$1:$AO$1&lt;AK$1)*$AH63:$AO63)))</f>
        <v>0</v>
      </c>
      <c r="AU63" s="0" t="n">
        <f aca="false">MIN(AL63,MAX(0,$AP63-SUMPRODUCT(($AH$1:$AO$1&lt;AL$1)*$AH63:$AO63)))</f>
        <v>0</v>
      </c>
      <c r="AV63" s="0" t="n">
        <f aca="false">MIN(AM63,MAX(0,$AP63-SUMPRODUCT(($AH$1:$AO$1&lt;AM$1)*$AH63:$AO63)))</f>
        <v>0</v>
      </c>
      <c r="AW63" s="0" t="n">
        <f aca="false">MIN(AN63,MAX(0,$AP63-SUMPRODUCT(($AH$1:$AO$1&lt;AN$1)*$AH63:$AO63)))</f>
        <v>0</v>
      </c>
      <c r="AX63" s="0" t="n">
        <f aca="false">MIN(AO63,MAX(0,$AP63-SUMPRODUCT(($AH$1:$AO$1&lt;AO$1)*$AH63:$AO63)))</f>
        <v>0</v>
      </c>
      <c r="AY63" s="0" t="n">
        <f aca="false">ROUND(AH63-AQ63,2)</f>
        <v>0</v>
      </c>
      <c r="AZ63" s="0" t="n">
        <f aca="false">ROUND(AI63-AR63,2)</f>
        <v>0</v>
      </c>
      <c r="BA63" s="0" t="n">
        <f aca="false">ROUND(AJ63-AS63,2)</f>
        <v>0</v>
      </c>
      <c r="BB63" s="0" t="n">
        <f aca="false">ROUND(AK63-AT63,2)</f>
        <v>0</v>
      </c>
      <c r="BC63" s="0" t="n">
        <f aca="false">ROUND(AL63-AU63,2)</f>
        <v>0</v>
      </c>
      <c r="BD63" s="0" t="n">
        <f aca="false">ROUND(AM63-AV63,2)</f>
        <v>0</v>
      </c>
      <c r="BE63" s="0" t="n">
        <f aca="false">ROUND(AN63-AW63,2)</f>
        <v>0</v>
      </c>
      <c r="BF63" s="0" t="n">
        <f aca="false">ROUND(AO63-AX63,2)</f>
        <v>0</v>
      </c>
      <c r="BG63" s="0" t="n">
        <f aca="false">SUM(AY63:BF63)</f>
        <v>0</v>
      </c>
    </row>
    <row r="64" customFormat="false" ht="15" hidden="false" customHeight="false" outlineLevel="0" collapsed="false">
      <c r="A64" s="0" t="n">
        <v>62</v>
      </c>
      <c r="B64" s="0" t="n">
        <f aca="false">AY63</f>
        <v>0</v>
      </c>
      <c r="C64" s="0" t="n">
        <f aca="false">AZ63</f>
        <v>0</v>
      </c>
      <c r="D64" s="0" t="n">
        <f aca="false">BA63</f>
        <v>0</v>
      </c>
      <c r="E64" s="0" t="n">
        <f aca="false">BB63</f>
        <v>0</v>
      </c>
      <c r="F64" s="0" t="n">
        <f aca="false">BC63</f>
        <v>0</v>
      </c>
      <c r="G64" s="0" t="n">
        <f aca="false">BD63</f>
        <v>0</v>
      </c>
      <c r="H64" s="0" t="n">
        <f aca="false">BE63</f>
        <v>0</v>
      </c>
      <c r="I64" s="0" t="n">
        <f aca="false">BF63</f>
        <v>0</v>
      </c>
      <c r="J64" s="0" t="n">
        <f aca="false">B64*N('Debt Payoff'!D9)/12</f>
        <v>0</v>
      </c>
      <c r="K64" s="0" t="n">
        <f aca="false">C64*N('Debt Payoff'!D10)/12</f>
        <v>0</v>
      </c>
      <c r="L64" s="0" t="n">
        <f aca="false">D64*N('Debt Payoff'!D11)/12</f>
        <v>0</v>
      </c>
      <c r="M64" s="0" t="n">
        <f aca="false">E64*N('Debt Payoff'!D12)/12</f>
        <v>0</v>
      </c>
      <c r="N64" s="0" t="n">
        <f aca="false">F64*N('Debt Payoff'!D13)/12</f>
        <v>0</v>
      </c>
      <c r="O64" s="0" t="n">
        <f aca="false">G64*N('Debt Payoff'!D14)/12</f>
        <v>0</v>
      </c>
      <c r="P64" s="0" t="n">
        <f aca="false">H64*N('Debt Payoff'!D15)/12</f>
        <v>0</v>
      </c>
      <c r="Q64" s="0" t="n">
        <f aca="false">I64*N('Debt Payoff'!D16)/12</f>
        <v>0</v>
      </c>
      <c r="R64" s="0" t="n">
        <f aca="false">B64+J64</f>
        <v>0</v>
      </c>
      <c r="S64" s="0" t="n">
        <f aca="false">C64+K64</f>
        <v>0</v>
      </c>
      <c r="T64" s="0" t="n">
        <f aca="false">D64+L64</f>
        <v>0</v>
      </c>
      <c r="U64" s="0" t="n">
        <f aca="false">E64+M64</f>
        <v>0</v>
      </c>
      <c r="V64" s="0" t="n">
        <f aca="false">F64+N64</f>
        <v>0</v>
      </c>
      <c r="W64" s="0" t="n">
        <f aca="false">G64+O64</f>
        <v>0</v>
      </c>
      <c r="X64" s="0" t="n">
        <f aca="false">H64+P64</f>
        <v>0</v>
      </c>
      <c r="Y64" s="0" t="n">
        <f aca="false">I64+Q64</f>
        <v>0</v>
      </c>
      <c r="Z64" s="0" t="n">
        <f aca="false">MIN(R64,N('Debt Payoff'!E9))</f>
        <v>0</v>
      </c>
      <c r="AA64" s="0" t="n">
        <f aca="false">MIN(S64,N('Debt Payoff'!E10))</f>
        <v>0</v>
      </c>
      <c r="AB64" s="0" t="n">
        <f aca="false">MIN(T64,N('Debt Payoff'!E11))</f>
        <v>0</v>
      </c>
      <c r="AC64" s="0" t="n">
        <f aca="false">MIN(U64,N('Debt Payoff'!E12))</f>
        <v>0</v>
      </c>
      <c r="AD64" s="0" t="n">
        <f aca="false">MIN(V64,N('Debt Payoff'!E13))</f>
        <v>0</v>
      </c>
      <c r="AE64" s="0" t="n">
        <f aca="false">MIN(W64,N('Debt Payoff'!E14))</f>
        <v>0</v>
      </c>
      <c r="AF64" s="0" t="n">
        <f aca="false">MIN(X64,N('Debt Payoff'!E15))</f>
        <v>0</v>
      </c>
      <c r="AG64" s="0" t="n">
        <f aca="false">MIN(Y64,N('Debt Payoff'!E16))</f>
        <v>0</v>
      </c>
      <c r="AH64" s="0" t="n">
        <f aca="false">R64-Z64</f>
        <v>0</v>
      </c>
      <c r="AI64" s="0" t="n">
        <f aca="false">S64-AA64</f>
        <v>0</v>
      </c>
      <c r="AJ64" s="0" t="n">
        <f aca="false">T64-AB64</f>
        <v>0</v>
      </c>
      <c r="AK64" s="0" t="n">
        <f aca="false">U64-AC64</f>
        <v>0</v>
      </c>
      <c r="AL64" s="0" t="n">
        <f aca="false">V64-AD64</f>
        <v>0</v>
      </c>
      <c r="AM64" s="0" t="n">
        <f aca="false">W64-AE64</f>
        <v>0</v>
      </c>
      <c r="AN64" s="0" t="n">
        <f aca="false">X64-AF64</f>
        <v>0</v>
      </c>
      <c r="AO64" s="0" t="n">
        <f aca="false">Y64-AG64</f>
        <v>0</v>
      </c>
      <c r="AP64" s="0" t="n">
        <f aca="false">MAX(0,'Debt Payoff'!$D$17-SUM(Z64:AG64))</f>
        <v>805</v>
      </c>
      <c r="AQ64" s="0" t="n">
        <f aca="false">MIN(AH64,MAX(0,$AP64-SUMPRODUCT(($AH$1:$AO$1&lt;AH$1)*$AH64:$AO64)))</f>
        <v>0</v>
      </c>
      <c r="AR64" s="0" t="n">
        <f aca="false">MIN(AI64,MAX(0,$AP64-SUMPRODUCT(($AH$1:$AO$1&lt;AI$1)*$AH64:$AO64)))</f>
        <v>0</v>
      </c>
      <c r="AS64" s="0" t="n">
        <f aca="false">MIN(AJ64,MAX(0,$AP64-SUMPRODUCT(($AH$1:$AO$1&lt;AJ$1)*$AH64:$AO64)))</f>
        <v>0</v>
      </c>
      <c r="AT64" s="0" t="n">
        <f aca="false">MIN(AK64,MAX(0,$AP64-SUMPRODUCT(($AH$1:$AO$1&lt;AK$1)*$AH64:$AO64)))</f>
        <v>0</v>
      </c>
      <c r="AU64" s="0" t="n">
        <f aca="false">MIN(AL64,MAX(0,$AP64-SUMPRODUCT(($AH$1:$AO$1&lt;AL$1)*$AH64:$AO64)))</f>
        <v>0</v>
      </c>
      <c r="AV64" s="0" t="n">
        <f aca="false">MIN(AM64,MAX(0,$AP64-SUMPRODUCT(($AH$1:$AO$1&lt;AM$1)*$AH64:$AO64)))</f>
        <v>0</v>
      </c>
      <c r="AW64" s="0" t="n">
        <f aca="false">MIN(AN64,MAX(0,$AP64-SUMPRODUCT(($AH$1:$AO$1&lt;AN$1)*$AH64:$AO64)))</f>
        <v>0</v>
      </c>
      <c r="AX64" s="0" t="n">
        <f aca="false">MIN(AO64,MAX(0,$AP64-SUMPRODUCT(($AH$1:$AO$1&lt;AO$1)*$AH64:$AO64)))</f>
        <v>0</v>
      </c>
      <c r="AY64" s="0" t="n">
        <f aca="false">ROUND(AH64-AQ64,2)</f>
        <v>0</v>
      </c>
      <c r="AZ64" s="0" t="n">
        <f aca="false">ROUND(AI64-AR64,2)</f>
        <v>0</v>
      </c>
      <c r="BA64" s="0" t="n">
        <f aca="false">ROUND(AJ64-AS64,2)</f>
        <v>0</v>
      </c>
      <c r="BB64" s="0" t="n">
        <f aca="false">ROUND(AK64-AT64,2)</f>
        <v>0</v>
      </c>
      <c r="BC64" s="0" t="n">
        <f aca="false">ROUND(AL64-AU64,2)</f>
        <v>0</v>
      </c>
      <c r="BD64" s="0" t="n">
        <f aca="false">ROUND(AM64-AV64,2)</f>
        <v>0</v>
      </c>
      <c r="BE64" s="0" t="n">
        <f aca="false">ROUND(AN64-AW64,2)</f>
        <v>0</v>
      </c>
      <c r="BF64" s="0" t="n">
        <f aca="false">ROUND(AO64-AX64,2)</f>
        <v>0</v>
      </c>
      <c r="BG64" s="0" t="n">
        <f aca="false">SUM(AY64:BF64)</f>
        <v>0</v>
      </c>
    </row>
    <row r="65" customFormat="false" ht="15" hidden="false" customHeight="false" outlineLevel="0" collapsed="false">
      <c r="A65" s="0" t="n">
        <v>63</v>
      </c>
      <c r="B65" s="0" t="n">
        <f aca="false">AY64</f>
        <v>0</v>
      </c>
      <c r="C65" s="0" t="n">
        <f aca="false">AZ64</f>
        <v>0</v>
      </c>
      <c r="D65" s="0" t="n">
        <f aca="false">BA64</f>
        <v>0</v>
      </c>
      <c r="E65" s="0" t="n">
        <f aca="false">BB64</f>
        <v>0</v>
      </c>
      <c r="F65" s="0" t="n">
        <f aca="false">BC64</f>
        <v>0</v>
      </c>
      <c r="G65" s="0" t="n">
        <f aca="false">BD64</f>
        <v>0</v>
      </c>
      <c r="H65" s="0" t="n">
        <f aca="false">BE64</f>
        <v>0</v>
      </c>
      <c r="I65" s="0" t="n">
        <f aca="false">BF64</f>
        <v>0</v>
      </c>
      <c r="J65" s="0" t="n">
        <f aca="false">B65*N('Debt Payoff'!D9)/12</f>
        <v>0</v>
      </c>
      <c r="K65" s="0" t="n">
        <f aca="false">C65*N('Debt Payoff'!D10)/12</f>
        <v>0</v>
      </c>
      <c r="L65" s="0" t="n">
        <f aca="false">D65*N('Debt Payoff'!D11)/12</f>
        <v>0</v>
      </c>
      <c r="M65" s="0" t="n">
        <f aca="false">E65*N('Debt Payoff'!D12)/12</f>
        <v>0</v>
      </c>
      <c r="N65" s="0" t="n">
        <f aca="false">F65*N('Debt Payoff'!D13)/12</f>
        <v>0</v>
      </c>
      <c r="O65" s="0" t="n">
        <f aca="false">G65*N('Debt Payoff'!D14)/12</f>
        <v>0</v>
      </c>
      <c r="P65" s="0" t="n">
        <f aca="false">H65*N('Debt Payoff'!D15)/12</f>
        <v>0</v>
      </c>
      <c r="Q65" s="0" t="n">
        <f aca="false">I65*N('Debt Payoff'!D16)/12</f>
        <v>0</v>
      </c>
      <c r="R65" s="0" t="n">
        <f aca="false">B65+J65</f>
        <v>0</v>
      </c>
      <c r="S65" s="0" t="n">
        <f aca="false">C65+K65</f>
        <v>0</v>
      </c>
      <c r="T65" s="0" t="n">
        <f aca="false">D65+L65</f>
        <v>0</v>
      </c>
      <c r="U65" s="0" t="n">
        <f aca="false">E65+M65</f>
        <v>0</v>
      </c>
      <c r="V65" s="0" t="n">
        <f aca="false">F65+N65</f>
        <v>0</v>
      </c>
      <c r="W65" s="0" t="n">
        <f aca="false">G65+O65</f>
        <v>0</v>
      </c>
      <c r="X65" s="0" t="n">
        <f aca="false">H65+P65</f>
        <v>0</v>
      </c>
      <c r="Y65" s="0" t="n">
        <f aca="false">I65+Q65</f>
        <v>0</v>
      </c>
      <c r="Z65" s="0" t="n">
        <f aca="false">MIN(R65,N('Debt Payoff'!E9))</f>
        <v>0</v>
      </c>
      <c r="AA65" s="0" t="n">
        <f aca="false">MIN(S65,N('Debt Payoff'!E10))</f>
        <v>0</v>
      </c>
      <c r="AB65" s="0" t="n">
        <f aca="false">MIN(T65,N('Debt Payoff'!E11))</f>
        <v>0</v>
      </c>
      <c r="AC65" s="0" t="n">
        <f aca="false">MIN(U65,N('Debt Payoff'!E12))</f>
        <v>0</v>
      </c>
      <c r="AD65" s="0" t="n">
        <f aca="false">MIN(V65,N('Debt Payoff'!E13))</f>
        <v>0</v>
      </c>
      <c r="AE65" s="0" t="n">
        <f aca="false">MIN(W65,N('Debt Payoff'!E14))</f>
        <v>0</v>
      </c>
      <c r="AF65" s="0" t="n">
        <f aca="false">MIN(X65,N('Debt Payoff'!E15))</f>
        <v>0</v>
      </c>
      <c r="AG65" s="0" t="n">
        <f aca="false">MIN(Y65,N('Debt Payoff'!E16))</f>
        <v>0</v>
      </c>
      <c r="AH65" s="0" t="n">
        <f aca="false">R65-Z65</f>
        <v>0</v>
      </c>
      <c r="AI65" s="0" t="n">
        <f aca="false">S65-AA65</f>
        <v>0</v>
      </c>
      <c r="AJ65" s="0" t="n">
        <f aca="false">T65-AB65</f>
        <v>0</v>
      </c>
      <c r="AK65" s="0" t="n">
        <f aca="false">U65-AC65</f>
        <v>0</v>
      </c>
      <c r="AL65" s="0" t="n">
        <f aca="false">V65-AD65</f>
        <v>0</v>
      </c>
      <c r="AM65" s="0" t="n">
        <f aca="false">W65-AE65</f>
        <v>0</v>
      </c>
      <c r="AN65" s="0" t="n">
        <f aca="false">X65-AF65</f>
        <v>0</v>
      </c>
      <c r="AO65" s="0" t="n">
        <f aca="false">Y65-AG65</f>
        <v>0</v>
      </c>
      <c r="AP65" s="0" t="n">
        <f aca="false">MAX(0,'Debt Payoff'!$D$17-SUM(Z65:AG65))</f>
        <v>805</v>
      </c>
      <c r="AQ65" s="0" t="n">
        <f aca="false">MIN(AH65,MAX(0,$AP65-SUMPRODUCT(($AH$1:$AO$1&lt;AH$1)*$AH65:$AO65)))</f>
        <v>0</v>
      </c>
      <c r="AR65" s="0" t="n">
        <f aca="false">MIN(AI65,MAX(0,$AP65-SUMPRODUCT(($AH$1:$AO$1&lt;AI$1)*$AH65:$AO65)))</f>
        <v>0</v>
      </c>
      <c r="AS65" s="0" t="n">
        <f aca="false">MIN(AJ65,MAX(0,$AP65-SUMPRODUCT(($AH$1:$AO$1&lt;AJ$1)*$AH65:$AO65)))</f>
        <v>0</v>
      </c>
      <c r="AT65" s="0" t="n">
        <f aca="false">MIN(AK65,MAX(0,$AP65-SUMPRODUCT(($AH$1:$AO$1&lt;AK$1)*$AH65:$AO65)))</f>
        <v>0</v>
      </c>
      <c r="AU65" s="0" t="n">
        <f aca="false">MIN(AL65,MAX(0,$AP65-SUMPRODUCT(($AH$1:$AO$1&lt;AL$1)*$AH65:$AO65)))</f>
        <v>0</v>
      </c>
      <c r="AV65" s="0" t="n">
        <f aca="false">MIN(AM65,MAX(0,$AP65-SUMPRODUCT(($AH$1:$AO$1&lt;AM$1)*$AH65:$AO65)))</f>
        <v>0</v>
      </c>
      <c r="AW65" s="0" t="n">
        <f aca="false">MIN(AN65,MAX(0,$AP65-SUMPRODUCT(($AH$1:$AO$1&lt;AN$1)*$AH65:$AO65)))</f>
        <v>0</v>
      </c>
      <c r="AX65" s="0" t="n">
        <f aca="false">MIN(AO65,MAX(0,$AP65-SUMPRODUCT(($AH$1:$AO$1&lt;AO$1)*$AH65:$AO65)))</f>
        <v>0</v>
      </c>
      <c r="AY65" s="0" t="n">
        <f aca="false">ROUND(AH65-AQ65,2)</f>
        <v>0</v>
      </c>
      <c r="AZ65" s="0" t="n">
        <f aca="false">ROUND(AI65-AR65,2)</f>
        <v>0</v>
      </c>
      <c r="BA65" s="0" t="n">
        <f aca="false">ROUND(AJ65-AS65,2)</f>
        <v>0</v>
      </c>
      <c r="BB65" s="0" t="n">
        <f aca="false">ROUND(AK65-AT65,2)</f>
        <v>0</v>
      </c>
      <c r="BC65" s="0" t="n">
        <f aca="false">ROUND(AL65-AU65,2)</f>
        <v>0</v>
      </c>
      <c r="BD65" s="0" t="n">
        <f aca="false">ROUND(AM65-AV65,2)</f>
        <v>0</v>
      </c>
      <c r="BE65" s="0" t="n">
        <f aca="false">ROUND(AN65-AW65,2)</f>
        <v>0</v>
      </c>
      <c r="BF65" s="0" t="n">
        <f aca="false">ROUND(AO65-AX65,2)</f>
        <v>0</v>
      </c>
      <c r="BG65" s="0" t="n">
        <f aca="false">SUM(AY65:BF65)</f>
        <v>0</v>
      </c>
    </row>
    <row r="66" customFormat="false" ht="15" hidden="false" customHeight="false" outlineLevel="0" collapsed="false">
      <c r="A66" s="0" t="n">
        <v>64</v>
      </c>
      <c r="B66" s="0" t="n">
        <f aca="false">AY65</f>
        <v>0</v>
      </c>
      <c r="C66" s="0" t="n">
        <f aca="false">AZ65</f>
        <v>0</v>
      </c>
      <c r="D66" s="0" t="n">
        <f aca="false">BA65</f>
        <v>0</v>
      </c>
      <c r="E66" s="0" t="n">
        <f aca="false">BB65</f>
        <v>0</v>
      </c>
      <c r="F66" s="0" t="n">
        <f aca="false">BC65</f>
        <v>0</v>
      </c>
      <c r="G66" s="0" t="n">
        <f aca="false">BD65</f>
        <v>0</v>
      </c>
      <c r="H66" s="0" t="n">
        <f aca="false">BE65</f>
        <v>0</v>
      </c>
      <c r="I66" s="0" t="n">
        <f aca="false">BF65</f>
        <v>0</v>
      </c>
      <c r="J66" s="0" t="n">
        <f aca="false">B66*N('Debt Payoff'!D9)/12</f>
        <v>0</v>
      </c>
      <c r="K66" s="0" t="n">
        <f aca="false">C66*N('Debt Payoff'!D10)/12</f>
        <v>0</v>
      </c>
      <c r="L66" s="0" t="n">
        <f aca="false">D66*N('Debt Payoff'!D11)/12</f>
        <v>0</v>
      </c>
      <c r="M66" s="0" t="n">
        <f aca="false">E66*N('Debt Payoff'!D12)/12</f>
        <v>0</v>
      </c>
      <c r="N66" s="0" t="n">
        <f aca="false">F66*N('Debt Payoff'!D13)/12</f>
        <v>0</v>
      </c>
      <c r="O66" s="0" t="n">
        <f aca="false">G66*N('Debt Payoff'!D14)/12</f>
        <v>0</v>
      </c>
      <c r="P66" s="0" t="n">
        <f aca="false">H66*N('Debt Payoff'!D15)/12</f>
        <v>0</v>
      </c>
      <c r="Q66" s="0" t="n">
        <f aca="false">I66*N('Debt Payoff'!D16)/12</f>
        <v>0</v>
      </c>
      <c r="R66" s="0" t="n">
        <f aca="false">B66+J66</f>
        <v>0</v>
      </c>
      <c r="S66" s="0" t="n">
        <f aca="false">C66+K66</f>
        <v>0</v>
      </c>
      <c r="T66" s="0" t="n">
        <f aca="false">D66+L66</f>
        <v>0</v>
      </c>
      <c r="U66" s="0" t="n">
        <f aca="false">E66+M66</f>
        <v>0</v>
      </c>
      <c r="V66" s="0" t="n">
        <f aca="false">F66+N66</f>
        <v>0</v>
      </c>
      <c r="W66" s="0" t="n">
        <f aca="false">G66+O66</f>
        <v>0</v>
      </c>
      <c r="X66" s="0" t="n">
        <f aca="false">H66+P66</f>
        <v>0</v>
      </c>
      <c r="Y66" s="0" t="n">
        <f aca="false">I66+Q66</f>
        <v>0</v>
      </c>
      <c r="Z66" s="0" t="n">
        <f aca="false">MIN(R66,N('Debt Payoff'!E9))</f>
        <v>0</v>
      </c>
      <c r="AA66" s="0" t="n">
        <f aca="false">MIN(S66,N('Debt Payoff'!E10))</f>
        <v>0</v>
      </c>
      <c r="AB66" s="0" t="n">
        <f aca="false">MIN(T66,N('Debt Payoff'!E11))</f>
        <v>0</v>
      </c>
      <c r="AC66" s="0" t="n">
        <f aca="false">MIN(U66,N('Debt Payoff'!E12))</f>
        <v>0</v>
      </c>
      <c r="AD66" s="0" t="n">
        <f aca="false">MIN(V66,N('Debt Payoff'!E13))</f>
        <v>0</v>
      </c>
      <c r="AE66" s="0" t="n">
        <f aca="false">MIN(W66,N('Debt Payoff'!E14))</f>
        <v>0</v>
      </c>
      <c r="AF66" s="0" t="n">
        <f aca="false">MIN(X66,N('Debt Payoff'!E15))</f>
        <v>0</v>
      </c>
      <c r="AG66" s="0" t="n">
        <f aca="false">MIN(Y66,N('Debt Payoff'!E16))</f>
        <v>0</v>
      </c>
      <c r="AH66" s="0" t="n">
        <f aca="false">R66-Z66</f>
        <v>0</v>
      </c>
      <c r="AI66" s="0" t="n">
        <f aca="false">S66-AA66</f>
        <v>0</v>
      </c>
      <c r="AJ66" s="0" t="n">
        <f aca="false">T66-AB66</f>
        <v>0</v>
      </c>
      <c r="AK66" s="0" t="n">
        <f aca="false">U66-AC66</f>
        <v>0</v>
      </c>
      <c r="AL66" s="0" t="n">
        <f aca="false">V66-AD66</f>
        <v>0</v>
      </c>
      <c r="AM66" s="0" t="n">
        <f aca="false">W66-AE66</f>
        <v>0</v>
      </c>
      <c r="AN66" s="0" t="n">
        <f aca="false">X66-AF66</f>
        <v>0</v>
      </c>
      <c r="AO66" s="0" t="n">
        <f aca="false">Y66-AG66</f>
        <v>0</v>
      </c>
      <c r="AP66" s="0" t="n">
        <f aca="false">MAX(0,'Debt Payoff'!$D$17-SUM(Z66:AG66))</f>
        <v>805</v>
      </c>
      <c r="AQ66" s="0" t="n">
        <f aca="false">MIN(AH66,MAX(0,$AP66-SUMPRODUCT(($AH$1:$AO$1&lt;AH$1)*$AH66:$AO66)))</f>
        <v>0</v>
      </c>
      <c r="AR66" s="0" t="n">
        <f aca="false">MIN(AI66,MAX(0,$AP66-SUMPRODUCT(($AH$1:$AO$1&lt;AI$1)*$AH66:$AO66)))</f>
        <v>0</v>
      </c>
      <c r="AS66" s="0" t="n">
        <f aca="false">MIN(AJ66,MAX(0,$AP66-SUMPRODUCT(($AH$1:$AO$1&lt;AJ$1)*$AH66:$AO66)))</f>
        <v>0</v>
      </c>
      <c r="AT66" s="0" t="n">
        <f aca="false">MIN(AK66,MAX(0,$AP66-SUMPRODUCT(($AH$1:$AO$1&lt;AK$1)*$AH66:$AO66)))</f>
        <v>0</v>
      </c>
      <c r="AU66" s="0" t="n">
        <f aca="false">MIN(AL66,MAX(0,$AP66-SUMPRODUCT(($AH$1:$AO$1&lt;AL$1)*$AH66:$AO66)))</f>
        <v>0</v>
      </c>
      <c r="AV66" s="0" t="n">
        <f aca="false">MIN(AM66,MAX(0,$AP66-SUMPRODUCT(($AH$1:$AO$1&lt;AM$1)*$AH66:$AO66)))</f>
        <v>0</v>
      </c>
      <c r="AW66" s="0" t="n">
        <f aca="false">MIN(AN66,MAX(0,$AP66-SUMPRODUCT(($AH$1:$AO$1&lt;AN$1)*$AH66:$AO66)))</f>
        <v>0</v>
      </c>
      <c r="AX66" s="0" t="n">
        <f aca="false">MIN(AO66,MAX(0,$AP66-SUMPRODUCT(($AH$1:$AO$1&lt;AO$1)*$AH66:$AO66)))</f>
        <v>0</v>
      </c>
      <c r="AY66" s="0" t="n">
        <f aca="false">ROUND(AH66-AQ66,2)</f>
        <v>0</v>
      </c>
      <c r="AZ66" s="0" t="n">
        <f aca="false">ROUND(AI66-AR66,2)</f>
        <v>0</v>
      </c>
      <c r="BA66" s="0" t="n">
        <f aca="false">ROUND(AJ66-AS66,2)</f>
        <v>0</v>
      </c>
      <c r="BB66" s="0" t="n">
        <f aca="false">ROUND(AK66-AT66,2)</f>
        <v>0</v>
      </c>
      <c r="BC66" s="0" t="n">
        <f aca="false">ROUND(AL66-AU66,2)</f>
        <v>0</v>
      </c>
      <c r="BD66" s="0" t="n">
        <f aca="false">ROUND(AM66-AV66,2)</f>
        <v>0</v>
      </c>
      <c r="BE66" s="0" t="n">
        <f aca="false">ROUND(AN66-AW66,2)</f>
        <v>0</v>
      </c>
      <c r="BF66" s="0" t="n">
        <f aca="false">ROUND(AO66-AX66,2)</f>
        <v>0</v>
      </c>
      <c r="BG66" s="0" t="n">
        <f aca="false">SUM(AY66:BF66)</f>
        <v>0</v>
      </c>
    </row>
    <row r="67" customFormat="false" ht="15" hidden="false" customHeight="false" outlineLevel="0" collapsed="false">
      <c r="A67" s="0" t="n">
        <v>65</v>
      </c>
      <c r="B67" s="0" t="n">
        <f aca="false">AY66</f>
        <v>0</v>
      </c>
      <c r="C67" s="0" t="n">
        <f aca="false">AZ66</f>
        <v>0</v>
      </c>
      <c r="D67" s="0" t="n">
        <f aca="false">BA66</f>
        <v>0</v>
      </c>
      <c r="E67" s="0" t="n">
        <f aca="false">BB66</f>
        <v>0</v>
      </c>
      <c r="F67" s="0" t="n">
        <f aca="false">BC66</f>
        <v>0</v>
      </c>
      <c r="G67" s="0" t="n">
        <f aca="false">BD66</f>
        <v>0</v>
      </c>
      <c r="H67" s="0" t="n">
        <f aca="false">BE66</f>
        <v>0</v>
      </c>
      <c r="I67" s="0" t="n">
        <f aca="false">BF66</f>
        <v>0</v>
      </c>
      <c r="J67" s="0" t="n">
        <f aca="false">B67*N('Debt Payoff'!D9)/12</f>
        <v>0</v>
      </c>
      <c r="K67" s="0" t="n">
        <f aca="false">C67*N('Debt Payoff'!D10)/12</f>
        <v>0</v>
      </c>
      <c r="L67" s="0" t="n">
        <f aca="false">D67*N('Debt Payoff'!D11)/12</f>
        <v>0</v>
      </c>
      <c r="M67" s="0" t="n">
        <f aca="false">E67*N('Debt Payoff'!D12)/12</f>
        <v>0</v>
      </c>
      <c r="N67" s="0" t="n">
        <f aca="false">F67*N('Debt Payoff'!D13)/12</f>
        <v>0</v>
      </c>
      <c r="O67" s="0" t="n">
        <f aca="false">G67*N('Debt Payoff'!D14)/12</f>
        <v>0</v>
      </c>
      <c r="P67" s="0" t="n">
        <f aca="false">H67*N('Debt Payoff'!D15)/12</f>
        <v>0</v>
      </c>
      <c r="Q67" s="0" t="n">
        <f aca="false">I67*N('Debt Payoff'!D16)/12</f>
        <v>0</v>
      </c>
      <c r="R67" s="0" t="n">
        <f aca="false">B67+J67</f>
        <v>0</v>
      </c>
      <c r="S67" s="0" t="n">
        <f aca="false">C67+K67</f>
        <v>0</v>
      </c>
      <c r="T67" s="0" t="n">
        <f aca="false">D67+L67</f>
        <v>0</v>
      </c>
      <c r="U67" s="0" t="n">
        <f aca="false">E67+M67</f>
        <v>0</v>
      </c>
      <c r="V67" s="0" t="n">
        <f aca="false">F67+N67</f>
        <v>0</v>
      </c>
      <c r="W67" s="0" t="n">
        <f aca="false">G67+O67</f>
        <v>0</v>
      </c>
      <c r="X67" s="0" t="n">
        <f aca="false">H67+P67</f>
        <v>0</v>
      </c>
      <c r="Y67" s="0" t="n">
        <f aca="false">I67+Q67</f>
        <v>0</v>
      </c>
      <c r="Z67" s="0" t="n">
        <f aca="false">MIN(R67,N('Debt Payoff'!E9))</f>
        <v>0</v>
      </c>
      <c r="AA67" s="0" t="n">
        <f aca="false">MIN(S67,N('Debt Payoff'!E10))</f>
        <v>0</v>
      </c>
      <c r="AB67" s="0" t="n">
        <f aca="false">MIN(T67,N('Debt Payoff'!E11))</f>
        <v>0</v>
      </c>
      <c r="AC67" s="0" t="n">
        <f aca="false">MIN(U67,N('Debt Payoff'!E12))</f>
        <v>0</v>
      </c>
      <c r="AD67" s="0" t="n">
        <f aca="false">MIN(V67,N('Debt Payoff'!E13))</f>
        <v>0</v>
      </c>
      <c r="AE67" s="0" t="n">
        <f aca="false">MIN(W67,N('Debt Payoff'!E14))</f>
        <v>0</v>
      </c>
      <c r="AF67" s="0" t="n">
        <f aca="false">MIN(X67,N('Debt Payoff'!E15))</f>
        <v>0</v>
      </c>
      <c r="AG67" s="0" t="n">
        <f aca="false">MIN(Y67,N('Debt Payoff'!E16))</f>
        <v>0</v>
      </c>
      <c r="AH67" s="0" t="n">
        <f aca="false">R67-Z67</f>
        <v>0</v>
      </c>
      <c r="AI67" s="0" t="n">
        <f aca="false">S67-AA67</f>
        <v>0</v>
      </c>
      <c r="AJ67" s="0" t="n">
        <f aca="false">T67-AB67</f>
        <v>0</v>
      </c>
      <c r="AK67" s="0" t="n">
        <f aca="false">U67-AC67</f>
        <v>0</v>
      </c>
      <c r="AL67" s="0" t="n">
        <f aca="false">V67-AD67</f>
        <v>0</v>
      </c>
      <c r="AM67" s="0" t="n">
        <f aca="false">W67-AE67</f>
        <v>0</v>
      </c>
      <c r="AN67" s="0" t="n">
        <f aca="false">X67-AF67</f>
        <v>0</v>
      </c>
      <c r="AO67" s="0" t="n">
        <f aca="false">Y67-AG67</f>
        <v>0</v>
      </c>
      <c r="AP67" s="0" t="n">
        <f aca="false">MAX(0,'Debt Payoff'!$D$17-SUM(Z67:AG67))</f>
        <v>805</v>
      </c>
      <c r="AQ67" s="0" t="n">
        <f aca="false">MIN(AH67,MAX(0,$AP67-SUMPRODUCT(($AH$1:$AO$1&lt;AH$1)*$AH67:$AO67)))</f>
        <v>0</v>
      </c>
      <c r="AR67" s="0" t="n">
        <f aca="false">MIN(AI67,MAX(0,$AP67-SUMPRODUCT(($AH$1:$AO$1&lt;AI$1)*$AH67:$AO67)))</f>
        <v>0</v>
      </c>
      <c r="AS67" s="0" t="n">
        <f aca="false">MIN(AJ67,MAX(0,$AP67-SUMPRODUCT(($AH$1:$AO$1&lt;AJ$1)*$AH67:$AO67)))</f>
        <v>0</v>
      </c>
      <c r="AT67" s="0" t="n">
        <f aca="false">MIN(AK67,MAX(0,$AP67-SUMPRODUCT(($AH$1:$AO$1&lt;AK$1)*$AH67:$AO67)))</f>
        <v>0</v>
      </c>
      <c r="AU67" s="0" t="n">
        <f aca="false">MIN(AL67,MAX(0,$AP67-SUMPRODUCT(($AH$1:$AO$1&lt;AL$1)*$AH67:$AO67)))</f>
        <v>0</v>
      </c>
      <c r="AV67" s="0" t="n">
        <f aca="false">MIN(AM67,MAX(0,$AP67-SUMPRODUCT(($AH$1:$AO$1&lt;AM$1)*$AH67:$AO67)))</f>
        <v>0</v>
      </c>
      <c r="AW67" s="0" t="n">
        <f aca="false">MIN(AN67,MAX(0,$AP67-SUMPRODUCT(($AH$1:$AO$1&lt;AN$1)*$AH67:$AO67)))</f>
        <v>0</v>
      </c>
      <c r="AX67" s="0" t="n">
        <f aca="false">MIN(AO67,MAX(0,$AP67-SUMPRODUCT(($AH$1:$AO$1&lt;AO$1)*$AH67:$AO67)))</f>
        <v>0</v>
      </c>
      <c r="AY67" s="0" t="n">
        <f aca="false">ROUND(AH67-AQ67,2)</f>
        <v>0</v>
      </c>
      <c r="AZ67" s="0" t="n">
        <f aca="false">ROUND(AI67-AR67,2)</f>
        <v>0</v>
      </c>
      <c r="BA67" s="0" t="n">
        <f aca="false">ROUND(AJ67-AS67,2)</f>
        <v>0</v>
      </c>
      <c r="BB67" s="0" t="n">
        <f aca="false">ROUND(AK67-AT67,2)</f>
        <v>0</v>
      </c>
      <c r="BC67" s="0" t="n">
        <f aca="false">ROUND(AL67-AU67,2)</f>
        <v>0</v>
      </c>
      <c r="BD67" s="0" t="n">
        <f aca="false">ROUND(AM67-AV67,2)</f>
        <v>0</v>
      </c>
      <c r="BE67" s="0" t="n">
        <f aca="false">ROUND(AN67-AW67,2)</f>
        <v>0</v>
      </c>
      <c r="BF67" s="0" t="n">
        <f aca="false">ROUND(AO67-AX67,2)</f>
        <v>0</v>
      </c>
      <c r="BG67" s="0" t="n">
        <f aca="false">SUM(AY67:BF67)</f>
        <v>0</v>
      </c>
    </row>
    <row r="68" customFormat="false" ht="15" hidden="false" customHeight="false" outlineLevel="0" collapsed="false">
      <c r="A68" s="0" t="n">
        <v>66</v>
      </c>
      <c r="B68" s="0" t="n">
        <f aca="false">AY67</f>
        <v>0</v>
      </c>
      <c r="C68" s="0" t="n">
        <f aca="false">AZ67</f>
        <v>0</v>
      </c>
      <c r="D68" s="0" t="n">
        <f aca="false">BA67</f>
        <v>0</v>
      </c>
      <c r="E68" s="0" t="n">
        <f aca="false">BB67</f>
        <v>0</v>
      </c>
      <c r="F68" s="0" t="n">
        <f aca="false">BC67</f>
        <v>0</v>
      </c>
      <c r="G68" s="0" t="n">
        <f aca="false">BD67</f>
        <v>0</v>
      </c>
      <c r="H68" s="0" t="n">
        <f aca="false">BE67</f>
        <v>0</v>
      </c>
      <c r="I68" s="0" t="n">
        <f aca="false">BF67</f>
        <v>0</v>
      </c>
      <c r="J68" s="0" t="n">
        <f aca="false">B68*N('Debt Payoff'!D9)/12</f>
        <v>0</v>
      </c>
      <c r="K68" s="0" t="n">
        <f aca="false">C68*N('Debt Payoff'!D10)/12</f>
        <v>0</v>
      </c>
      <c r="L68" s="0" t="n">
        <f aca="false">D68*N('Debt Payoff'!D11)/12</f>
        <v>0</v>
      </c>
      <c r="M68" s="0" t="n">
        <f aca="false">E68*N('Debt Payoff'!D12)/12</f>
        <v>0</v>
      </c>
      <c r="N68" s="0" t="n">
        <f aca="false">F68*N('Debt Payoff'!D13)/12</f>
        <v>0</v>
      </c>
      <c r="O68" s="0" t="n">
        <f aca="false">G68*N('Debt Payoff'!D14)/12</f>
        <v>0</v>
      </c>
      <c r="P68" s="0" t="n">
        <f aca="false">H68*N('Debt Payoff'!D15)/12</f>
        <v>0</v>
      </c>
      <c r="Q68" s="0" t="n">
        <f aca="false">I68*N('Debt Payoff'!D16)/12</f>
        <v>0</v>
      </c>
      <c r="R68" s="0" t="n">
        <f aca="false">B68+J68</f>
        <v>0</v>
      </c>
      <c r="S68" s="0" t="n">
        <f aca="false">C68+K68</f>
        <v>0</v>
      </c>
      <c r="T68" s="0" t="n">
        <f aca="false">D68+L68</f>
        <v>0</v>
      </c>
      <c r="U68" s="0" t="n">
        <f aca="false">E68+M68</f>
        <v>0</v>
      </c>
      <c r="V68" s="0" t="n">
        <f aca="false">F68+N68</f>
        <v>0</v>
      </c>
      <c r="W68" s="0" t="n">
        <f aca="false">G68+O68</f>
        <v>0</v>
      </c>
      <c r="X68" s="0" t="n">
        <f aca="false">H68+P68</f>
        <v>0</v>
      </c>
      <c r="Y68" s="0" t="n">
        <f aca="false">I68+Q68</f>
        <v>0</v>
      </c>
      <c r="Z68" s="0" t="n">
        <f aca="false">MIN(R68,N('Debt Payoff'!E9))</f>
        <v>0</v>
      </c>
      <c r="AA68" s="0" t="n">
        <f aca="false">MIN(S68,N('Debt Payoff'!E10))</f>
        <v>0</v>
      </c>
      <c r="AB68" s="0" t="n">
        <f aca="false">MIN(T68,N('Debt Payoff'!E11))</f>
        <v>0</v>
      </c>
      <c r="AC68" s="0" t="n">
        <f aca="false">MIN(U68,N('Debt Payoff'!E12))</f>
        <v>0</v>
      </c>
      <c r="AD68" s="0" t="n">
        <f aca="false">MIN(V68,N('Debt Payoff'!E13))</f>
        <v>0</v>
      </c>
      <c r="AE68" s="0" t="n">
        <f aca="false">MIN(W68,N('Debt Payoff'!E14))</f>
        <v>0</v>
      </c>
      <c r="AF68" s="0" t="n">
        <f aca="false">MIN(X68,N('Debt Payoff'!E15))</f>
        <v>0</v>
      </c>
      <c r="AG68" s="0" t="n">
        <f aca="false">MIN(Y68,N('Debt Payoff'!E16))</f>
        <v>0</v>
      </c>
      <c r="AH68" s="0" t="n">
        <f aca="false">R68-Z68</f>
        <v>0</v>
      </c>
      <c r="AI68" s="0" t="n">
        <f aca="false">S68-AA68</f>
        <v>0</v>
      </c>
      <c r="AJ68" s="0" t="n">
        <f aca="false">T68-AB68</f>
        <v>0</v>
      </c>
      <c r="AK68" s="0" t="n">
        <f aca="false">U68-AC68</f>
        <v>0</v>
      </c>
      <c r="AL68" s="0" t="n">
        <f aca="false">V68-AD68</f>
        <v>0</v>
      </c>
      <c r="AM68" s="0" t="n">
        <f aca="false">W68-AE68</f>
        <v>0</v>
      </c>
      <c r="AN68" s="0" t="n">
        <f aca="false">X68-AF68</f>
        <v>0</v>
      </c>
      <c r="AO68" s="0" t="n">
        <f aca="false">Y68-AG68</f>
        <v>0</v>
      </c>
      <c r="AP68" s="0" t="n">
        <f aca="false">MAX(0,'Debt Payoff'!$D$17-SUM(Z68:AG68))</f>
        <v>805</v>
      </c>
      <c r="AQ68" s="0" t="n">
        <f aca="false">MIN(AH68,MAX(0,$AP68-SUMPRODUCT(($AH$1:$AO$1&lt;AH$1)*$AH68:$AO68)))</f>
        <v>0</v>
      </c>
      <c r="AR68" s="0" t="n">
        <f aca="false">MIN(AI68,MAX(0,$AP68-SUMPRODUCT(($AH$1:$AO$1&lt;AI$1)*$AH68:$AO68)))</f>
        <v>0</v>
      </c>
      <c r="AS68" s="0" t="n">
        <f aca="false">MIN(AJ68,MAX(0,$AP68-SUMPRODUCT(($AH$1:$AO$1&lt;AJ$1)*$AH68:$AO68)))</f>
        <v>0</v>
      </c>
      <c r="AT68" s="0" t="n">
        <f aca="false">MIN(AK68,MAX(0,$AP68-SUMPRODUCT(($AH$1:$AO$1&lt;AK$1)*$AH68:$AO68)))</f>
        <v>0</v>
      </c>
      <c r="AU68" s="0" t="n">
        <f aca="false">MIN(AL68,MAX(0,$AP68-SUMPRODUCT(($AH$1:$AO$1&lt;AL$1)*$AH68:$AO68)))</f>
        <v>0</v>
      </c>
      <c r="AV68" s="0" t="n">
        <f aca="false">MIN(AM68,MAX(0,$AP68-SUMPRODUCT(($AH$1:$AO$1&lt;AM$1)*$AH68:$AO68)))</f>
        <v>0</v>
      </c>
      <c r="AW68" s="0" t="n">
        <f aca="false">MIN(AN68,MAX(0,$AP68-SUMPRODUCT(($AH$1:$AO$1&lt;AN$1)*$AH68:$AO68)))</f>
        <v>0</v>
      </c>
      <c r="AX68" s="0" t="n">
        <f aca="false">MIN(AO68,MAX(0,$AP68-SUMPRODUCT(($AH$1:$AO$1&lt;AO$1)*$AH68:$AO68)))</f>
        <v>0</v>
      </c>
      <c r="AY68" s="0" t="n">
        <f aca="false">ROUND(AH68-AQ68,2)</f>
        <v>0</v>
      </c>
      <c r="AZ68" s="0" t="n">
        <f aca="false">ROUND(AI68-AR68,2)</f>
        <v>0</v>
      </c>
      <c r="BA68" s="0" t="n">
        <f aca="false">ROUND(AJ68-AS68,2)</f>
        <v>0</v>
      </c>
      <c r="BB68" s="0" t="n">
        <f aca="false">ROUND(AK68-AT68,2)</f>
        <v>0</v>
      </c>
      <c r="BC68" s="0" t="n">
        <f aca="false">ROUND(AL68-AU68,2)</f>
        <v>0</v>
      </c>
      <c r="BD68" s="0" t="n">
        <f aca="false">ROUND(AM68-AV68,2)</f>
        <v>0</v>
      </c>
      <c r="BE68" s="0" t="n">
        <f aca="false">ROUND(AN68-AW68,2)</f>
        <v>0</v>
      </c>
      <c r="BF68" s="0" t="n">
        <f aca="false">ROUND(AO68-AX68,2)</f>
        <v>0</v>
      </c>
      <c r="BG68" s="0" t="n">
        <f aca="false">SUM(AY68:BF68)</f>
        <v>0</v>
      </c>
    </row>
    <row r="69" customFormat="false" ht="15" hidden="false" customHeight="false" outlineLevel="0" collapsed="false">
      <c r="A69" s="0" t="n">
        <v>67</v>
      </c>
      <c r="B69" s="0" t="n">
        <f aca="false">AY68</f>
        <v>0</v>
      </c>
      <c r="C69" s="0" t="n">
        <f aca="false">AZ68</f>
        <v>0</v>
      </c>
      <c r="D69" s="0" t="n">
        <f aca="false">BA68</f>
        <v>0</v>
      </c>
      <c r="E69" s="0" t="n">
        <f aca="false">BB68</f>
        <v>0</v>
      </c>
      <c r="F69" s="0" t="n">
        <f aca="false">BC68</f>
        <v>0</v>
      </c>
      <c r="G69" s="0" t="n">
        <f aca="false">BD68</f>
        <v>0</v>
      </c>
      <c r="H69" s="0" t="n">
        <f aca="false">BE68</f>
        <v>0</v>
      </c>
      <c r="I69" s="0" t="n">
        <f aca="false">BF68</f>
        <v>0</v>
      </c>
      <c r="J69" s="0" t="n">
        <f aca="false">B69*N('Debt Payoff'!D9)/12</f>
        <v>0</v>
      </c>
      <c r="K69" s="0" t="n">
        <f aca="false">C69*N('Debt Payoff'!D10)/12</f>
        <v>0</v>
      </c>
      <c r="L69" s="0" t="n">
        <f aca="false">D69*N('Debt Payoff'!D11)/12</f>
        <v>0</v>
      </c>
      <c r="M69" s="0" t="n">
        <f aca="false">E69*N('Debt Payoff'!D12)/12</f>
        <v>0</v>
      </c>
      <c r="N69" s="0" t="n">
        <f aca="false">F69*N('Debt Payoff'!D13)/12</f>
        <v>0</v>
      </c>
      <c r="O69" s="0" t="n">
        <f aca="false">G69*N('Debt Payoff'!D14)/12</f>
        <v>0</v>
      </c>
      <c r="P69" s="0" t="n">
        <f aca="false">H69*N('Debt Payoff'!D15)/12</f>
        <v>0</v>
      </c>
      <c r="Q69" s="0" t="n">
        <f aca="false">I69*N('Debt Payoff'!D16)/12</f>
        <v>0</v>
      </c>
      <c r="R69" s="0" t="n">
        <f aca="false">B69+J69</f>
        <v>0</v>
      </c>
      <c r="S69" s="0" t="n">
        <f aca="false">C69+K69</f>
        <v>0</v>
      </c>
      <c r="T69" s="0" t="n">
        <f aca="false">D69+L69</f>
        <v>0</v>
      </c>
      <c r="U69" s="0" t="n">
        <f aca="false">E69+M69</f>
        <v>0</v>
      </c>
      <c r="V69" s="0" t="n">
        <f aca="false">F69+N69</f>
        <v>0</v>
      </c>
      <c r="W69" s="0" t="n">
        <f aca="false">G69+O69</f>
        <v>0</v>
      </c>
      <c r="X69" s="0" t="n">
        <f aca="false">H69+P69</f>
        <v>0</v>
      </c>
      <c r="Y69" s="0" t="n">
        <f aca="false">I69+Q69</f>
        <v>0</v>
      </c>
      <c r="Z69" s="0" t="n">
        <f aca="false">MIN(R69,N('Debt Payoff'!E9))</f>
        <v>0</v>
      </c>
      <c r="AA69" s="0" t="n">
        <f aca="false">MIN(S69,N('Debt Payoff'!E10))</f>
        <v>0</v>
      </c>
      <c r="AB69" s="0" t="n">
        <f aca="false">MIN(T69,N('Debt Payoff'!E11))</f>
        <v>0</v>
      </c>
      <c r="AC69" s="0" t="n">
        <f aca="false">MIN(U69,N('Debt Payoff'!E12))</f>
        <v>0</v>
      </c>
      <c r="AD69" s="0" t="n">
        <f aca="false">MIN(V69,N('Debt Payoff'!E13))</f>
        <v>0</v>
      </c>
      <c r="AE69" s="0" t="n">
        <f aca="false">MIN(W69,N('Debt Payoff'!E14))</f>
        <v>0</v>
      </c>
      <c r="AF69" s="0" t="n">
        <f aca="false">MIN(X69,N('Debt Payoff'!E15))</f>
        <v>0</v>
      </c>
      <c r="AG69" s="0" t="n">
        <f aca="false">MIN(Y69,N('Debt Payoff'!E16))</f>
        <v>0</v>
      </c>
      <c r="AH69" s="0" t="n">
        <f aca="false">R69-Z69</f>
        <v>0</v>
      </c>
      <c r="AI69" s="0" t="n">
        <f aca="false">S69-AA69</f>
        <v>0</v>
      </c>
      <c r="AJ69" s="0" t="n">
        <f aca="false">T69-AB69</f>
        <v>0</v>
      </c>
      <c r="AK69" s="0" t="n">
        <f aca="false">U69-AC69</f>
        <v>0</v>
      </c>
      <c r="AL69" s="0" t="n">
        <f aca="false">V69-AD69</f>
        <v>0</v>
      </c>
      <c r="AM69" s="0" t="n">
        <f aca="false">W69-AE69</f>
        <v>0</v>
      </c>
      <c r="AN69" s="0" t="n">
        <f aca="false">X69-AF69</f>
        <v>0</v>
      </c>
      <c r="AO69" s="0" t="n">
        <f aca="false">Y69-AG69</f>
        <v>0</v>
      </c>
      <c r="AP69" s="0" t="n">
        <f aca="false">MAX(0,'Debt Payoff'!$D$17-SUM(Z69:AG69))</f>
        <v>805</v>
      </c>
      <c r="AQ69" s="0" t="n">
        <f aca="false">MIN(AH69,MAX(0,$AP69-SUMPRODUCT(($AH$1:$AO$1&lt;AH$1)*$AH69:$AO69)))</f>
        <v>0</v>
      </c>
      <c r="AR69" s="0" t="n">
        <f aca="false">MIN(AI69,MAX(0,$AP69-SUMPRODUCT(($AH$1:$AO$1&lt;AI$1)*$AH69:$AO69)))</f>
        <v>0</v>
      </c>
      <c r="AS69" s="0" t="n">
        <f aca="false">MIN(AJ69,MAX(0,$AP69-SUMPRODUCT(($AH$1:$AO$1&lt;AJ$1)*$AH69:$AO69)))</f>
        <v>0</v>
      </c>
      <c r="AT69" s="0" t="n">
        <f aca="false">MIN(AK69,MAX(0,$AP69-SUMPRODUCT(($AH$1:$AO$1&lt;AK$1)*$AH69:$AO69)))</f>
        <v>0</v>
      </c>
      <c r="AU69" s="0" t="n">
        <f aca="false">MIN(AL69,MAX(0,$AP69-SUMPRODUCT(($AH$1:$AO$1&lt;AL$1)*$AH69:$AO69)))</f>
        <v>0</v>
      </c>
      <c r="AV69" s="0" t="n">
        <f aca="false">MIN(AM69,MAX(0,$AP69-SUMPRODUCT(($AH$1:$AO$1&lt;AM$1)*$AH69:$AO69)))</f>
        <v>0</v>
      </c>
      <c r="AW69" s="0" t="n">
        <f aca="false">MIN(AN69,MAX(0,$AP69-SUMPRODUCT(($AH$1:$AO$1&lt;AN$1)*$AH69:$AO69)))</f>
        <v>0</v>
      </c>
      <c r="AX69" s="0" t="n">
        <f aca="false">MIN(AO69,MAX(0,$AP69-SUMPRODUCT(($AH$1:$AO$1&lt;AO$1)*$AH69:$AO69)))</f>
        <v>0</v>
      </c>
      <c r="AY69" s="0" t="n">
        <f aca="false">ROUND(AH69-AQ69,2)</f>
        <v>0</v>
      </c>
      <c r="AZ69" s="0" t="n">
        <f aca="false">ROUND(AI69-AR69,2)</f>
        <v>0</v>
      </c>
      <c r="BA69" s="0" t="n">
        <f aca="false">ROUND(AJ69-AS69,2)</f>
        <v>0</v>
      </c>
      <c r="BB69" s="0" t="n">
        <f aca="false">ROUND(AK69-AT69,2)</f>
        <v>0</v>
      </c>
      <c r="BC69" s="0" t="n">
        <f aca="false">ROUND(AL69-AU69,2)</f>
        <v>0</v>
      </c>
      <c r="BD69" s="0" t="n">
        <f aca="false">ROUND(AM69-AV69,2)</f>
        <v>0</v>
      </c>
      <c r="BE69" s="0" t="n">
        <f aca="false">ROUND(AN69-AW69,2)</f>
        <v>0</v>
      </c>
      <c r="BF69" s="0" t="n">
        <f aca="false">ROUND(AO69-AX69,2)</f>
        <v>0</v>
      </c>
      <c r="BG69" s="0" t="n">
        <f aca="false">SUM(AY69:BF69)</f>
        <v>0</v>
      </c>
    </row>
    <row r="70" customFormat="false" ht="15" hidden="false" customHeight="false" outlineLevel="0" collapsed="false">
      <c r="A70" s="0" t="n">
        <v>68</v>
      </c>
      <c r="B70" s="0" t="n">
        <f aca="false">AY69</f>
        <v>0</v>
      </c>
      <c r="C70" s="0" t="n">
        <f aca="false">AZ69</f>
        <v>0</v>
      </c>
      <c r="D70" s="0" t="n">
        <f aca="false">BA69</f>
        <v>0</v>
      </c>
      <c r="E70" s="0" t="n">
        <f aca="false">BB69</f>
        <v>0</v>
      </c>
      <c r="F70" s="0" t="n">
        <f aca="false">BC69</f>
        <v>0</v>
      </c>
      <c r="G70" s="0" t="n">
        <f aca="false">BD69</f>
        <v>0</v>
      </c>
      <c r="H70" s="0" t="n">
        <f aca="false">BE69</f>
        <v>0</v>
      </c>
      <c r="I70" s="0" t="n">
        <f aca="false">BF69</f>
        <v>0</v>
      </c>
      <c r="J70" s="0" t="n">
        <f aca="false">B70*N('Debt Payoff'!D9)/12</f>
        <v>0</v>
      </c>
      <c r="K70" s="0" t="n">
        <f aca="false">C70*N('Debt Payoff'!D10)/12</f>
        <v>0</v>
      </c>
      <c r="L70" s="0" t="n">
        <f aca="false">D70*N('Debt Payoff'!D11)/12</f>
        <v>0</v>
      </c>
      <c r="M70" s="0" t="n">
        <f aca="false">E70*N('Debt Payoff'!D12)/12</f>
        <v>0</v>
      </c>
      <c r="N70" s="0" t="n">
        <f aca="false">F70*N('Debt Payoff'!D13)/12</f>
        <v>0</v>
      </c>
      <c r="O70" s="0" t="n">
        <f aca="false">G70*N('Debt Payoff'!D14)/12</f>
        <v>0</v>
      </c>
      <c r="P70" s="0" t="n">
        <f aca="false">H70*N('Debt Payoff'!D15)/12</f>
        <v>0</v>
      </c>
      <c r="Q70" s="0" t="n">
        <f aca="false">I70*N('Debt Payoff'!D16)/12</f>
        <v>0</v>
      </c>
      <c r="R70" s="0" t="n">
        <f aca="false">B70+J70</f>
        <v>0</v>
      </c>
      <c r="S70" s="0" t="n">
        <f aca="false">C70+K70</f>
        <v>0</v>
      </c>
      <c r="T70" s="0" t="n">
        <f aca="false">D70+L70</f>
        <v>0</v>
      </c>
      <c r="U70" s="0" t="n">
        <f aca="false">E70+M70</f>
        <v>0</v>
      </c>
      <c r="V70" s="0" t="n">
        <f aca="false">F70+N70</f>
        <v>0</v>
      </c>
      <c r="W70" s="0" t="n">
        <f aca="false">G70+O70</f>
        <v>0</v>
      </c>
      <c r="X70" s="0" t="n">
        <f aca="false">H70+P70</f>
        <v>0</v>
      </c>
      <c r="Y70" s="0" t="n">
        <f aca="false">I70+Q70</f>
        <v>0</v>
      </c>
      <c r="Z70" s="0" t="n">
        <f aca="false">MIN(R70,N('Debt Payoff'!E9))</f>
        <v>0</v>
      </c>
      <c r="AA70" s="0" t="n">
        <f aca="false">MIN(S70,N('Debt Payoff'!E10))</f>
        <v>0</v>
      </c>
      <c r="AB70" s="0" t="n">
        <f aca="false">MIN(T70,N('Debt Payoff'!E11))</f>
        <v>0</v>
      </c>
      <c r="AC70" s="0" t="n">
        <f aca="false">MIN(U70,N('Debt Payoff'!E12))</f>
        <v>0</v>
      </c>
      <c r="AD70" s="0" t="n">
        <f aca="false">MIN(V70,N('Debt Payoff'!E13))</f>
        <v>0</v>
      </c>
      <c r="AE70" s="0" t="n">
        <f aca="false">MIN(W70,N('Debt Payoff'!E14))</f>
        <v>0</v>
      </c>
      <c r="AF70" s="0" t="n">
        <f aca="false">MIN(X70,N('Debt Payoff'!E15))</f>
        <v>0</v>
      </c>
      <c r="AG70" s="0" t="n">
        <f aca="false">MIN(Y70,N('Debt Payoff'!E16))</f>
        <v>0</v>
      </c>
      <c r="AH70" s="0" t="n">
        <f aca="false">R70-Z70</f>
        <v>0</v>
      </c>
      <c r="AI70" s="0" t="n">
        <f aca="false">S70-AA70</f>
        <v>0</v>
      </c>
      <c r="AJ70" s="0" t="n">
        <f aca="false">T70-AB70</f>
        <v>0</v>
      </c>
      <c r="AK70" s="0" t="n">
        <f aca="false">U70-AC70</f>
        <v>0</v>
      </c>
      <c r="AL70" s="0" t="n">
        <f aca="false">V70-AD70</f>
        <v>0</v>
      </c>
      <c r="AM70" s="0" t="n">
        <f aca="false">W70-AE70</f>
        <v>0</v>
      </c>
      <c r="AN70" s="0" t="n">
        <f aca="false">X70-AF70</f>
        <v>0</v>
      </c>
      <c r="AO70" s="0" t="n">
        <f aca="false">Y70-AG70</f>
        <v>0</v>
      </c>
      <c r="AP70" s="0" t="n">
        <f aca="false">MAX(0,'Debt Payoff'!$D$17-SUM(Z70:AG70))</f>
        <v>805</v>
      </c>
      <c r="AQ70" s="0" t="n">
        <f aca="false">MIN(AH70,MAX(0,$AP70-SUMPRODUCT(($AH$1:$AO$1&lt;AH$1)*$AH70:$AO70)))</f>
        <v>0</v>
      </c>
      <c r="AR70" s="0" t="n">
        <f aca="false">MIN(AI70,MAX(0,$AP70-SUMPRODUCT(($AH$1:$AO$1&lt;AI$1)*$AH70:$AO70)))</f>
        <v>0</v>
      </c>
      <c r="AS70" s="0" t="n">
        <f aca="false">MIN(AJ70,MAX(0,$AP70-SUMPRODUCT(($AH$1:$AO$1&lt;AJ$1)*$AH70:$AO70)))</f>
        <v>0</v>
      </c>
      <c r="AT70" s="0" t="n">
        <f aca="false">MIN(AK70,MAX(0,$AP70-SUMPRODUCT(($AH$1:$AO$1&lt;AK$1)*$AH70:$AO70)))</f>
        <v>0</v>
      </c>
      <c r="AU70" s="0" t="n">
        <f aca="false">MIN(AL70,MAX(0,$AP70-SUMPRODUCT(($AH$1:$AO$1&lt;AL$1)*$AH70:$AO70)))</f>
        <v>0</v>
      </c>
      <c r="AV70" s="0" t="n">
        <f aca="false">MIN(AM70,MAX(0,$AP70-SUMPRODUCT(($AH$1:$AO$1&lt;AM$1)*$AH70:$AO70)))</f>
        <v>0</v>
      </c>
      <c r="AW70" s="0" t="n">
        <f aca="false">MIN(AN70,MAX(0,$AP70-SUMPRODUCT(($AH$1:$AO$1&lt;AN$1)*$AH70:$AO70)))</f>
        <v>0</v>
      </c>
      <c r="AX70" s="0" t="n">
        <f aca="false">MIN(AO70,MAX(0,$AP70-SUMPRODUCT(($AH$1:$AO$1&lt;AO$1)*$AH70:$AO70)))</f>
        <v>0</v>
      </c>
      <c r="AY70" s="0" t="n">
        <f aca="false">ROUND(AH70-AQ70,2)</f>
        <v>0</v>
      </c>
      <c r="AZ70" s="0" t="n">
        <f aca="false">ROUND(AI70-AR70,2)</f>
        <v>0</v>
      </c>
      <c r="BA70" s="0" t="n">
        <f aca="false">ROUND(AJ70-AS70,2)</f>
        <v>0</v>
      </c>
      <c r="BB70" s="0" t="n">
        <f aca="false">ROUND(AK70-AT70,2)</f>
        <v>0</v>
      </c>
      <c r="BC70" s="0" t="n">
        <f aca="false">ROUND(AL70-AU70,2)</f>
        <v>0</v>
      </c>
      <c r="BD70" s="0" t="n">
        <f aca="false">ROUND(AM70-AV70,2)</f>
        <v>0</v>
      </c>
      <c r="BE70" s="0" t="n">
        <f aca="false">ROUND(AN70-AW70,2)</f>
        <v>0</v>
      </c>
      <c r="BF70" s="0" t="n">
        <f aca="false">ROUND(AO70-AX70,2)</f>
        <v>0</v>
      </c>
      <c r="BG70" s="0" t="n">
        <f aca="false">SUM(AY70:BF70)</f>
        <v>0</v>
      </c>
    </row>
    <row r="71" customFormat="false" ht="15" hidden="false" customHeight="false" outlineLevel="0" collapsed="false">
      <c r="A71" s="0" t="n">
        <v>69</v>
      </c>
      <c r="B71" s="0" t="n">
        <f aca="false">AY70</f>
        <v>0</v>
      </c>
      <c r="C71" s="0" t="n">
        <f aca="false">AZ70</f>
        <v>0</v>
      </c>
      <c r="D71" s="0" t="n">
        <f aca="false">BA70</f>
        <v>0</v>
      </c>
      <c r="E71" s="0" t="n">
        <f aca="false">BB70</f>
        <v>0</v>
      </c>
      <c r="F71" s="0" t="n">
        <f aca="false">BC70</f>
        <v>0</v>
      </c>
      <c r="G71" s="0" t="n">
        <f aca="false">BD70</f>
        <v>0</v>
      </c>
      <c r="H71" s="0" t="n">
        <f aca="false">BE70</f>
        <v>0</v>
      </c>
      <c r="I71" s="0" t="n">
        <f aca="false">BF70</f>
        <v>0</v>
      </c>
      <c r="J71" s="0" t="n">
        <f aca="false">B71*N('Debt Payoff'!D9)/12</f>
        <v>0</v>
      </c>
      <c r="K71" s="0" t="n">
        <f aca="false">C71*N('Debt Payoff'!D10)/12</f>
        <v>0</v>
      </c>
      <c r="L71" s="0" t="n">
        <f aca="false">D71*N('Debt Payoff'!D11)/12</f>
        <v>0</v>
      </c>
      <c r="M71" s="0" t="n">
        <f aca="false">E71*N('Debt Payoff'!D12)/12</f>
        <v>0</v>
      </c>
      <c r="N71" s="0" t="n">
        <f aca="false">F71*N('Debt Payoff'!D13)/12</f>
        <v>0</v>
      </c>
      <c r="O71" s="0" t="n">
        <f aca="false">G71*N('Debt Payoff'!D14)/12</f>
        <v>0</v>
      </c>
      <c r="P71" s="0" t="n">
        <f aca="false">H71*N('Debt Payoff'!D15)/12</f>
        <v>0</v>
      </c>
      <c r="Q71" s="0" t="n">
        <f aca="false">I71*N('Debt Payoff'!D16)/12</f>
        <v>0</v>
      </c>
      <c r="R71" s="0" t="n">
        <f aca="false">B71+J71</f>
        <v>0</v>
      </c>
      <c r="S71" s="0" t="n">
        <f aca="false">C71+K71</f>
        <v>0</v>
      </c>
      <c r="T71" s="0" t="n">
        <f aca="false">D71+L71</f>
        <v>0</v>
      </c>
      <c r="U71" s="0" t="n">
        <f aca="false">E71+M71</f>
        <v>0</v>
      </c>
      <c r="V71" s="0" t="n">
        <f aca="false">F71+N71</f>
        <v>0</v>
      </c>
      <c r="W71" s="0" t="n">
        <f aca="false">G71+O71</f>
        <v>0</v>
      </c>
      <c r="X71" s="0" t="n">
        <f aca="false">H71+P71</f>
        <v>0</v>
      </c>
      <c r="Y71" s="0" t="n">
        <f aca="false">I71+Q71</f>
        <v>0</v>
      </c>
      <c r="Z71" s="0" t="n">
        <f aca="false">MIN(R71,N('Debt Payoff'!E9))</f>
        <v>0</v>
      </c>
      <c r="AA71" s="0" t="n">
        <f aca="false">MIN(S71,N('Debt Payoff'!E10))</f>
        <v>0</v>
      </c>
      <c r="AB71" s="0" t="n">
        <f aca="false">MIN(T71,N('Debt Payoff'!E11))</f>
        <v>0</v>
      </c>
      <c r="AC71" s="0" t="n">
        <f aca="false">MIN(U71,N('Debt Payoff'!E12))</f>
        <v>0</v>
      </c>
      <c r="AD71" s="0" t="n">
        <f aca="false">MIN(V71,N('Debt Payoff'!E13))</f>
        <v>0</v>
      </c>
      <c r="AE71" s="0" t="n">
        <f aca="false">MIN(W71,N('Debt Payoff'!E14))</f>
        <v>0</v>
      </c>
      <c r="AF71" s="0" t="n">
        <f aca="false">MIN(X71,N('Debt Payoff'!E15))</f>
        <v>0</v>
      </c>
      <c r="AG71" s="0" t="n">
        <f aca="false">MIN(Y71,N('Debt Payoff'!E16))</f>
        <v>0</v>
      </c>
      <c r="AH71" s="0" t="n">
        <f aca="false">R71-Z71</f>
        <v>0</v>
      </c>
      <c r="AI71" s="0" t="n">
        <f aca="false">S71-AA71</f>
        <v>0</v>
      </c>
      <c r="AJ71" s="0" t="n">
        <f aca="false">T71-AB71</f>
        <v>0</v>
      </c>
      <c r="AK71" s="0" t="n">
        <f aca="false">U71-AC71</f>
        <v>0</v>
      </c>
      <c r="AL71" s="0" t="n">
        <f aca="false">V71-AD71</f>
        <v>0</v>
      </c>
      <c r="AM71" s="0" t="n">
        <f aca="false">W71-AE71</f>
        <v>0</v>
      </c>
      <c r="AN71" s="0" t="n">
        <f aca="false">X71-AF71</f>
        <v>0</v>
      </c>
      <c r="AO71" s="0" t="n">
        <f aca="false">Y71-AG71</f>
        <v>0</v>
      </c>
      <c r="AP71" s="0" t="n">
        <f aca="false">MAX(0,'Debt Payoff'!$D$17-SUM(Z71:AG71))</f>
        <v>805</v>
      </c>
      <c r="AQ71" s="0" t="n">
        <f aca="false">MIN(AH71,MAX(0,$AP71-SUMPRODUCT(($AH$1:$AO$1&lt;AH$1)*$AH71:$AO71)))</f>
        <v>0</v>
      </c>
      <c r="AR71" s="0" t="n">
        <f aca="false">MIN(AI71,MAX(0,$AP71-SUMPRODUCT(($AH$1:$AO$1&lt;AI$1)*$AH71:$AO71)))</f>
        <v>0</v>
      </c>
      <c r="AS71" s="0" t="n">
        <f aca="false">MIN(AJ71,MAX(0,$AP71-SUMPRODUCT(($AH$1:$AO$1&lt;AJ$1)*$AH71:$AO71)))</f>
        <v>0</v>
      </c>
      <c r="AT71" s="0" t="n">
        <f aca="false">MIN(AK71,MAX(0,$AP71-SUMPRODUCT(($AH$1:$AO$1&lt;AK$1)*$AH71:$AO71)))</f>
        <v>0</v>
      </c>
      <c r="AU71" s="0" t="n">
        <f aca="false">MIN(AL71,MAX(0,$AP71-SUMPRODUCT(($AH$1:$AO$1&lt;AL$1)*$AH71:$AO71)))</f>
        <v>0</v>
      </c>
      <c r="AV71" s="0" t="n">
        <f aca="false">MIN(AM71,MAX(0,$AP71-SUMPRODUCT(($AH$1:$AO$1&lt;AM$1)*$AH71:$AO71)))</f>
        <v>0</v>
      </c>
      <c r="AW71" s="0" t="n">
        <f aca="false">MIN(AN71,MAX(0,$AP71-SUMPRODUCT(($AH$1:$AO$1&lt;AN$1)*$AH71:$AO71)))</f>
        <v>0</v>
      </c>
      <c r="AX71" s="0" t="n">
        <f aca="false">MIN(AO71,MAX(0,$AP71-SUMPRODUCT(($AH$1:$AO$1&lt;AO$1)*$AH71:$AO71)))</f>
        <v>0</v>
      </c>
      <c r="AY71" s="0" t="n">
        <f aca="false">ROUND(AH71-AQ71,2)</f>
        <v>0</v>
      </c>
      <c r="AZ71" s="0" t="n">
        <f aca="false">ROUND(AI71-AR71,2)</f>
        <v>0</v>
      </c>
      <c r="BA71" s="0" t="n">
        <f aca="false">ROUND(AJ71-AS71,2)</f>
        <v>0</v>
      </c>
      <c r="BB71" s="0" t="n">
        <f aca="false">ROUND(AK71-AT71,2)</f>
        <v>0</v>
      </c>
      <c r="BC71" s="0" t="n">
        <f aca="false">ROUND(AL71-AU71,2)</f>
        <v>0</v>
      </c>
      <c r="BD71" s="0" t="n">
        <f aca="false">ROUND(AM71-AV71,2)</f>
        <v>0</v>
      </c>
      <c r="BE71" s="0" t="n">
        <f aca="false">ROUND(AN71-AW71,2)</f>
        <v>0</v>
      </c>
      <c r="BF71" s="0" t="n">
        <f aca="false">ROUND(AO71-AX71,2)</f>
        <v>0</v>
      </c>
      <c r="BG71" s="0" t="n">
        <f aca="false">SUM(AY71:BF71)</f>
        <v>0</v>
      </c>
    </row>
    <row r="72" customFormat="false" ht="15" hidden="false" customHeight="false" outlineLevel="0" collapsed="false">
      <c r="A72" s="0" t="n">
        <v>70</v>
      </c>
      <c r="B72" s="0" t="n">
        <f aca="false">AY71</f>
        <v>0</v>
      </c>
      <c r="C72" s="0" t="n">
        <f aca="false">AZ71</f>
        <v>0</v>
      </c>
      <c r="D72" s="0" t="n">
        <f aca="false">BA71</f>
        <v>0</v>
      </c>
      <c r="E72" s="0" t="n">
        <f aca="false">BB71</f>
        <v>0</v>
      </c>
      <c r="F72" s="0" t="n">
        <f aca="false">BC71</f>
        <v>0</v>
      </c>
      <c r="G72" s="0" t="n">
        <f aca="false">BD71</f>
        <v>0</v>
      </c>
      <c r="H72" s="0" t="n">
        <f aca="false">BE71</f>
        <v>0</v>
      </c>
      <c r="I72" s="0" t="n">
        <f aca="false">BF71</f>
        <v>0</v>
      </c>
      <c r="J72" s="0" t="n">
        <f aca="false">B72*N('Debt Payoff'!D9)/12</f>
        <v>0</v>
      </c>
      <c r="K72" s="0" t="n">
        <f aca="false">C72*N('Debt Payoff'!D10)/12</f>
        <v>0</v>
      </c>
      <c r="L72" s="0" t="n">
        <f aca="false">D72*N('Debt Payoff'!D11)/12</f>
        <v>0</v>
      </c>
      <c r="M72" s="0" t="n">
        <f aca="false">E72*N('Debt Payoff'!D12)/12</f>
        <v>0</v>
      </c>
      <c r="N72" s="0" t="n">
        <f aca="false">F72*N('Debt Payoff'!D13)/12</f>
        <v>0</v>
      </c>
      <c r="O72" s="0" t="n">
        <f aca="false">G72*N('Debt Payoff'!D14)/12</f>
        <v>0</v>
      </c>
      <c r="P72" s="0" t="n">
        <f aca="false">H72*N('Debt Payoff'!D15)/12</f>
        <v>0</v>
      </c>
      <c r="Q72" s="0" t="n">
        <f aca="false">I72*N('Debt Payoff'!D16)/12</f>
        <v>0</v>
      </c>
      <c r="R72" s="0" t="n">
        <f aca="false">B72+J72</f>
        <v>0</v>
      </c>
      <c r="S72" s="0" t="n">
        <f aca="false">C72+K72</f>
        <v>0</v>
      </c>
      <c r="T72" s="0" t="n">
        <f aca="false">D72+L72</f>
        <v>0</v>
      </c>
      <c r="U72" s="0" t="n">
        <f aca="false">E72+M72</f>
        <v>0</v>
      </c>
      <c r="V72" s="0" t="n">
        <f aca="false">F72+N72</f>
        <v>0</v>
      </c>
      <c r="W72" s="0" t="n">
        <f aca="false">G72+O72</f>
        <v>0</v>
      </c>
      <c r="X72" s="0" t="n">
        <f aca="false">H72+P72</f>
        <v>0</v>
      </c>
      <c r="Y72" s="0" t="n">
        <f aca="false">I72+Q72</f>
        <v>0</v>
      </c>
      <c r="Z72" s="0" t="n">
        <f aca="false">MIN(R72,N('Debt Payoff'!E9))</f>
        <v>0</v>
      </c>
      <c r="AA72" s="0" t="n">
        <f aca="false">MIN(S72,N('Debt Payoff'!E10))</f>
        <v>0</v>
      </c>
      <c r="AB72" s="0" t="n">
        <f aca="false">MIN(T72,N('Debt Payoff'!E11))</f>
        <v>0</v>
      </c>
      <c r="AC72" s="0" t="n">
        <f aca="false">MIN(U72,N('Debt Payoff'!E12))</f>
        <v>0</v>
      </c>
      <c r="AD72" s="0" t="n">
        <f aca="false">MIN(V72,N('Debt Payoff'!E13))</f>
        <v>0</v>
      </c>
      <c r="AE72" s="0" t="n">
        <f aca="false">MIN(W72,N('Debt Payoff'!E14))</f>
        <v>0</v>
      </c>
      <c r="AF72" s="0" t="n">
        <f aca="false">MIN(X72,N('Debt Payoff'!E15))</f>
        <v>0</v>
      </c>
      <c r="AG72" s="0" t="n">
        <f aca="false">MIN(Y72,N('Debt Payoff'!E16))</f>
        <v>0</v>
      </c>
      <c r="AH72" s="0" t="n">
        <f aca="false">R72-Z72</f>
        <v>0</v>
      </c>
      <c r="AI72" s="0" t="n">
        <f aca="false">S72-AA72</f>
        <v>0</v>
      </c>
      <c r="AJ72" s="0" t="n">
        <f aca="false">T72-AB72</f>
        <v>0</v>
      </c>
      <c r="AK72" s="0" t="n">
        <f aca="false">U72-AC72</f>
        <v>0</v>
      </c>
      <c r="AL72" s="0" t="n">
        <f aca="false">V72-AD72</f>
        <v>0</v>
      </c>
      <c r="AM72" s="0" t="n">
        <f aca="false">W72-AE72</f>
        <v>0</v>
      </c>
      <c r="AN72" s="0" t="n">
        <f aca="false">X72-AF72</f>
        <v>0</v>
      </c>
      <c r="AO72" s="0" t="n">
        <f aca="false">Y72-AG72</f>
        <v>0</v>
      </c>
      <c r="AP72" s="0" t="n">
        <f aca="false">MAX(0,'Debt Payoff'!$D$17-SUM(Z72:AG72))</f>
        <v>805</v>
      </c>
      <c r="AQ72" s="0" t="n">
        <f aca="false">MIN(AH72,MAX(0,$AP72-SUMPRODUCT(($AH$1:$AO$1&lt;AH$1)*$AH72:$AO72)))</f>
        <v>0</v>
      </c>
      <c r="AR72" s="0" t="n">
        <f aca="false">MIN(AI72,MAX(0,$AP72-SUMPRODUCT(($AH$1:$AO$1&lt;AI$1)*$AH72:$AO72)))</f>
        <v>0</v>
      </c>
      <c r="AS72" s="0" t="n">
        <f aca="false">MIN(AJ72,MAX(0,$AP72-SUMPRODUCT(($AH$1:$AO$1&lt;AJ$1)*$AH72:$AO72)))</f>
        <v>0</v>
      </c>
      <c r="AT72" s="0" t="n">
        <f aca="false">MIN(AK72,MAX(0,$AP72-SUMPRODUCT(($AH$1:$AO$1&lt;AK$1)*$AH72:$AO72)))</f>
        <v>0</v>
      </c>
      <c r="AU72" s="0" t="n">
        <f aca="false">MIN(AL72,MAX(0,$AP72-SUMPRODUCT(($AH$1:$AO$1&lt;AL$1)*$AH72:$AO72)))</f>
        <v>0</v>
      </c>
      <c r="AV72" s="0" t="n">
        <f aca="false">MIN(AM72,MAX(0,$AP72-SUMPRODUCT(($AH$1:$AO$1&lt;AM$1)*$AH72:$AO72)))</f>
        <v>0</v>
      </c>
      <c r="AW72" s="0" t="n">
        <f aca="false">MIN(AN72,MAX(0,$AP72-SUMPRODUCT(($AH$1:$AO$1&lt;AN$1)*$AH72:$AO72)))</f>
        <v>0</v>
      </c>
      <c r="AX72" s="0" t="n">
        <f aca="false">MIN(AO72,MAX(0,$AP72-SUMPRODUCT(($AH$1:$AO$1&lt;AO$1)*$AH72:$AO72)))</f>
        <v>0</v>
      </c>
      <c r="AY72" s="0" t="n">
        <f aca="false">ROUND(AH72-AQ72,2)</f>
        <v>0</v>
      </c>
      <c r="AZ72" s="0" t="n">
        <f aca="false">ROUND(AI72-AR72,2)</f>
        <v>0</v>
      </c>
      <c r="BA72" s="0" t="n">
        <f aca="false">ROUND(AJ72-AS72,2)</f>
        <v>0</v>
      </c>
      <c r="BB72" s="0" t="n">
        <f aca="false">ROUND(AK72-AT72,2)</f>
        <v>0</v>
      </c>
      <c r="BC72" s="0" t="n">
        <f aca="false">ROUND(AL72-AU72,2)</f>
        <v>0</v>
      </c>
      <c r="BD72" s="0" t="n">
        <f aca="false">ROUND(AM72-AV72,2)</f>
        <v>0</v>
      </c>
      <c r="BE72" s="0" t="n">
        <f aca="false">ROUND(AN72-AW72,2)</f>
        <v>0</v>
      </c>
      <c r="BF72" s="0" t="n">
        <f aca="false">ROUND(AO72-AX72,2)</f>
        <v>0</v>
      </c>
      <c r="BG72" s="0" t="n">
        <f aca="false">SUM(AY72:BF72)</f>
        <v>0</v>
      </c>
    </row>
    <row r="73" customFormat="false" ht="15" hidden="false" customHeight="false" outlineLevel="0" collapsed="false">
      <c r="A73" s="0" t="n">
        <v>71</v>
      </c>
      <c r="B73" s="0" t="n">
        <f aca="false">AY72</f>
        <v>0</v>
      </c>
      <c r="C73" s="0" t="n">
        <f aca="false">AZ72</f>
        <v>0</v>
      </c>
      <c r="D73" s="0" t="n">
        <f aca="false">BA72</f>
        <v>0</v>
      </c>
      <c r="E73" s="0" t="n">
        <f aca="false">BB72</f>
        <v>0</v>
      </c>
      <c r="F73" s="0" t="n">
        <f aca="false">BC72</f>
        <v>0</v>
      </c>
      <c r="G73" s="0" t="n">
        <f aca="false">BD72</f>
        <v>0</v>
      </c>
      <c r="H73" s="0" t="n">
        <f aca="false">BE72</f>
        <v>0</v>
      </c>
      <c r="I73" s="0" t="n">
        <f aca="false">BF72</f>
        <v>0</v>
      </c>
      <c r="J73" s="0" t="n">
        <f aca="false">B73*N('Debt Payoff'!D9)/12</f>
        <v>0</v>
      </c>
      <c r="K73" s="0" t="n">
        <f aca="false">C73*N('Debt Payoff'!D10)/12</f>
        <v>0</v>
      </c>
      <c r="L73" s="0" t="n">
        <f aca="false">D73*N('Debt Payoff'!D11)/12</f>
        <v>0</v>
      </c>
      <c r="M73" s="0" t="n">
        <f aca="false">E73*N('Debt Payoff'!D12)/12</f>
        <v>0</v>
      </c>
      <c r="N73" s="0" t="n">
        <f aca="false">F73*N('Debt Payoff'!D13)/12</f>
        <v>0</v>
      </c>
      <c r="O73" s="0" t="n">
        <f aca="false">G73*N('Debt Payoff'!D14)/12</f>
        <v>0</v>
      </c>
      <c r="P73" s="0" t="n">
        <f aca="false">H73*N('Debt Payoff'!D15)/12</f>
        <v>0</v>
      </c>
      <c r="Q73" s="0" t="n">
        <f aca="false">I73*N('Debt Payoff'!D16)/12</f>
        <v>0</v>
      </c>
      <c r="R73" s="0" t="n">
        <f aca="false">B73+J73</f>
        <v>0</v>
      </c>
      <c r="S73" s="0" t="n">
        <f aca="false">C73+K73</f>
        <v>0</v>
      </c>
      <c r="T73" s="0" t="n">
        <f aca="false">D73+L73</f>
        <v>0</v>
      </c>
      <c r="U73" s="0" t="n">
        <f aca="false">E73+M73</f>
        <v>0</v>
      </c>
      <c r="V73" s="0" t="n">
        <f aca="false">F73+N73</f>
        <v>0</v>
      </c>
      <c r="W73" s="0" t="n">
        <f aca="false">G73+O73</f>
        <v>0</v>
      </c>
      <c r="X73" s="0" t="n">
        <f aca="false">H73+P73</f>
        <v>0</v>
      </c>
      <c r="Y73" s="0" t="n">
        <f aca="false">I73+Q73</f>
        <v>0</v>
      </c>
      <c r="Z73" s="0" t="n">
        <f aca="false">MIN(R73,N('Debt Payoff'!E9))</f>
        <v>0</v>
      </c>
      <c r="AA73" s="0" t="n">
        <f aca="false">MIN(S73,N('Debt Payoff'!E10))</f>
        <v>0</v>
      </c>
      <c r="AB73" s="0" t="n">
        <f aca="false">MIN(T73,N('Debt Payoff'!E11))</f>
        <v>0</v>
      </c>
      <c r="AC73" s="0" t="n">
        <f aca="false">MIN(U73,N('Debt Payoff'!E12))</f>
        <v>0</v>
      </c>
      <c r="AD73" s="0" t="n">
        <f aca="false">MIN(V73,N('Debt Payoff'!E13))</f>
        <v>0</v>
      </c>
      <c r="AE73" s="0" t="n">
        <f aca="false">MIN(W73,N('Debt Payoff'!E14))</f>
        <v>0</v>
      </c>
      <c r="AF73" s="0" t="n">
        <f aca="false">MIN(X73,N('Debt Payoff'!E15))</f>
        <v>0</v>
      </c>
      <c r="AG73" s="0" t="n">
        <f aca="false">MIN(Y73,N('Debt Payoff'!E16))</f>
        <v>0</v>
      </c>
      <c r="AH73" s="0" t="n">
        <f aca="false">R73-Z73</f>
        <v>0</v>
      </c>
      <c r="AI73" s="0" t="n">
        <f aca="false">S73-AA73</f>
        <v>0</v>
      </c>
      <c r="AJ73" s="0" t="n">
        <f aca="false">T73-AB73</f>
        <v>0</v>
      </c>
      <c r="AK73" s="0" t="n">
        <f aca="false">U73-AC73</f>
        <v>0</v>
      </c>
      <c r="AL73" s="0" t="n">
        <f aca="false">V73-AD73</f>
        <v>0</v>
      </c>
      <c r="AM73" s="0" t="n">
        <f aca="false">W73-AE73</f>
        <v>0</v>
      </c>
      <c r="AN73" s="0" t="n">
        <f aca="false">X73-AF73</f>
        <v>0</v>
      </c>
      <c r="AO73" s="0" t="n">
        <f aca="false">Y73-AG73</f>
        <v>0</v>
      </c>
      <c r="AP73" s="0" t="n">
        <f aca="false">MAX(0,'Debt Payoff'!$D$17-SUM(Z73:AG73))</f>
        <v>805</v>
      </c>
      <c r="AQ73" s="0" t="n">
        <f aca="false">MIN(AH73,MAX(0,$AP73-SUMPRODUCT(($AH$1:$AO$1&lt;AH$1)*$AH73:$AO73)))</f>
        <v>0</v>
      </c>
      <c r="AR73" s="0" t="n">
        <f aca="false">MIN(AI73,MAX(0,$AP73-SUMPRODUCT(($AH$1:$AO$1&lt;AI$1)*$AH73:$AO73)))</f>
        <v>0</v>
      </c>
      <c r="AS73" s="0" t="n">
        <f aca="false">MIN(AJ73,MAX(0,$AP73-SUMPRODUCT(($AH$1:$AO$1&lt;AJ$1)*$AH73:$AO73)))</f>
        <v>0</v>
      </c>
      <c r="AT73" s="0" t="n">
        <f aca="false">MIN(AK73,MAX(0,$AP73-SUMPRODUCT(($AH$1:$AO$1&lt;AK$1)*$AH73:$AO73)))</f>
        <v>0</v>
      </c>
      <c r="AU73" s="0" t="n">
        <f aca="false">MIN(AL73,MAX(0,$AP73-SUMPRODUCT(($AH$1:$AO$1&lt;AL$1)*$AH73:$AO73)))</f>
        <v>0</v>
      </c>
      <c r="AV73" s="0" t="n">
        <f aca="false">MIN(AM73,MAX(0,$AP73-SUMPRODUCT(($AH$1:$AO$1&lt;AM$1)*$AH73:$AO73)))</f>
        <v>0</v>
      </c>
      <c r="AW73" s="0" t="n">
        <f aca="false">MIN(AN73,MAX(0,$AP73-SUMPRODUCT(($AH$1:$AO$1&lt;AN$1)*$AH73:$AO73)))</f>
        <v>0</v>
      </c>
      <c r="AX73" s="0" t="n">
        <f aca="false">MIN(AO73,MAX(0,$AP73-SUMPRODUCT(($AH$1:$AO$1&lt;AO$1)*$AH73:$AO73)))</f>
        <v>0</v>
      </c>
      <c r="AY73" s="0" t="n">
        <f aca="false">ROUND(AH73-AQ73,2)</f>
        <v>0</v>
      </c>
      <c r="AZ73" s="0" t="n">
        <f aca="false">ROUND(AI73-AR73,2)</f>
        <v>0</v>
      </c>
      <c r="BA73" s="0" t="n">
        <f aca="false">ROUND(AJ73-AS73,2)</f>
        <v>0</v>
      </c>
      <c r="BB73" s="0" t="n">
        <f aca="false">ROUND(AK73-AT73,2)</f>
        <v>0</v>
      </c>
      <c r="BC73" s="0" t="n">
        <f aca="false">ROUND(AL73-AU73,2)</f>
        <v>0</v>
      </c>
      <c r="BD73" s="0" t="n">
        <f aca="false">ROUND(AM73-AV73,2)</f>
        <v>0</v>
      </c>
      <c r="BE73" s="0" t="n">
        <f aca="false">ROUND(AN73-AW73,2)</f>
        <v>0</v>
      </c>
      <c r="BF73" s="0" t="n">
        <f aca="false">ROUND(AO73-AX73,2)</f>
        <v>0</v>
      </c>
      <c r="BG73" s="0" t="n">
        <f aca="false">SUM(AY73:BF73)</f>
        <v>0</v>
      </c>
    </row>
    <row r="74" customFormat="false" ht="15" hidden="false" customHeight="false" outlineLevel="0" collapsed="false">
      <c r="A74" s="0" t="n">
        <v>72</v>
      </c>
      <c r="B74" s="0" t="n">
        <f aca="false">AY73</f>
        <v>0</v>
      </c>
      <c r="C74" s="0" t="n">
        <f aca="false">AZ73</f>
        <v>0</v>
      </c>
      <c r="D74" s="0" t="n">
        <f aca="false">BA73</f>
        <v>0</v>
      </c>
      <c r="E74" s="0" t="n">
        <f aca="false">BB73</f>
        <v>0</v>
      </c>
      <c r="F74" s="0" t="n">
        <f aca="false">BC73</f>
        <v>0</v>
      </c>
      <c r="G74" s="0" t="n">
        <f aca="false">BD73</f>
        <v>0</v>
      </c>
      <c r="H74" s="0" t="n">
        <f aca="false">BE73</f>
        <v>0</v>
      </c>
      <c r="I74" s="0" t="n">
        <f aca="false">BF73</f>
        <v>0</v>
      </c>
      <c r="J74" s="0" t="n">
        <f aca="false">B74*N('Debt Payoff'!D9)/12</f>
        <v>0</v>
      </c>
      <c r="K74" s="0" t="n">
        <f aca="false">C74*N('Debt Payoff'!D10)/12</f>
        <v>0</v>
      </c>
      <c r="L74" s="0" t="n">
        <f aca="false">D74*N('Debt Payoff'!D11)/12</f>
        <v>0</v>
      </c>
      <c r="M74" s="0" t="n">
        <f aca="false">E74*N('Debt Payoff'!D12)/12</f>
        <v>0</v>
      </c>
      <c r="N74" s="0" t="n">
        <f aca="false">F74*N('Debt Payoff'!D13)/12</f>
        <v>0</v>
      </c>
      <c r="O74" s="0" t="n">
        <f aca="false">G74*N('Debt Payoff'!D14)/12</f>
        <v>0</v>
      </c>
      <c r="P74" s="0" t="n">
        <f aca="false">H74*N('Debt Payoff'!D15)/12</f>
        <v>0</v>
      </c>
      <c r="Q74" s="0" t="n">
        <f aca="false">I74*N('Debt Payoff'!D16)/12</f>
        <v>0</v>
      </c>
      <c r="R74" s="0" t="n">
        <f aca="false">B74+J74</f>
        <v>0</v>
      </c>
      <c r="S74" s="0" t="n">
        <f aca="false">C74+K74</f>
        <v>0</v>
      </c>
      <c r="T74" s="0" t="n">
        <f aca="false">D74+L74</f>
        <v>0</v>
      </c>
      <c r="U74" s="0" t="n">
        <f aca="false">E74+M74</f>
        <v>0</v>
      </c>
      <c r="V74" s="0" t="n">
        <f aca="false">F74+N74</f>
        <v>0</v>
      </c>
      <c r="W74" s="0" t="n">
        <f aca="false">G74+O74</f>
        <v>0</v>
      </c>
      <c r="X74" s="0" t="n">
        <f aca="false">H74+P74</f>
        <v>0</v>
      </c>
      <c r="Y74" s="0" t="n">
        <f aca="false">I74+Q74</f>
        <v>0</v>
      </c>
      <c r="Z74" s="0" t="n">
        <f aca="false">MIN(R74,N('Debt Payoff'!E9))</f>
        <v>0</v>
      </c>
      <c r="AA74" s="0" t="n">
        <f aca="false">MIN(S74,N('Debt Payoff'!E10))</f>
        <v>0</v>
      </c>
      <c r="AB74" s="0" t="n">
        <f aca="false">MIN(T74,N('Debt Payoff'!E11))</f>
        <v>0</v>
      </c>
      <c r="AC74" s="0" t="n">
        <f aca="false">MIN(U74,N('Debt Payoff'!E12))</f>
        <v>0</v>
      </c>
      <c r="AD74" s="0" t="n">
        <f aca="false">MIN(V74,N('Debt Payoff'!E13))</f>
        <v>0</v>
      </c>
      <c r="AE74" s="0" t="n">
        <f aca="false">MIN(W74,N('Debt Payoff'!E14))</f>
        <v>0</v>
      </c>
      <c r="AF74" s="0" t="n">
        <f aca="false">MIN(X74,N('Debt Payoff'!E15))</f>
        <v>0</v>
      </c>
      <c r="AG74" s="0" t="n">
        <f aca="false">MIN(Y74,N('Debt Payoff'!E16))</f>
        <v>0</v>
      </c>
      <c r="AH74" s="0" t="n">
        <f aca="false">R74-Z74</f>
        <v>0</v>
      </c>
      <c r="AI74" s="0" t="n">
        <f aca="false">S74-AA74</f>
        <v>0</v>
      </c>
      <c r="AJ74" s="0" t="n">
        <f aca="false">T74-AB74</f>
        <v>0</v>
      </c>
      <c r="AK74" s="0" t="n">
        <f aca="false">U74-AC74</f>
        <v>0</v>
      </c>
      <c r="AL74" s="0" t="n">
        <f aca="false">V74-AD74</f>
        <v>0</v>
      </c>
      <c r="AM74" s="0" t="n">
        <f aca="false">W74-AE74</f>
        <v>0</v>
      </c>
      <c r="AN74" s="0" t="n">
        <f aca="false">X74-AF74</f>
        <v>0</v>
      </c>
      <c r="AO74" s="0" t="n">
        <f aca="false">Y74-AG74</f>
        <v>0</v>
      </c>
      <c r="AP74" s="0" t="n">
        <f aca="false">MAX(0,'Debt Payoff'!$D$17-SUM(Z74:AG74))</f>
        <v>805</v>
      </c>
      <c r="AQ74" s="0" t="n">
        <f aca="false">MIN(AH74,MAX(0,$AP74-SUMPRODUCT(($AH$1:$AO$1&lt;AH$1)*$AH74:$AO74)))</f>
        <v>0</v>
      </c>
      <c r="AR74" s="0" t="n">
        <f aca="false">MIN(AI74,MAX(0,$AP74-SUMPRODUCT(($AH$1:$AO$1&lt;AI$1)*$AH74:$AO74)))</f>
        <v>0</v>
      </c>
      <c r="AS74" s="0" t="n">
        <f aca="false">MIN(AJ74,MAX(0,$AP74-SUMPRODUCT(($AH$1:$AO$1&lt;AJ$1)*$AH74:$AO74)))</f>
        <v>0</v>
      </c>
      <c r="AT74" s="0" t="n">
        <f aca="false">MIN(AK74,MAX(0,$AP74-SUMPRODUCT(($AH$1:$AO$1&lt;AK$1)*$AH74:$AO74)))</f>
        <v>0</v>
      </c>
      <c r="AU74" s="0" t="n">
        <f aca="false">MIN(AL74,MAX(0,$AP74-SUMPRODUCT(($AH$1:$AO$1&lt;AL$1)*$AH74:$AO74)))</f>
        <v>0</v>
      </c>
      <c r="AV74" s="0" t="n">
        <f aca="false">MIN(AM74,MAX(0,$AP74-SUMPRODUCT(($AH$1:$AO$1&lt;AM$1)*$AH74:$AO74)))</f>
        <v>0</v>
      </c>
      <c r="AW74" s="0" t="n">
        <f aca="false">MIN(AN74,MAX(0,$AP74-SUMPRODUCT(($AH$1:$AO$1&lt;AN$1)*$AH74:$AO74)))</f>
        <v>0</v>
      </c>
      <c r="AX74" s="0" t="n">
        <f aca="false">MIN(AO74,MAX(0,$AP74-SUMPRODUCT(($AH$1:$AO$1&lt;AO$1)*$AH74:$AO74)))</f>
        <v>0</v>
      </c>
      <c r="AY74" s="0" t="n">
        <f aca="false">ROUND(AH74-AQ74,2)</f>
        <v>0</v>
      </c>
      <c r="AZ74" s="0" t="n">
        <f aca="false">ROUND(AI74-AR74,2)</f>
        <v>0</v>
      </c>
      <c r="BA74" s="0" t="n">
        <f aca="false">ROUND(AJ74-AS74,2)</f>
        <v>0</v>
      </c>
      <c r="BB74" s="0" t="n">
        <f aca="false">ROUND(AK74-AT74,2)</f>
        <v>0</v>
      </c>
      <c r="BC74" s="0" t="n">
        <f aca="false">ROUND(AL74-AU74,2)</f>
        <v>0</v>
      </c>
      <c r="BD74" s="0" t="n">
        <f aca="false">ROUND(AM74-AV74,2)</f>
        <v>0</v>
      </c>
      <c r="BE74" s="0" t="n">
        <f aca="false">ROUND(AN74-AW74,2)</f>
        <v>0</v>
      </c>
      <c r="BF74" s="0" t="n">
        <f aca="false">ROUND(AO74-AX74,2)</f>
        <v>0</v>
      </c>
      <c r="BG74" s="0" t="n">
        <f aca="false">SUM(AY74:BF74)</f>
        <v>0</v>
      </c>
    </row>
    <row r="75" customFormat="false" ht="15" hidden="false" customHeight="false" outlineLevel="0" collapsed="false">
      <c r="A75" s="0" t="n">
        <v>73</v>
      </c>
      <c r="B75" s="0" t="n">
        <f aca="false">AY74</f>
        <v>0</v>
      </c>
      <c r="C75" s="0" t="n">
        <f aca="false">AZ74</f>
        <v>0</v>
      </c>
      <c r="D75" s="0" t="n">
        <f aca="false">BA74</f>
        <v>0</v>
      </c>
      <c r="E75" s="0" t="n">
        <f aca="false">BB74</f>
        <v>0</v>
      </c>
      <c r="F75" s="0" t="n">
        <f aca="false">BC74</f>
        <v>0</v>
      </c>
      <c r="G75" s="0" t="n">
        <f aca="false">BD74</f>
        <v>0</v>
      </c>
      <c r="H75" s="0" t="n">
        <f aca="false">BE74</f>
        <v>0</v>
      </c>
      <c r="I75" s="0" t="n">
        <f aca="false">BF74</f>
        <v>0</v>
      </c>
      <c r="J75" s="0" t="n">
        <f aca="false">B75*N('Debt Payoff'!D9)/12</f>
        <v>0</v>
      </c>
      <c r="K75" s="0" t="n">
        <f aca="false">C75*N('Debt Payoff'!D10)/12</f>
        <v>0</v>
      </c>
      <c r="L75" s="0" t="n">
        <f aca="false">D75*N('Debt Payoff'!D11)/12</f>
        <v>0</v>
      </c>
      <c r="M75" s="0" t="n">
        <f aca="false">E75*N('Debt Payoff'!D12)/12</f>
        <v>0</v>
      </c>
      <c r="N75" s="0" t="n">
        <f aca="false">F75*N('Debt Payoff'!D13)/12</f>
        <v>0</v>
      </c>
      <c r="O75" s="0" t="n">
        <f aca="false">G75*N('Debt Payoff'!D14)/12</f>
        <v>0</v>
      </c>
      <c r="P75" s="0" t="n">
        <f aca="false">H75*N('Debt Payoff'!D15)/12</f>
        <v>0</v>
      </c>
      <c r="Q75" s="0" t="n">
        <f aca="false">I75*N('Debt Payoff'!D16)/12</f>
        <v>0</v>
      </c>
      <c r="R75" s="0" t="n">
        <f aca="false">B75+J75</f>
        <v>0</v>
      </c>
      <c r="S75" s="0" t="n">
        <f aca="false">C75+K75</f>
        <v>0</v>
      </c>
      <c r="T75" s="0" t="n">
        <f aca="false">D75+L75</f>
        <v>0</v>
      </c>
      <c r="U75" s="0" t="n">
        <f aca="false">E75+M75</f>
        <v>0</v>
      </c>
      <c r="V75" s="0" t="n">
        <f aca="false">F75+N75</f>
        <v>0</v>
      </c>
      <c r="W75" s="0" t="n">
        <f aca="false">G75+O75</f>
        <v>0</v>
      </c>
      <c r="X75" s="0" t="n">
        <f aca="false">H75+P75</f>
        <v>0</v>
      </c>
      <c r="Y75" s="0" t="n">
        <f aca="false">I75+Q75</f>
        <v>0</v>
      </c>
      <c r="Z75" s="0" t="n">
        <f aca="false">MIN(R75,N('Debt Payoff'!E9))</f>
        <v>0</v>
      </c>
      <c r="AA75" s="0" t="n">
        <f aca="false">MIN(S75,N('Debt Payoff'!E10))</f>
        <v>0</v>
      </c>
      <c r="AB75" s="0" t="n">
        <f aca="false">MIN(T75,N('Debt Payoff'!E11))</f>
        <v>0</v>
      </c>
      <c r="AC75" s="0" t="n">
        <f aca="false">MIN(U75,N('Debt Payoff'!E12))</f>
        <v>0</v>
      </c>
      <c r="AD75" s="0" t="n">
        <f aca="false">MIN(V75,N('Debt Payoff'!E13))</f>
        <v>0</v>
      </c>
      <c r="AE75" s="0" t="n">
        <f aca="false">MIN(W75,N('Debt Payoff'!E14))</f>
        <v>0</v>
      </c>
      <c r="AF75" s="0" t="n">
        <f aca="false">MIN(X75,N('Debt Payoff'!E15))</f>
        <v>0</v>
      </c>
      <c r="AG75" s="0" t="n">
        <f aca="false">MIN(Y75,N('Debt Payoff'!E16))</f>
        <v>0</v>
      </c>
      <c r="AH75" s="0" t="n">
        <f aca="false">R75-Z75</f>
        <v>0</v>
      </c>
      <c r="AI75" s="0" t="n">
        <f aca="false">S75-AA75</f>
        <v>0</v>
      </c>
      <c r="AJ75" s="0" t="n">
        <f aca="false">T75-AB75</f>
        <v>0</v>
      </c>
      <c r="AK75" s="0" t="n">
        <f aca="false">U75-AC75</f>
        <v>0</v>
      </c>
      <c r="AL75" s="0" t="n">
        <f aca="false">V75-AD75</f>
        <v>0</v>
      </c>
      <c r="AM75" s="0" t="n">
        <f aca="false">W75-AE75</f>
        <v>0</v>
      </c>
      <c r="AN75" s="0" t="n">
        <f aca="false">X75-AF75</f>
        <v>0</v>
      </c>
      <c r="AO75" s="0" t="n">
        <f aca="false">Y75-AG75</f>
        <v>0</v>
      </c>
      <c r="AP75" s="0" t="n">
        <f aca="false">MAX(0,'Debt Payoff'!$D$17-SUM(Z75:AG75))</f>
        <v>805</v>
      </c>
      <c r="AQ75" s="0" t="n">
        <f aca="false">MIN(AH75,MAX(0,$AP75-SUMPRODUCT(($AH$1:$AO$1&lt;AH$1)*$AH75:$AO75)))</f>
        <v>0</v>
      </c>
      <c r="AR75" s="0" t="n">
        <f aca="false">MIN(AI75,MAX(0,$AP75-SUMPRODUCT(($AH$1:$AO$1&lt;AI$1)*$AH75:$AO75)))</f>
        <v>0</v>
      </c>
      <c r="AS75" s="0" t="n">
        <f aca="false">MIN(AJ75,MAX(0,$AP75-SUMPRODUCT(($AH$1:$AO$1&lt;AJ$1)*$AH75:$AO75)))</f>
        <v>0</v>
      </c>
      <c r="AT75" s="0" t="n">
        <f aca="false">MIN(AK75,MAX(0,$AP75-SUMPRODUCT(($AH$1:$AO$1&lt;AK$1)*$AH75:$AO75)))</f>
        <v>0</v>
      </c>
      <c r="AU75" s="0" t="n">
        <f aca="false">MIN(AL75,MAX(0,$AP75-SUMPRODUCT(($AH$1:$AO$1&lt;AL$1)*$AH75:$AO75)))</f>
        <v>0</v>
      </c>
      <c r="AV75" s="0" t="n">
        <f aca="false">MIN(AM75,MAX(0,$AP75-SUMPRODUCT(($AH$1:$AO$1&lt;AM$1)*$AH75:$AO75)))</f>
        <v>0</v>
      </c>
      <c r="AW75" s="0" t="n">
        <f aca="false">MIN(AN75,MAX(0,$AP75-SUMPRODUCT(($AH$1:$AO$1&lt;AN$1)*$AH75:$AO75)))</f>
        <v>0</v>
      </c>
      <c r="AX75" s="0" t="n">
        <f aca="false">MIN(AO75,MAX(0,$AP75-SUMPRODUCT(($AH$1:$AO$1&lt;AO$1)*$AH75:$AO75)))</f>
        <v>0</v>
      </c>
      <c r="AY75" s="0" t="n">
        <f aca="false">ROUND(AH75-AQ75,2)</f>
        <v>0</v>
      </c>
      <c r="AZ75" s="0" t="n">
        <f aca="false">ROUND(AI75-AR75,2)</f>
        <v>0</v>
      </c>
      <c r="BA75" s="0" t="n">
        <f aca="false">ROUND(AJ75-AS75,2)</f>
        <v>0</v>
      </c>
      <c r="BB75" s="0" t="n">
        <f aca="false">ROUND(AK75-AT75,2)</f>
        <v>0</v>
      </c>
      <c r="BC75" s="0" t="n">
        <f aca="false">ROUND(AL75-AU75,2)</f>
        <v>0</v>
      </c>
      <c r="BD75" s="0" t="n">
        <f aca="false">ROUND(AM75-AV75,2)</f>
        <v>0</v>
      </c>
      <c r="BE75" s="0" t="n">
        <f aca="false">ROUND(AN75-AW75,2)</f>
        <v>0</v>
      </c>
      <c r="BF75" s="0" t="n">
        <f aca="false">ROUND(AO75-AX75,2)</f>
        <v>0</v>
      </c>
      <c r="BG75" s="0" t="n">
        <f aca="false">SUM(AY75:BF75)</f>
        <v>0</v>
      </c>
    </row>
    <row r="76" customFormat="false" ht="15" hidden="false" customHeight="false" outlineLevel="0" collapsed="false">
      <c r="A76" s="0" t="n">
        <v>74</v>
      </c>
      <c r="B76" s="0" t="n">
        <f aca="false">AY75</f>
        <v>0</v>
      </c>
      <c r="C76" s="0" t="n">
        <f aca="false">AZ75</f>
        <v>0</v>
      </c>
      <c r="D76" s="0" t="n">
        <f aca="false">BA75</f>
        <v>0</v>
      </c>
      <c r="E76" s="0" t="n">
        <f aca="false">BB75</f>
        <v>0</v>
      </c>
      <c r="F76" s="0" t="n">
        <f aca="false">BC75</f>
        <v>0</v>
      </c>
      <c r="G76" s="0" t="n">
        <f aca="false">BD75</f>
        <v>0</v>
      </c>
      <c r="H76" s="0" t="n">
        <f aca="false">BE75</f>
        <v>0</v>
      </c>
      <c r="I76" s="0" t="n">
        <f aca="false">BF75</f>
        <v>0</v>
      </c>
      <c r="J76" s="0" t="n">
        <f aca="false">B76*N('Debt Payoff'!D9)/12</f>
        <v>0</v>
      </c>
      <c r="K76" s="0" t="n">
        <f aca="false">C76*N('Debt Payoff'!D10)/12</f>
        <v>0</v>
      </c>
      <c r="L76" s="0" t="n">
        <f aca="false">D76*N('Debt Payoff'!D11)/12</f>
        <v>0</v>
      </c>
      <c r="M76" s="0" t="n">
        <f aca="false">E76*N('Debt Payoff'!D12)/12</f>
        <v>0</v>
      </c>
      <c r="N76" s="0" t="n">
        <f aca="false">F76*N('Debt Payoff'!D13)/12</f>
        <v>0</v>
      </c>
      <c r="O76" s="0" t="n">
        <f aca="false">G76*N('Debt Payoff'!D14)/12</f>
        <v>0</v>
      </c>
      <c r="P76" s="0" t="n">
        <f aca="false">H76*N('Debt Payoff'!D15)/12</f>
        <v>0</v>
      </c>
      <c r="Q76" s="0" t="n">
        <f aca="false">I76*N('Debt Payoff'!D16)/12</f>
        <v>0</v>
      </c>
      <c r="R76" s="0" t="n">
        <f aca="false">B76+J76</f>
        <v>0</v>
      </c>
      <c r="S76" s="0" t="n">
        <f aca="false">C76+K76</f>
        <v>0</v>
      </c>
      <c r="T76" s="0" t="n">
        <f aca="false">D76+L76</f>
        <v>0</v>
      </c>
      <c r="U76" s="0" t="n">
        <f aca="false">E76+M76</f>
        <v>0</v>
      </c>
      <c r="V76" s="0" t="n">
        <f aca="false">F76+N76</f>
        <v>0</v>
      </c>
      <c r="W76" s="0" t="n">
        <f aca="false">G76+O76</f>
        <v>0</v>
      </c>
      <c r="X76" s="0" t="n">
        <f aca="false">H76+P76</f>
        <v>0</v>
      </c>
      <c r="Y76" s="0" t="n">
        <f aca="false">I76+Q76</f>
        <v>0</v>
      </c>
      <c r="Z76" s="0" t="n">
        <f aca="false">MIN(R76,N('Debt Payoff'!E9))</f>
        <v>0</v>
      </c>
      <c r="AA76" s="0" t="n">
        <f aca="false">MIN(S76,N('Debt Payoff'!E10))</f>
        <v>0</v>
      </c>
      <c r="AB76" s="0" t="n">
        <f aca="false">MIN(T76,N('Debt Payoff'!E11))</f>
        <v>0</v>
      </c>
      <c r="AC76" s="0" t="n">
        <f aca="false">MIN(U76,N('Debt Payoff'!E12))</f>
        <v>0</v>
      </c>
      <c r="AD76" s="0" t="n">
        <f aca="false">MIN(V76,N('Debt Payoff'!E13))</f>
        <v>0</v>
      </c>
      <c r="AE76" s="0" t="n">
        <f aca="false">MIN(W76,N('Debt Payoff'!E14))</f>
        <v>0</v>
      </c>
      <c r="AF76" s="0" t="n">
        <f aca="false">MIN(X76,N('Debt Payoff'!E15))</f>
        <v>0</v>
      </c>
      <c r="AG76" s="0" t="n">
        <f aca="false">MIN(Y76,N('Debt Payoff'!E16))</f>
        <v>0</v>
      </c>
      <c r="AH76" s="0" t="n">
        <f aca="false">R76-Z76</f>
        <v>0</v>
      </c>
      <c r="AI76" s="0" t="n">
        <f aca="false">S76-AA76</f>
        <v>0</v>
      </c>
      <c r="AJ76" s="0" t="n">
        <f aca="false">T76-AB76</f>
        <v>0</v>
      </c>
      <c r="AK76" s="0" t="n">
        <f aca="false">U76-AC76</f>
        <v>0</v>
      </c>
      <c r="AL76" s="0" t="n">
        <f aca="false">V76-AD76</f>
        <v>0</v>
      </c>
      <c r="AM76" s="0" t="n">
        <f aca="false">W76-AE76</f>
        <v>0</v>
      </c>
      <c r="AN76" s="0" t="n">
        <f aca="false">X76-AF76</f>
        <v>0</v>
      </c>
      <c r="AO76" s="0" t="n">
        <f aca="false">Y76-AG76</f>
        <v>0</v>
      </c>
      <c r="AP76" s="0" t="n">
        <f aca="false">MAX(0,'Debt Payoff'!$D$17-SUM(Z76:AG76))</f>
        <v>805</v>
      </c>
      <c r="AQ76" s="0" t="n">
        <f aca="false">MIN(AH76,MAX(0,$AP76-SUMPRODUCT(($AH$1:$AO$1&lt;AH$1)*$AH76:$AO76)))</f>
        <v>0</v>
      </c>
      <c r="AR76" s="0" t="n">
        <f aca="false">MIN(AI76,MAX(0,$AP76-SUMPRODUCT(($AH$1:$AO$1&lt;AI$1)*$AH76:$AO76)))</f>
        <v>0</v>
      </c>
      <c r="AS76" s="0" t="n">
        <f aca="false">MIN(AJ76,MAX(0,$AP76-SUMPRODUCT(($AH$1:$AO$1&lt;AJ$1)*$AH76:$AO76)))</f>
        <v>0</v>
      </c>
      <c r="AT76" s="0" t="n">
        <f aca="false">MIN(AK76,MAX(0,$AP76-SUMPRODUCT(($AH$1:$AO$1&lt;AK$1)*$AH76:$AO76)))</f>
        <v>0</v>
      </c>
      <c r="AU76" s="0" t="n">
        <f aca="false">MIN(AL76,MAX(0,$AP76-SUMPRODUCT(($AH$1:$AO$1&lt;AL$1)*$AH76:$AO76)))</f>
        <v>0</v>
      </c>
      <c r="AV76" s="0" t="n">
        <f aca="false">MIN(AM76,MAX(0,$AP76-SUMPRODUCT(($AH$1:$AO$1&lt;AM$1)*$AH76:$AO76)))</f>
        <v>0</v>
      </c>
      <c r="AW76" s="0" t="n">
        <f aca="false">MIN(AN76,MAX(0,$AP76-SUMPRODUCT(($AH$1:$AO$1&lt;AN$1)*$AH76:$AO76)))</f>
        <v>0</v>
      </c>
      <c r="AX76" s="0" t="n">
        <f aca="false">MIN(AO76,MAX(0,$AP76-SUMPRODUCT(($AH$1:$AO$1&lt;AO$1)*$AH76:$AO76)))</f>
        <v>0</v>
      </c>
      <c r="AY76" s="0" t="n">
        <f aca="false">ROUND(AH76-AQ76,2)</f>
        <v>0</v>
      </c>
      <c r="AZ76" s="0" t="n">
        <f aca="false">ROUND(AI76-AR76,2)</f>
        <v>0</v>
      </c>
      <c r="BA76" s="0" t="n">
        <f aca="false">ROUND(AJ76-AS76,2)</f>
        <v>0</v>
      </c>
      <c r="BB76" s="0" t="n">
        <f aca="false">ROUND(AK76-AT76,2)</f>
        <v>0</v>
      </c>
      <c r="BC76" s="0" t="n">
        <f aca="false">ROUND(AL76-AU76,2)</f>
        <v>0</v>
      </c>
      <c r="BD76" s="0" t="n">
        <f aca="false">ROUND(AM76-AV76,2)</f>
        <v>0</v>
      </c>
      <c r="BE76" s="0" t="n">
        <f aca="false">ROUND(AN76-AW76,2)</f>
        <v>0</v>
      </c>
      <c r="BF76" s="0" t="n">
        <f aca="false">ROUND(AO76-AX76,2)</f>
        <v>0</v>
      </c>
      <c r="BG76" s="0" t="n">
        <f aca="false">SUM(AY76:BF76)</f>
        <v>0</v>
      </c>
    </row>
    <row r="77" customFormat="false" ht="15" hidden="false" customHeight="false" outlineLevel="0" collapsed="false">
      <c r="A77" s="0" t="n">
        <v>75</v>
      </c>
      <c r="B77" s="0" t="n">
        <f aca="false">AY76</f>
        <v>0</v>
      </c>
      <c r="C77" s="0" t="n">
        <f aca="false">AZ76</f>
        <v>0</v>
      </c>
      <c r="D77" s="0" t="n">
        <f aca="false">BA76</f>
        <v>0</v>
      </c>
      <c r="E77" s="0" t="n">
        <f aca="false">BB76</f>
        <v>0</v>
      </c>
      <c r="F77" s="0" t="n">
        <f aca="false">BC76</f>
        <v>0</v>
      </c>
      <c r="G77" s="0" t="n">
        <f aca="false">BD76</f>
        <v>0</v>
      </c>
      <c r="H77" s="0" t="n">
        <f aca="false">BE76</f>
        <v>0</v>
      </c>
      <c r="I77" s="0" t="n">
        <f aca="false">BF76</f>
        <v>0</v>
      </c>
      <c r="J77" s="0" t="n">
        <f aca="false">B77*N('Debt Payoff'!D9)/12</f>
        <v>0</v>
      </c>
      <c r="K77" s="0" t="n">
        <f aca="false">C77*N('Debt Payoff'!D10)/12</f>
        <v>0</v>
      </c>
      <c r="L77" s="0" t="n">
        <f aca="false">D77*N('Debt Payoff'!D11)/12</f>
        <v>0</v>
      </c>
      <c r="M77" s="0" t="n">
        <f aca="false">E77*N('Debt Payoff'!D12)/12</f>
        <v>0</v>
      </c>
      <c r="N77" s="0" t="n">
        <f aca="false">F77*N('Debt Payoff'!D13)/12</f>
        <v>0</v>
      </c>
      <c r="O77" s="0" t="n">
        <f aca="false">G77*N('Debt Payoff'!D14)/12</f>
        <v>0</v>
      </c>
      <c r="P77" s="0" t="n">
        <f aca="false">H77*N('Debt Payoff'!D15)/12</f>
        <v>0</v>
      </c>
      <c r="Q77" s="0" t="n">
        <f aca="false">I77*N('Debt Payoff'!D16)/12</f>
        <v>0</v>
      </c>
      <c r="R77" s="0" t="n">
        <f aca="false">B77+J77</f>
        <v>0</v>
      </c>
      <c r="S77" s="0" t="n">
        <f aca="false">C77+K77</f>
        <v>0</v>
      </c>
      <c r="T77" s="0" t="n">
        <f aca="false">D77+L77</f>
        <v>0</v>
      </c>
      <c r="U77" s="0" t="n">
        <f aca="false">E77+M77</f>
        <v>0</v>
      </c>
      <c r="V77" s="0" t="n">
        <f aca="false">F77+N77</f>
        <v>0</v>
      </c>
      <c r="W77" s="0" t="n">
        <f aca="false">G77+O77</f>
        <v>0</v>
      </c>
      <c r="X77" s="0" t="n">
        <f aca="false">H77+P77</f>
        <v>0</v>
      </c>
      <c r="Y77" s="0" t="n">
        <f aca="false">I77+Q77</f>
        <v>0</v>
      </c>
      <c r="Z77" s="0" t="n">
        <f aca="false">MIN(R77,N('Debt Payoff'!E9))</f>
        <v>0</v>
      </c>
      <c r="AA77" s="0" t="n">
        <f aca="false">MIN(S77,N('Debt Payoff'!E10))</f>
        <v>0</v>
      </c>
      <c r="AB77" s="0" t="n">
        <f aca="false">MIN(T77,N('Debt Payoff'!E11))</f>
        <v>0</v>
      </c>
      <c r="AC77" s="0" t="n">
        <f aca="false">MIN(U77,N('Debt Payoff'!E12))</f>
        <v>0</v>
      </c>
      <c r="AD77" s="0" t="n">
        <f aca="false">MIN(V77,N('Debt Payoff'!E13))</f>
        <v>0</v>
      </c>
      <c r="AE77" s="0" t="n">
        <f aca="false">MIN(W77,N('Debt Payoff'!E14))</f>
        <v>0</v>
      </c>
      <c r="AF77" s="0" t="n">
        <f aca="false">MIN(X77,N('Debt Payoff'!E15))</f>
        <v>0</v>
      </c>
      <c r="AG77" s="0" t="n">
        <f aca="false">MIN(Y77,N('Debt Payoff'!E16))</f>
        <v>0</v>
      </c>
      <c r="AH77" s="0" t="n">
        <f aca="false">R77-Z77</f>
        <v>0</v>
      </c>
      <c r="AI77" s="0" t="n">
        <f aca="false">S77-AA77</f>
        <v>0</v>
      </c>
      <c r="AJ77" s="0" t="n">
        <f aca="false">T77-AB77</f>
        <v>0</v>
      </c>
      <c r="AK77" s="0" t="n">
        <f aca="false">U77-AC77</f>
        <v>0</v>
      </c>
      <c r="AL77" s="0" t="n">
        <f aca="false">V77-AD77</f>
        <v>0</v>
      </c>
      <c r="AM77" s="0" t="n">
        <f aca="false">W77-AE77</f>
        <v>0</v>
      </c>
      <c r="AN77" s="0" t="n">
        <f aca="false">X77-AF77</f>
        <v>0</v>
      </c>
      <c r="AO77" s="0" t="n">
        <f aca="false">Y77-AG77</f>
        <v>0</v>
      </c>
      <c r="AP77" s="0" t="n">
        <f aca="false">MAX(0,'Debt Payoff'!$D$17-SUM(Z77:AG77))</f>
        <v>805</v>
      </c>
      <c r="AQ77" s="0" t="n">
        <f aca="false">MIN(AH77,MAX(0,$AP77-SUMPRODUCT(($AH$1:$AO$1&lt;AH$1)*$AH77:$AO77)))</f>
        <v>0</v>
      </c>
      <c r="AR77" s="0" t="n">
        <f aca="false">MIN(AI77,MAX(0,$AP77-SUMPRODUCT(($AH$1:$AO$1&lt;AI$1)*$AH77:$AO77)))</f>
        <v>0</v>
      </c>
      <c r="AS77" s="0" t="n">
        <f aca="false">MIN(AJ77,MAX(0,$AP77-SUMPRODUCT(($AH$1:$AO$1&lt;AJ$1)*$AH77:$AO77)))</f>
        <v>0</v>
      </c>
      <c r="AT77" s="0" t="n">
        <f aca="false">MIN(AK77,MAX(0,$AP77-SUMPRODUCT(($AH$1:$AO$1&lt;AK$1)*$AH77:$AO77)))</f>
        <v>0</v>
      </c>
      <c r="AU77" s="0" t="n">
        <f aca="false">MIN(AL77,MAX(0,$AP77-SUMPRODUCT(($AH$1:$AO$1&lt;AL$1)*$AH77:$AO77)))</f>
        <v>0</v>
      </c>
      <c r="AV77" s="0" t="n">
        <f aca="false">MIN(AM77,MAX(0,$AP77-SUMPRODUCT(($AH$1:$AO$1&lt;AM$1)*$AH77:$AO77)))</f>
        <v>0</v>
      </c>
      <c r="AW77" s="0" t="n">
        <f aca="false">MIN(AN77,MAX(0,$AP77-SUMPRODUCT(($AH$1:$AO$1&lt;AN$1)*$AH77:$AO77)))</f>
        <v>0</v>
      </c>
      <c r="AX77" s="0" t="n">
        <f aca="false">MIN(AO77,MAX(0,$AP77-SUMPRODUCT(($AH$1:$AO$1&lt;AO$1)*$AH77:$AO77)))</f>
        <v>0</v>
      </c>
      <c r="AY77" s="0" t="n">
        <f aca="false">ROUND(AH77-AQ77,2)</f>
        <v>0</v>
      </c>
      <c r="AZ77" s="0" t="n">
        <f aca="false">ROUND(AI77-AR77,2)</f>
        <v>0</v>
      </c>
      <c r="BA77" s="0" t="n">
        <f aca="false">ROUND(AJ77-AS77,2)</f>
        <v>0</v>
      </c>
      <c r="BB77" s="0" t="n">
        <f aca="false">ROUND(AK77-AT77,2)</f>
        <v>0</v>
      </c>
      <c r="BC77" s="0" t="n">
        <f aca="false">ROUND(AL77-AU77,2)</f>
        <v>0</v>
      </c>
      <c r="BD77" s="0" t="n">
        <f aca="false">ROUND(AM77-AV77,2)</f>
        <v>0</v>
      </c>
      <c r="BE77" s="0" t="n">
        <f aca="false">ROUND(AN77-AW77,2)</f>
        <v>0</v>
      </c>
      <c r="BF77" s="0" t="n">
        <f aca="false">ROUND(AO77-AX77,2)</f>
        <v>0</v>
      </c>
      <c r="BG77" s="0" t="n">
        <f aca="false">SUM(AY77:BF77)</f>
        <v>0</v>
      </c>
    </row>
    <row r="78" customFormat="false" ht="15" hidden="false" customHeight="false" outlineLevel="0" collapsed="false">
      <c r="A78" s="0" t="n">
        <v>76</v>
      </c>
      <c r="B78" s="0" t="n">
        <f aca="false">AY77</f>
        <v>0</v>
      </c>
      <c r="C78" s="0" t="n">
        <f aca="false">AZ77</f>
        <v>0</v>
      </c>
      <c r="D78" s="0" t="n">
        <f aca="false">BA77</f>
        <v>0</v>
      </c>
      <c r="E78" s="0" t="n">
        <f aca="false">BB77</f>
        <v>0</v>
      </c>
      <c r="F78" s="0" t="n">
        <f aca="false">BC77</f>
        <v>0</v>
      </c>
      <c r="G78" s="0" t="n">
        <f aca="false">BD77</f>
        <v>0</v>
      </c>
      <c r="H78" s="0" t="n">
        <f aca="false">BE77</f>
        <v>0</v>
      </c>
      <c r="I78" s="0" t="n">
        <f aca="false">BF77</f>
        <v>0</v>
      </c>
      <c r="J78" s="0" t="n">
        <f aca="false">B78*N('Debt Payoff'!D9)/12</f>
        <v>0</v>
      </c>
      <c r="K78" s="0" t="n">
        <f aca="false">C78*N('Debt Payoff'!D10)/12</f>
        <v>0</v>
      </c>
      <c r="L78" s="0" t="n">
        <f aca="false">D78*N('Debt Payoff'!D11)/12</f>
        <v>0</v>
      </c>
      <c r="M78" s="0" t="n">
        <f aca="false">E78*N('Debt Payoff'!D12)/12</f>
        <v>0</v>
      </c>
      <c r="N78" s="0" t="n">
        <f aca="false">F78*N('Debt Payoff'!D13)/12</f>
        <v>0</v>
      </c>
      <c r="O78" s="0" t="n">
        <f aca="false">G78*N('Debt Payoff'!D14)/12</f>
        <v>0</v>
      </c>
      <c r="P78" s="0" t="n">
        <f aca="false">H78*N('Debt Payoff'!D15)/12</f>
        <v>0</v>
      </c>
      <c r="Q78" s="0" t="n">
        <f aca="false">I78*N('Debt Payoff'!D16)/12</f>
        <v>0</v>
      </c>
      <c r="R78" s="0" t="n">
        <f aca="false">B78+J78</f>
        <v>0</v>
      </c>
      <c r="S78" s="0" t="n">
        <f aca="false">C78+K78</f>
        <v>0</v>
      </c>
      <c r="T78" s="0" t="n">
        <f aca="false">D78+L78</f>
        <v>0</v>
      </c>
      <c r="U78" s="0" t="n">
        <f aca="false">E78+M78</f>
        <v>0</v>
      </c>
      <c r="V78" s="0" t="n">
        <f aca="false">F78+N78</f>
        <v>0</v>
      </c>
      <c r="W78" s="0" t="n">
        <f aca="false">G78+O78</f>
        <v>0</v>
      </c>
      <c r="X78" s="0" t="n">
        <f aca="false">H78+P78</f>
        <v>0</v>
      </c>
      <c r="Y78" s="0" t="n">
        <f aca="false">I78+Q78</f>
        <v>0</v>
      </c>
      <c r="Z78" s="0" t="n">
        <f aca="false">MIN(R78,N('Debt Payoff'!E9))</f>
        <v>0</v>
      </c>
      <c r="AA78" s="0" t="n">
        <f aca="false">MIN(S78,N('Debt Payoff'!E10))</f>
        <v>0</v>
      </c>
      <c r="AB78" s="0" t="n">
        <f aca="false">MIN(T78,N('Debt Payoff'!E11))</f>
        <v>0</v>
      </c>
      <c r="AC78" s="0" t="n">
        <f aca="false">MIN(U78,N('Debt Payoff'!E12))</f>
        <v>0</v>
      </c>
      <c r="AD78" s="0" t="n">
        <f aca="false">MIN(V78,N('Debt Payoff'!E13))</f>
        <v>0</v>
      </c>
      <c r="AE78" s="0" t="n">
        <f aca="false">MIN(W78,N('Debt Payoff'!E14))</f>
        <v>0</v>
      </c>
      <c r="AF78" s="0" t="n">
        <f aca="false">MIN(X78,N('Debt Payoff'!E15))</f>
        <v>0</v>
      </c>
      <c r="AG78" s="0" t="n">
        <f aca="false">MIN(Y78,N('Debt Payoff'!E16))</f>
        <v>0</v>
      </c>
      <c r="AH78" s="0" t="n">
        <f aca="false">R78-Z78</f>
        <v>0</v>
      </c>
      <c r="AI78" s="0" t="n">
        <f aca="false">S78-AA78</f>
        <v>0</v>
      </c>
      <c r="AJ78" s="0" t="n">
        <f aca="false">T78-AB78</f>
        <v>0</v>
      </c>
      <c r="AK78" s="0" t="n">
        <f aca="false">U78-AC78</f>
        <v>0</v>
      </c>
      <c r="AL78" s="0" t="n">
        <f aca="false">V78-AD78</f>
        <v>0</v>
      </c>
      <c r="AM78" s="0" t="n">
        <f aca="false">W78-AE78</f>
        <v>0</v>
      </c>
      <c r="AN78" s="0" t="n">
        <f aca="false">X78-AF78</f>
        <v>0</v>
      </c>
      <c r="AO78" s="0" t="n">
        <f aca="false">Y78-AG78</f>
        <v>0</v>
      </c>
      <c r="AP78" s="0" t="n">
        <f aca="false">MAX(0,'Debt Payoff'!$D$17-SUM(Z78:AG78))</f>
        <v>805</v>
      </c>
      <c r="AQ78" s="0" t="n">
        <f aca="false">MIN(AH78,MAX(0,$AP78-SUMPRODUCT(($AH$1:$AO$1&lt;AH$1)*$AH78:$AO78)))</f>
        <v>0</v>
      </c>
      <c r="AR78" s="0" t="n">
        <f aca="false">MIN(AI78,MAX(0,$AP78-SUMPRODUCT(($AH$1:$AO$1&lt;AI$1)*$AH78:$AO78)))</f>
        <v>0</v>
      </c>
      <c r="AS78" s="0" t="n">
        <f aca="false">MIN(AJ78,MAX(0,$AP78-SUMPRODUCT(($AH$1:$AO$1&lt;AJ$1)*$AH78:$AO78)))</f>
        <v>0</v>
      </c>
      <c r="AT78" s="0" t="n">
        <f aca="false">MIN(AK78,MAX(0,$AP78-SUMPRODUCT(($AH$1:$AO$1&lt;AK$1)*$AH78:$AO78)))</f>
        <v>0</v>
      </c>
      <c r="AU78" s="0" t="n">
        <f aca="false">MIN(AL78,MAX(0,$AP78-SUMPRODUCT(($AH$1:$AO$1&lt;AL$1)*$AH78:$AO78)))</f>
        <v>0</v>
      </c>
      <c r="AV78" s="0" t="n">
        <f aca="false">MIN(AM78,MAX(0,$AP78-SUMPRODUCT(($AH$1:$AO$1&lt;AM$1)*$AH78:$AO78)))</f>
        <v>0</v>
      </c>
      <c r="AW78" s="0" t="n">
        <f aca="false">MIN(AN78,MAX(0,$AP78-SUMPRODUCT(($AH$1:$AO$1&lt;AN$1)*$AH78:$AO78)))</f>
        <v>0</v>
      </c>
      <c r="AX78" s="0" t="n">
        <f aca="false">MIN(AO78,MAX(0,$AP78-SUMPRODUCT(($AH$1:$AO$1&lt;AO$1)*$AH78:$AO78)))</f>
        <v>0</v>
      </c>
      <c r="AY78" s="0" t="n">
        <f aca="false">ROUND(AH78-AQ78,2)</f>
        <v>0</v>
      </c>
      <c r="AZ78" s="0" t="n">
        <f aca="false">ROUND(AI78-AR78,2)</f>
        <v>0</v>
      </c>
      <c r="BA78" s="0" t="n">
        <f aca="false">ROUND(AJ78-AS78,2)</f>
        <v>0</v>
      </c>
      <c r="BB78" s="0" t="n">
        <f aca="false">ROUND(AK78-AT78,2)</f>
        <v>0</v>
      </c>
      <c r="BC78" s="0" t="n">
        <f aca="false">ROUND(AL78-AU78,2)</f>
        <v>0</v>
      </c>
      <c r="BD78" s="0" t="n">
        <f aca="false">ROUND(AM78-AV78,2)</f>
        <v>0</v>
      </c>
      <c r="BE78" s="0" t="n">
        <f aca="false">ROUND(AN78-AW78,2)</f>
        <v>0</v>
      </c>
      <c r="BF78" s="0" t="n">
        <f aca="false">ROUND(AO78-AX78,2)</f>
        <v>0</v>
      </c>
      <c r="BG78" s="0" t="n">
        <f aca="false">SUM(AY78:BF78)</f>
        <v>0</v>
      </c>
    </row>
    <row r="79" customFormat="false" ht="15" hidden="false" customHeight="false" outlineLevel="0" collapsed="false">
      <c r="A79" s="0" t="n">
        <v>77</v>
      </c>
      <c r="B79" s="0" t="n">
        <f aca="false">AY78</f>
        <v>0</v>
      </c>
      <c r="C79" s="0" t="n">
        <f aca="false">AZ78</f>
        <v>0</v>
      </c>
      <c r="D79" s="0" t="n">
        <f aca="false">BA78</f>
        <v>0</v>
      </c>
      <c r="E79" s="0" t="n">
        <f aca="false">BB78</f>
        <v>0</v>
      </c>
      <c r="F79" s="0" t="n">
        <f aca="false">BC78</f>
        <v>0</v>
      </c>
      <c r="G79" s="0" t="n">
        <f aca="false">BD78</f>
        <v>0</v>
      </c>
      <c r="H79" s="0" t="n">
        <f aca="false">BE78</f>
        <v>0</v>
      </c>
      <c r="I79" s="0" t="n">
        <f aca="false">BF78</f>
        <v>0</v>
      </c>
      <c r="J79" s="0" t="n">
        <f aca="false">B79*N('Debt Payoff'!D9)/12</f>
        <v>0</v>
      </c>
      <c r="K79" s="0" t="n">
        <f aca="false">C79*N('Debt Payoff'!D10)/12</f>
        <v>0</v>
      </c>
      <c r="L79" s="0" t="n">
        <f aca="false">D79*N('Debt Payoff'!D11)/12</f>
        <v>0</v>
      </c>
      <c r="M79" s="0" t="n">
        <f aca="false">E79*N('Debt Payoff'!D12)/12</f>
        <v>0</v>
      </c>
      <c r="N79" s="0" t="n">
        <f aca="false">F79*N('Debt Payoff'!D13)/12</f>
        <v>0</v>
      </c>
      <c r="O79" s="0" t="n">
        <f aca="false">G79*N('Debt Payoff'!D14)/12</f>
        <v>0</v>
      </c>
      <c r="P79" s="0" t="n">
        <f aca="false">H79*N('Debt Payoff'!D15)/12</f>
        <v>0</v>
      </c>
      <c r="Q79" s="0" t="n">
        <f aca="false">I79*N('Debt Payoff'!D16)/12</f>
        <v>0</v>
      </c>
      <c r="R79" s="0" t="n">
        <f aca="false">B79+J79</f>
        <v>0</v>
      </c>
      <c r="S79" s="0" t="n">
        <f aca="false">C79+K79</f>
        <v>0</v>
      </c>
      <c r="T79" s="0" t="n">
        <f aca="false">D79+L79</f>
        <v>0</v>
      </c>
      <c r="U79" s="0" t="n">
        <f aca="false">E79+M79</f>
        <v>0</v>
      </c>
      <c r="V79" s="0" t="n">
        <f aca="false">F79+N79</f>
        <v>0</v>
      </c>
      <c r="W79" s="0" t="n">
        <f aca="false">G79+O79</f>
        <v>0</v>
      </c>
      <c r="X79" s="0" t="n">
        <f aca="false">H79+P79</f>
        <v>0</v>
      </c>
      <c r="Y79" s="0" t="n">
        <f aca="false">I79+Q79</f>
        <v>0</v>
      </c>
      <c r="Z79" s="0" t="n">
        <f aca="false">MIN(R79,N('Debt Payoff'!E9))</f>
        <v>0</v>
      </c>
      <c r="AA79" s="0" t="n">
        <f aca="false">MIN(S79,N('Debt Payoff'!E10))</f>
        <v>0</v>
      </c>
      <c r="AB79" s="0" t="n">
        <f aca="false">MIN(T79,N('Debt Payoff'!E11))</f>
        <v>0</v>
      </c>
      <c r="AC79" s="0" t="n">
        <f aca="false">MIN(U79,N('Debt Payoff'!E12))</f>
        <v>0</v>
      </c>
      <c r="AD79" s="0" t="n">
        <f aca="false">MIN(V79,N('Debt Payoff'!E13))</f>
        <v>0</v>
      </c>
      <c r="AE79" s="0" t="n">
        <f aca="false">MIN(W79,N('Debt Payoff'!E14))</f>
        <v>0</v>
      </c>
      <c r="AF79" s="0" t="n">
        <f aca="false">MIN(X79,N('Debt Payoff'!E15))</f>
        <v>0</v>
      </c>
      <c r="AG79" s="0" t="n">
        <f aca="false">MIN(Y79,N('Debt Payoff'!E16))</f>
        <v>0</v>
      </c>
      <c r="AH79" s="0" t="n">
        <f aca="false">R79-Z79</f>
        <v>0</v>
      </c>
      <c r="AI79" s="0" t="n">
        <f aca="false">S79-AA79</f>
        <v>0</v>
      </c>
      <c r="AJ79" s="0" t="n">
        <f aca="false">T79-AB79</f>
        <v>0</v>
      </c>
      <c r="AK79" s="0" t="n">
        <f aca="false">U79-AC79</f>
        <v>0</v>
      </c>
      <c r="AL79" s="0" t="n">
        <f aca="false">V79-AD79</f>
        <v>0</v>
      </c>
      <c r="AM79" s="0" t="n">
        <f aca="false">W79-AE79</f>
        <v>0</v>
      </c>
      <c r="AN79" s="0" t="n">
        <f aca="false">X79-AF79</f>
        <v>0</v>
      </c>
      <c r="AO79" s="0" t="n">
        <f aca="false">Y79-AG79</f>
        <v>0</v>
      </c>
      <c r="AP79" s="0" t="n">
        <f aca="false">MAX(0,'Debt Payoff'!$D$17-SUM(Z79:AG79))</f>
        <v>805</v>
      </c>
      <c r="AQ79" s="0" t="n">
        <f aca="false">MIN(AH79,MAX(0,$AP79-SUMPRODUCT(($AH$1:$AO$1&lt;AH$1)*$AH79:$AO79)))</f>
        <v>0</v>
      </c>
      <c r="AR79" s="0" t="n">
        <f aca="false">MIN(AI79,MAX(0,$AP79-SUMPRODUCT(($AH$1:$AO$1&lt;AI$1)*$AH79:$AO79)))</f>
        <v>0</v>
      </c>
      <c r="AS79" s="0" t="n">
        <f aca="false">MIN(AJ79,MAX(0,$AP79-SUMPRODUCT(($AH$1:$AO$1&lt;AJ$1)*$AH79:$AO79)))</f>
        <v>0</v>
      </c>
      <c r="AT79" s="0" t="n">
        <f aca="false">MIN(AK79,MAX(0,$AP79-SUMPRODUCT(($AH$1:$AO$1&lt;AK$1)*$AH79:$AO79)))</f>
        <v>0</v>
      </c>
      <c r="AU79" s="0" t="n">
        <f aca="false">MIN(AL79,MAX(0,$AP79-SUMPRODUCT(($AH$1:$AO$1&lt;AL$1)*$AH79:$AO79)))</f>
        <v>0</v>
      </c>
      <c r="AV79" s="0" t="n">
        <f aca="false">MIN(AM79,MAX(0,$AP79-SUMPRODUCT(($AH$1:$AO$1&lt;AM$1)*$AH79:$AO79)))</f>
        <v>0</v>
      </c>
      <c r="AW79" s="0" t="n">
        <f aca="false">MIN(AN79,MAX(0,$AP79-SUMPRODUCT(($AH$1:$AO$1&lt;AN$1)*$AH79:$AO79)))</f>
        <v>0</v>
      </c>
      <c r="AX79" s="0" t="n">
        <f aca="false">MIN(AO79,MAX(0,$AP79-SUMPRODUCT(($AH$1:$AO$1&lt;AO$1)*$AH79:$AO79)))</f>
        <v>0</v>
      </c>
      <c r="AY79" s="0" t="n">
        <f aca="false">ROUND(AH79-AQ79,2)</f>
        <v>0</v>
      </c>
      <c r="AZ79" s="0" t="n">
        <f aca="false">ROUND(AI79-AR79,2)</f>
        <v>0</v>
      </c>
      <c r="BA79" s="0" t="n">
        <f aca="false">ROUND(AJ79-AS79,2)</f>
        <v>0</v>
      </c>
      <c r="BB79" s="0" t="n">
        <f aca="false">ROUND(AK79-AT79,2)</f>
        <v>0</v>
      </c>
      <c r="BC79" s="0" t="n">
        <f aca="false">ROUND(AL79-AU79,2)</f>
        <v>0</v>
      </c>
      <c r="BD79" s="0" t="n">
        <f aca="false">ROUND(AM79-AV79,2)</f>
        <v>0</v>
      </c>
      <c r="BE79" s="0" t="n">
        <f aca="false">ROUND(AN79-AW79,2)</f>
        <v>0</v>
      </c>
      <c r="BF79" s="0" t="n">
        <f aca="false">ROUND(AO79-AX79,2)</f>
        <v>0</v>
      </c>
      <c r="BG79" s="0" t="n">
        <f aca="false">SUM(AY79:BF79)</f>
        <v>0</v>
      </c>
    </row>
    <row r="80" customFormat="false" ht="15" hidden="false" customHeight="false" outlineLevel="0" collapsed="false">
      <c r="A80" s="0" t="n">
        <v>78</v>
      </c>
      <c r="B80" s="0" t="n">
        <f aca="false">AY79</f>
        <v>0</v>
      </c>
      <c r="C80" s="0" t="n">
        <f aca="false">AZ79</f>
        <v>0</v>
      </c>
      <c r="D80" s="0" t="n">
        <f aca="false">BA79</f>
        <v>0</v>
      </c>
      <c r="E80" s="0" t="n">
        <f aca="false">BB79</f>
        <v>0</v>
      </c>
      <c r="F80" s="0" t="n">
        <f aca="false">BC79</f>
        <v>0</v>
      </c>
      <c r="G80" s="0" t="n">
        <f aca="false">BD79</f>
        <v>0</v>
      </c>
      <c r="H80" s="0" t="n">
        <f aca="false">BE79</f>
        <v>0</v>
      </c>
      <c r="I80" s="0" t="n">
        <f aca="false">BF79</f>
        <v>0</v>
      </c>
      <c r="J80" s="0" t="n">
        <f aca="false">B80*N('Debt Payoff'!D9)/12</f>
        <v>0</v>
      </c>
      <c r="K80" s="0" t="n">
        <f aca="false">C80*N('Debt Payoff'!D10)/12</f>
        <v>0</v>
      </c>
      <c r="L80" s="0" t="n">
        <f aca="false">D80*N('Debt Payoff'!D11)/12</f>
        <v>0</v>
      </c>
      <c r="M80" s="0" t="n">
        <f aca="false">E80*N('Debt Payoff'!D12)/12</f>
        <v>0</v>
      </c>
      <c r="N80" s="0" t="n">
        <f aca="false">F80*N('Debt Payoff'!D13)/12</f>
        <v>0</v>
      </c>
      <c r="O80" s="0" t="n">
        <f aca="false">G80*N('Debt Payoff'!D14)/12</f>
        <v>0</v>
      </c>
      <c r="P80" s="0" t="n">
        <f aca="false">H80*N('Debt Payoff'!D15)/12</f>
        <v>0</v>
      </c>
      <c r="Q80" s="0" t="n">
        <f aca="false">I80*N('Debt Payoff'!D16)/12</f>
        <v>0</v>
      </c>
      <c r="R80" s="0" t="n">
        <f aca="false">B80+J80</f>
        <v>0</v>
      </c>
      <c r="S80" s="0" t="n">
        <f aca="false">C80+K80</f>
        <v>0</v>
      </c>
      <c r="T80" s="0" t="n">
        <f aca="false">D80+L80</f>
        <v>0</v>
      </c>
      <c r="U80" s="0" t="n">
        <f aca="false">E80+M80</f>
        <v>0</v>
      </c>
      <c r="V80" s="0" t="n">
        <f aca="false">F80+N80</f>
        <v>0</v>
      </c>
      <c r="W80" s="0" t="n">
        <f aca="false">G80+O80</f>
        <v>0</v>
      </c>
      <c r="X80" s="0" t="n">
        <f aca="false">H80+P80</f>
        <v>0</v>
      </c>
      <c r="Y80" s="0" t="n">
        <f aca="false">I80+Q80</f>
        <v>0</v>
      </c>
      <c r="Z80" s="0" t="n">
        <f aca="false">MIN(R80,N('Debt Payoff'!E9))</f>
        <v>0</v>
      </c>
      <c r="AA80" s="0" t="n">
        <f aca="false">MIN(S80,N('Debt Payoff'!E10))</f>
        <v>0</v>
      </c>
      <c r="AB80" s="0" t="n">
        <f aca="false">MIN(T80,N('Debt Payoff'!E11))</f>
        <v>0</v>
      </c>
      <c r="AC80" s="0" t="n">
        <f aca="false">MIN(U80,N('Debt Payoff'!E12))</f>
        <v>0</v>
      </c>
      <c r="AD80" s="0" t="n">
        <f aca="false">MIN(V80,N('Debt Payoff'!E13))</f>
        <v>0</v>
      </c>
      <c r="AE80" s="0" t="n">
        <f aca="false">MIN(W80,N('Debt Payoff'!E14))</f>
        <v>0</v>
      </c>
      <c r="AF80" s="0" t="n">
        <f aca="false">MIN(X80,N('Debt Payoff'!E15))</f>
        <v>0</v>
      </c>
      <c r="AG80" s="0" t="n">
        <f aca="false">MIN(Y80,N('Debt Payoff'!E16))</f>
        <v>0</v>
      </c>
      <c r="AH80" s="0" t="n">
        <f aca="false">R80-Z80</f>
        <v>0</v>
      </c>
      <c r="AI80" s="0" t="n">
        <f aca="false">S80-AA80</f>
        <v>0</v>
      </c>
      <c r="AJ80" s="0" t="n">
        <f aca="false">T80-AB80</f>
        <v>0</v>
      </c>
      <c r="AK80" s="0" t="n">
        <f aca="false">U80-AC80</f>
        <v>0</v>
      </c>
      <c r="AL80" s="0" t="n">
        <f aca="false">V80-AD80</f>
        <v>0</v>
      </c>
      <c r="AM80" s="0" t="n">
        <f aca="false">W80-AE80</f>
        <v>0</v>
      </c>
      <c r="AN80" s="0" t="n">
        <f aca="false">X80-AF80</f>
        <v>0</v>
      </c>
      <c r="AO80" s="0" t="n">
        <f aca="false">Y80-AG80</f>
        <v>0</v>
      </c>
      <c r="AP80" s="0" t="n">
        <f aca="false">MAX(0,'Debt Payoff'!$D$17-SUM(Z80:AG80))</f>
        <v>805</v>
      </c>
      <c r="AQ80" s="0" t="n">
        <f aca="false">MIN(AH80,MAX(0,$AP80-SUMPRODUCT(($AH$1:$AO$1&lt;AH$1)*$AH80:$AO80)))</f>
        <v>0</v>
      </c>
      <c r="AR80" s="0" t="n">
        <f aca="false">MIN(AI80,MAX(0,$AP80-SUMPRODUCT(($AH$1:$AO$1&lt;AI$1)*$AH80:$AO80)))</f>
        <v>0</v>
      </c>
      <c r="AS80" s="0" t="n">
        <f aca="false">MIN(AJ80,MAX(0,$AP80-SUMPRODUCT(($AH$1:$AO$1&lt;AJ$1)*$AH80:$AO80)))</f>
        <v>0</v>
      </c>
      <c r="AT80" s="0" t="n">
        <f aca="false">MIN(AK80,MAX(0,$AP80-SUMPRODUCT(($AH$1:$AO$1&lt;AK$1)*$AH80:$AO80)))</f>
        <v>0</v>
      </c>
      <c r="AU80" s="0" t="n">
        <f aca="false">MIN(AL80,MAX(0,$AP80-SUMPRODUCT(($AH$1:$AO$1&lt;AL$1)*$AH80:$AO80)))</f>
        <v>0</v>
      </c>
      <c r="AV80" s="0" t="n">
        <f aca="false">MIN(AM80,MAX(0,$AP80-SUMPRODUCT(($AH$1:$AO$1&lt;AM$1)*$AH80:$AO80)))</f>
        <v>0</v>
      </c>
      <c r="AW80" s="0" t="n">
        <f aca="false">MIN(AN80,MAX(0,$AP80-SUMPRODUCT(($AH$1:$AO$1&lt;AN$1)*$AH80:$AO80)))</f>
        <v>0</v>
      </c>
      <c r="AX80" s="0" t="n">
        <f aca="false">MIN(AO80,MAX(0,$AP80-SUMPRODUCT(($AH$1:$AO$1&lt;AO$1)*$AH80:$AO80)))</f>
        <v>0</v>
      </c>
      <c r="AY80" s="0" t="n">
        <f aca="false">ROUND(AH80-AQ80,2)</f>
        <v>0</v>
      </c>
      <c r="AZ80" s="0" t="n">
        <f aca="false">ROUND(AI80-AR80,2)</f>
        <v>0</v>
      </c>
      <c r="BA80" s="0" t="n">
        <f aca="false">ROUND(AJ80-AS80,2)</f>
        <v>0</v>
      </c>
      <c r="BB80" s="0" t="n">
        <f aca="false">ROUND(AK80-AT80,2)</f>
        <v>0</v>
      </c>
      <c r="BC80" s="0" t="n">
        <f aca="false">ROUND(AL80-AU80,2)</f>
        <v>0</v>
      </c>
      <c r="BD80" s="0" t="n">
        <f aca="false">ROUND(AM80-AV80,2)</f>
        <v>0</v>
      </c>
      <c r="BE80" s="0" t="n">
        <f aca="false">ROUND(AN80-AW80,2)</f>
        <v>0</v>
      </c>
      <c r="BF80" s="0" t="n">
        <f aca="false">ROUND(AO80-AX80,2)</f>
        <v>0</v>
      </c>
      <c r="BG80" s="0" t="n">
        <f aca="false">SUM(AY80:BF80)</f>
        <v>0</v>
      </c>
    </row>
    <row r="81" customFormat="false" ht="15" hidden="false" customHeight="false" outlineLevel="0" collapsed="false">
      <c r="A81" s="0" t="n">
        <v>79</v>
      </c>
      <c r="B81" s="0" t="n">
        <f aca="false">AY80</f>
        <v>0</v>
      </c>
      <c r="C81" s="0" t="n">
        <f aca="false">AZ80</f>
        <v>0</v>
      </c>
      <c r="D81" s="0" t="n">
        <f aca="false">BA80</f>
        <v>0</v>
      </c>
      <c r="E81" s="0" t="n">
        <f aca="false">BB80</f>
        <v>0</v>
      </c>
      <c r="F81" s="0" t="n">
        <f aca="false">BC80</f>
        <v>0</v>
      </c>
      <c r="G81" s="0" t="n">
        <f aca="false">BD80</f>
        <v>0</v>
      </c>
      <c r="H81" s="0" t="n">
        <f aca="false">BE80</f>
        <v>0</v>
      </c>
      <c r="I81" s="0" t="n">
        <f aca="false">BF80</f>
        <v>0</v>
      </c>
      <c r="J81" s="0" t="n">
        <f aca="false">B81*N('Debt Payoff'!D9)/12</f>
        <v>0</v>
      </c>
      <c r="K81" s="0" t="n">
        <f aca="false">C81*N('Debt Payoff'!D10)/12</f>
        <v>0</v>
      </c>
      <c r="L81" s="0" t="n">
        <f aca="false">D81*N('Debt Payoff'!D11)/12</f>
        <v>0</v>
      </c>
      <c r="M81" s="0" t="n">
        <f aca="false">E81*N('Debt Payoff'!D12)/12</f>
        <v>0</v>
      </c>
      <c r="N81" s="0" t="n">
        <f aca="false">F81*N('Debt Payoff'!D13)/12</f>
        <v>0</v>
      </c>
      <c r="O81" s="0" t="n">
        <f aca="false">G81*N('Debt Payoff'!D14)/12</f>
        <v>0</v>
      </c>
      <c r="P81" s="0" t="n">
        <f aca="false">H81*N('Debt Payoff'!D15)/12</f>
        <v>0</v>
      </c>
      <c r="Q81" s="0" t="n">
        <f aca="false">I81*N('Debt Payoff'!D16)/12</f>
        <v>0</v>
      </c>
      <c r="R81" s="0" t="n">
        <f aca="false">B81+J81</f>
        <v>0</v>
      </c>
      <c r="S81" s="0" t="n">
        <f aca="false">C81+K81</f>
        <v>0</v>
      </c>
      <c r="T81" s="0" t="n">
        <f aca="false">D81+L81</f>
        <v>0</v>
      </c>
      <c r="U81" s="0" t="n">
        <f aca="false">E81+M81</f>
        <v>0</v>
      </c>
      <c r="V81" s="0" t="n">
        <f aca="false">F81+N81</f>
        <v>0</v>
      </c>
      <c r="W81" s="0" t="n">
        <f aca="false">G81+O81</f>
        <v>0</v>
      </c>
      <c r="X81" s="0" t="n">
        <f aca="false">H81+P81</f>
        <v>0</v>
      </c>
      <c r="Y81" s="0" t="n">
        <f aca="false">I81+Q81</f>
        <v>0</v>
      </c>
      <c r="Z81" s="0" t="n">
        <f aca="false">MIN(R81,N('Debt Payoff'!E9))</f>
        <v>0</v>
      </c>
      <c r="AA81" s="0" t="n">
        <f aca="false">MIN(S81,N('Debt Payoff'!E10))</f>
        <v>0</v>
      </c>
      <c r="AB81" s="0" t="n">
        <f aca="false">MIN(T81,N('Debt Payoff'!E11))</f>
        <v>0</v>
      </c>
      <c r="AC81" s="0" t="n">
        <f aca="false">MIN(U81,N('Debt Payoff'!E12))</f>
        <v>0</v>
      </c>
      <c r="AD81" s="0" t="n">
        <f aca="false">MIN(V81,N('Debt Payoff'!E13))</f>
        <v>0</v>
      </c>
      <c r="AE81" s="0" t="n">
        <f aca="false">MIN(W81,N('Debt Payoff'!E14))</f>
        <v>0</v>
      </c>
      <c r="AF81" s="0" t="n">
        <f aca="false">MIN(X81,N('Debt Payoff'!E15))</f>
        <v>0</v>
      </c>
      <c r="AG81" s="0" t="n">
        <f aca="false">MIN(Y81,N('Debt Payoff'!E16))</f>
        <v>0</v>
      </c>
      <c r="AH81" s="0" t="n">
        <f aca="false">R81-Z81</f>
        <v>0</v>
      </c>
      <c r="AI81" s="0" t="n">
        <f aca="false">S81-AA81</f>
        <v>0</v>
      </c>
      <c r="AJ81" s="0" t="n">
        <f aca="false">T81-AB81</f>
        <v>0</v>
      </c>
      <c r="AK81" s="0" t="n">
        <f aca="false">U81-AC81</f>
        <v>0</v>
      </c>
      <c r="AL81" s="0" t="n">
        <f aca="false">V81-AD81</f>
        <v>0</v>
      </c>
      <c r="AM81" s="0" t="n">
        <f aca="false">W81-AE81</f>
        <v>0</v>
      </c>
      <c r="AN81" s="0" t="n">
        <f aca="false">X81-AF81</f>
        <v>0</v>
      </c>
      <c r="AO81" s="0" t="n">
        <f aca="false">Y81-AG81</f>
        <v>0</v>
      </c>
      <c r="AP81" s="0" t="n">
        <f aca="false">MAX(0,'Debt Payoff'!$D$17-SUM(Z81:AG81))</f>
        <v>805</v>
      </c>
      <c r="AQ81" s="0" t="n">
        <f aca="false">MIN(AH81,MAX(0,$AP81-SUMPRODUCT(($AH$1:$AO$1&lt;AH$1)*$AH81:$AO81)))</f>
        <v>0</v>
      </c>
      <c r="AR81" s="0" t="n">
        <f aca="false">MIN(AI81,MAX(0,$AP81-SUMPRODUCT(($AH$1:$AO$1&lt;AI$1)*$AH81:$AO81)))</f>
        <v>0</v>
      </c>
      <c r="AS81" s="0" t="n">
        <f aca="false">MIN(AJ81,MAX(0,$AP81-SUMPRODUCT(($AH$1:$AO$1&lt;AJ$1)*$AH81:$AO81)))</f>
        <v>0</v>
      </c>
      <c r="AT81" s="0" t="n">
        <f aca="false">MIN(AK81,MAX(0,$AP81-SUMPRODUCT(($AH$1:$AO$1&lt;AK$1)*$AH81:$AO81)))</f>
        <v>0</v>
      </c>
      <c r="AU81" s="0" t="n">
        <f aca="false">MIN(AL81,MAX(0,$AP81-SUMPRODUCT(($AH$1:$AO$1&lt;AL$1)*$AH81:$AO81)))</f>
        <v>0</v>
      </c>
      <c r="AV81" s="0" t="n">
        <f aca="false">MIN(AM81,MAX(0,$AP81-SUMPRODUCT(($AH$1:$AO$1&lt;AM$1)*$AH81:$AO81)))</f>
        <v>0</v>
      </c>
      <c r="AW81" s="0" t="n">
        <f aca="false">MIN(AN81,MAX(0,$AP81-SUMPRODUCT(($AH$1:$AO$1&lt;AN$1)*$AH81:$AO81)))</f>
        <v>0</v>
      </c>
      <c r="AX81" s="0" t="n">
        <f aca="false">MIN(AO81,MAX(0,$AP81-SUMPRODUCT(($AH$1:$AO$1&lt;AO$1)*$AH81:$AO81)))</f>
        <v>0</v>
      </c>
      <c r="AY81" s="0" t="n">
        <f aca="false">ROUND(AH81-AQ81,2)</f>
        <v>0</v>
      </c>
      <c r="AZ81" s="0" t="n">
        <f aca="false">ROUND(AI81-AR81,2)</f>
        <v>0</v>
      </c>
      <c r="BA81" s="0" t="n">
        <f aca="false">ROUND(AJ81-AS81,2)</f>
        <v>0</v>
      </c>
      <c r="BB81" s="0" t="n">
        <f aca="false">ROUND(AK81-AT81,2)</f>
        <v>0</v>
      </c>
      <c r="BC81" s="0" t="n">
        <f aca="false">ROUND(AL81-AU81,2)</f>
        <v>0</v>
      </c>
      <c r="BD81" s="0" t="n">
        <f aca="false">ROUND(AM81-AV81,2)</f>
        <v>0</v>
      </c>
      <c r="BE81" s="0" t="n">
        <f aca="false">ROUND(AN81-AW81,2)</f>
        <v>0</v>
      </c>
      <c r="BF81" s="0" t="n">
        <f aca="false">ROUND(AO81-AX81,2)</f>
        <v>0</v>
      </c>
      <c r="BG81" s="0" t="n">
        <f aca="false">SUM(AY81:BF81)</f>
        <v>0</v>
      </c>
    </row>
    <row r="82" customFormat="false" ht="15" hidden="false" customHeight="false" outlineLevel="0" collapsed="false">
      <c r="A82" s="0" t="n">
        <v>80</v>
      </c>
      <c r="B82" s="0" t="n">
        <f aca="false">AY81</f>
        <v>0</v>
      </c>
      <c r="C82" s="0" t="n">
        <f aca="false">AZ81</f>
        <v>0</v>
      </c>
      <c r="D82" s="0" t="n">
        <f aca="false">BA81</f>
        <v>0</v>
      </c>
      <c r="E82" s="0" t="n">
        <f aca="false">BB81</f>
        <v>0</v>
      </c>
      <c r="F82" s="0" t="n">
        <f aca="false">BC81</f>
        <v>0</v>
      </c>
      <c r="G82" s="0" t="n">
        <f aca="false">BD81</f>
        <v>0</v>
      </c>
      <c r="H82" s="0" t="n">
        <f aca="false">BE81</f>
        <v>0</v>
      </c>
      <c r="I82" s="0" t="n">
        <f aca="false">BF81</f>
        <v>0</v>
      </c>
      <c r="J82" s="0" t="n">
        <f aca="false">B82*N('Debt Payoff'!D9)/12</f>
        <v>0</v>
      </c>
      <c r="K82" s="0" t="n">
        <f aca="false">C82*N('Debt Payoff'!D10)/12</f>
        <v>0</v>
      </c>
      <c r="L82" s="0" t="n">
        <f aca="false">D82*N('Debt Payoff'!D11)/12</f>
        <v>0</v>
      </c>
      <c r="M82" s="0" t="n">
        <f aca="false">E82*N('Debt Payoff'!D12)/12</f>
        <v>0</v>
      </c>
      <c r="N82" s="0" t="n">
        <f aca="false">F82*N('Debt Payoff'!D13)/12</f>
        <v>0</v>
      </c>
      <c r="O82" s="0" t="n">
        <f aca="false">G82*N('Debt Payoff'!D14)/12</f>
        <v>0</v>
      </c>
      <c r="P82" s="0" t="n">
        <f aca="false">H82*N('Debt Payoff'!D15)/12</f>
        <v>0</v>
      </c>
      <c r="Q82" s="0" t="n">
        <f aca="false">I82*N('Debt Payoff'!D16)/12</f>
        <v>0</v>
      </c>
      <c r="R82" s="0" t="n">
        <f aca="false">B82+J82</f>
        <v>0</v>
      </c>
      <c r="S82" s="0" t="n">
        <f aca="false">C82+K82</f>
        <v>0</v>
      </c>
      <c r="T82" s="0" t="n">
        <f aca="false">D82+L82</f>
        <v>0</v>
      </c>
      <c r="U82" s="0" t="n">
        <f aca="false">E82+M82</f>
        <v>0</v>
      </c>
      <c r="V82" s="0" t="n">
        <f aca="false">F82+N82</f>
        <v>0</v>
      </c>
      <c r="W82" s="0" t="n">
        <f aca="false">G82+O82</f>
        <v>0</v>
      </c>
      <c r="X82" s="0" t="n">
        <f aca="false">H82+P82</f>
        <v>0</v>
      </c>
      <c r="Y82" s="0" t="n">
        <f aca="false">I82+Q82</f>
        <v>0</v>
      </c>
      <c r="Z82" s="0" t="n">
        <f aca="false">MIN(R82,N('Debt Payoff'!E9))</f>
        <v>0</v>
      </c>
      <c r="AA82" s="0" t="n">
        <f aca="false">MIN(S82,N('Debt Payoff'!E10))</f>
        <v>0</v>
      </c>
      <c r="AB82" s="0" t="n">
        <f aca="false">MIN(T82,N('Debt Payoff'!E11))</f>
        <v>0</v>
      </c>
      <c r="AC82" s="0" t="n">
        <f aca="false">MIN(U82,N('Debt Payoff'!E12))</f>
        <v>0</v>
      </c>
      <c r="AD82" s="0" t="n">
        <f aca="false">MIN(V82,N('Debt Payoff'!E13))</f>
        <v>0</v>
      </c>
      <c r="AE82" s="0" t="n">
        <f aca="false">MIN(W82,N('Debt Payoff'!E14))</f>
        <v>0</v>
      </c>
      <c r="AF82" s="0" t="n">
        <f aca="false">MIN(X82,N('Debt Payoff'!E15))</f>
        <v>0</v>
      </c>
      <c r="AG82" s="0" t="n">
        <f aca="false">MIN(Y82,N('Debt Payoff'!E16))</f>
        <v>0</v>
      </c>
      <c r="AH82" s="0" t="n">
        <f aca="false">R82-Z82</f>
        <v>0</v>
      </c>
      <c r="AI82" s="0" t="n">
        <f aca="false">S82-AA82</f>
        <v>0</v>
      </c>
      <c r="AJ82" s="0" t="n">
        <f aca="false">T82-AB82</f>
        <v>0</v>
      </c>
      <c r="AK82" s="0" t="n">
        <f aca="false">U82-AC82</f>
        <v>0</v>
      </c>
      <c r="AL82" s="0" t="n">
        <f aca="false">V82-AD82</f>
        <v>0</v>
      </c>
      <c r="AM82" s="0" t="n">
        <f aca="false">W82-AE82</f>
        <v>0</v>
      </c>
      <c r="AN82" s="0" t="n">
        <f aca="false">X82-AF82</f>
        <v>0</v>
      </c>
      <c r="AO82" s="0" t="n">
        <f aca="false">Y82-AG82</f>
        <v>0</v>
      </c>
      <c r="AP82" s="0" t="n">
        <f aca="false">MAX(0,'Debt Payoff'!$D$17-SUM(Z82:AG82))</f>
        <v>805</v>
      </c>
      <c r="AQ82" s="0" t="n">
        <f aca="false">MIN(AH82,MAX(0,$AP82-SUMPRODUCT(($AH$1:$AO$1&lt;AH$1)*$AH82:$AO82)))</f>
        <v>0</v>
      </c>
      <c r="AR82" s="0" t="n">
        <f aca="false">MIN(AI82,MAX(0,$AP82-SUMPRODUCT(($AH$1:$AO$1&lt;AI$1)*$AH82:$AO82)))</f>
        <v>0</v>
      </c>
      <c r="AS82" s="0" t="n">
        <f aca="false">MIN(AJ82,MAX(0,$AP82-SUMPRODUCT(($AH$1:$AO$1&lt;AJ$1)*$AH82:$AO82)))</f>
        <v>0</v>
      </c>
      <c r="AT82" s="0" t="n">
        <f aca="false">MIN(AK82,MAX(0,$AP82-SUMPRODUCT(($AH$1:$AO$1&lt;AK$1)*$AH82:$AO82)))</f>
        <v>0</v>
      </c>
      <c r="AU82" s="0" t="n">
        <f aca="false">MIN(AL82,MAX(0,$AP82-SUMPRODUCT(($AH$1:$AO$1&lt;AL$1)*$AH82:$AO82)))</f>
        <v>0</v>
      </c>
      <c r="AV82" s="0" t="n">
        <f aca="false">MIN(AM82,MAX(0,$AP82-SUMPRODUCT(($AH$1:$AO$1&lt;AM$1)*$AH82:$AO82)))</f>
        <v>0</v>
      </c>
      <c r="AW82" s="0" t="n">
        <f aca="false">MIN(AN82,MAX(0,$AP82-SUMPRODUCT(($AH$1:$AO$1&lt;AN$1)*$AH82:$AO82)))</f>
        <v>0</v>
      </c>
      <c r="AX82" s="0" t="n">
        <f aca="false">MIN(AO82,MAX(0,$AP82-SUMPRODUCT(($AH$1:$AO$1&lt;AO$1)*$AH82:$AO82)))</f>
        <v>0</v>
      </c>
      <c r="AY82" s="0" t="n">
        <f aca="false">ROUND(AH82-AQ82,2)</f>
        <v>0</v>
      </c>
      <c r="AZ82" s="0" t="n">
        <f aca="false">ROUND(AI82-AR82,2)</f>
        <v>0</v>
      </c>
      <c r="BA82" s="0" t="n">
        <f aca="false">ROUND(AJ82-AS82,2)</f>
        <v>0</v>
      </c>
      <c r="BB82" s="0" t="n">
        <f aca="false">ROUND(AK82-AT82,2)</f>
        <v>0</v>
      </c>
      <c r="BC82" s="0" t="n">
        <f aca="false">ROUND(AL82-AU82,2)</f>
        <v>0</v>
      </c>
      <c r="BD82" s="0" t="n">
        <f aca="false">ROUND(AM82-AV82,2)</f>
        <v>0</v>
      </c>
      <c r="BE82" s="0" t="n">
        <f aca="false">ROUND(AN82-AW82,2)</f>
        <v>0</v>
      </c>
      <c r="BF82" s="0" t="n">
        <f aca="false">ROUND(AO82-AX82,2)</f>
        <v>0</v>
      </c>
      <c r="BG82" s="0" t="n">
        <f aca="false">SUM(AY82:BF82)</f>
        <v>0</v>
      </c>
    </row>
    <row r="83" customFormat="false" ht="15" hidden="false" customHeight="false" outlineLevel="0" collapsed="false">
      <c r="A83" s="0" t="n">
        <v>81</v>
      </c>
      <c r="B83" s="0" t="n">
        <f aca="false">AY82</f>
        <v>0</v>
      </c>
      <c r="C83" s="0" t="n">
        <f aca="false">AZ82</f>
        <v>0</v>
      </c>
      <c r="D83" s="0" t="n">
        <f aca="false">BA82</f>
        <v>0</v>
      </c>
      <c r="E83" s="0" t="n">
        <f aca="false">BB82</f>
        <v>0</v>
      </c>
      <c r="F83" s="0" t="n">
        <f aca="false">BC82</f>
        <v>0</v>
      </c>
      <c r="G83" s="0" t="n">
        <f aca="false">BD82</f>
        <v>0</v>
      </c>
      <c r="H83" s="0" t="n">
        <f aca="false">BE82</f>
        <v>0</v>
      </c>
      <c r="I83" s="0" t="n">
        <f aca="false">BF82</f>
        <v>0</v>
      </c>
      <c r="J83" s="0" t="n">
        <f aca="false">B83*N('Debt Payoff'!D9)/12</f>
        <v>0</v>
      </c>
      <c r="K83" s="0" t="n">
        <f aca="false">C83*N('Debt Payoff'!D10)/12</f>
        <v>0</v>
      </c>
      <c r="L83" s="0" t="n">
        <f aca="false">D83*N('Debt Payoff'!D11)/12</f>
        <v>0</v>
      </c>
      <c r="M83" s="0" t="n">
        <f aca="false">E83*N('Debt Payoff'!D12)/12</f>
        <v>0</v>
      </c>
      <c r="N83" s="0" t="n">
        <f aca="false">F83*N('Debt Payoff'!D13)/12</f>
        <v>0</v>
      </c>
      <c r="O83" s="0" t="n">
        <f aca="false">G83*N('Debt Payoff'!D14)/12</f>
        <v>0</v>
      </c>
      <c r="P83" s="0" t="n">
        <f aca="false">H83*N('Debt Payoff'!D15)/12</f>
        <v>0</v>
      </c>
      <c r="Q83" s="0" t="n">
        <f aca="false">I83*N('Debt Payoff'!D16)/12</f>
        <v>0</v>
      </c>
      <c r="R83" s="0" t="n">
        <f aca="false">B83+J83</f>
        <v>0</v>
      </c>
      <c r="S83" s="0" t="n">
        <f aca="false">C83+K83</f>
        <v>0</v>
      </c>
      <c r="T83" s="0" t="n">
        <f aca="false">D83+L83</f>
        <v>0</v>
      </c>
      <c r="U83" s="0" t="n">
        <f aca="false">E83+M83</f>
        <v>0</v>
      </c>
      <c r="V83" s="0" t="n">
        <f aca="false">F83+N83</f>
        <v>0</v>
      </c>
      <c r="W83" s="0" t="n">
        <f aca="false">G83+O83</f>
        <v>0</v>
      </c>
      <c r="X83" s="0" t="n">
        <f aca="false">H83+P83</f>
        <v>0</v>
      </c>
      <c r="Y83" s="0" t="n">
        <f aca="false">I83+Q83</f>
        <v>0</v>
      </c>
      <c r="Z83" s="0" t="n">
        <f aca="false">MIN(R83,N('Debt Payoff'!E9))</f>
        <v>0</v>
      </c>
      <c r="AA83" s="0" t="n">
        <f aca="false">MIN(S83,N('Debt Payoff'!E10))</f>
        <v>0</v>
      </c>
      <c r="AB83" s="0" t="n">
        <f aca="false">MIN(T83,N('Debt Payoff'!E11))</f>
        <v>0</v>
      </c>
      <c r="AC83" s="0" t="n">
        <f aca="false">MIN(U83,N('Debt Payoff'!E12))</f>
        <v>0</v>
      </c>
      <c r="AD83" s="0" t="n">
        <f aca="false">MIN(V83,N('Debt Payoff'!E13))</f>
        <v>0</v>
      </c>
      <c r="AE83" s="0" t="n">
        <f aca="false">MIN(W83,N('Debt Payoff'!E14))</f>
        <v>0</v>
      </c>
      <c r="AF83" s="0" t="n">
        <f aca="false">MIN(X83,N('Debt Payoff'!E15))</f>
        <v>0</v>
      </c>
      <c r="AG83" s="0" t="n">
        <f aca="false">MIN(Y83,N('Debt Payoff'!E16))</f>
        <v>0</v>
      </c>
      <c r="AH83" s="0" t="n">
        <f aca="false">R83-Z83</f>
        <v>0</v>
      </c>
      <c r="AI83" s="0" t="n">
        <f aca="false">S83-AA83</f>
        <v>0</v>
      </c>
      <c r="AJ83" s="0" t="n">
        <f aca="false">T83-AB83</f>
        <v>0</v>
      </c>
      <c r="AK83" s="0" t="n">
        <f aca="false">U83-AC83</f>
        <v>0</v>
      </c>
      <c r="AL83" s="0" t="n">
        <f aca="false">V83-AD83</f>
        <v>0</v>
      </c>
      <c r="AM83" s="0" t="n">
        <f aca="false">W83-AE83</f>
        <v>0</v>
      </c>
      <c r="AN83" s="0" t="n">
        <f aca="false">X83-AF83</f>
        <v>0</v>
      </c>
      <c r="AO83" s="0" t="n">
        <f aca="false">Y83-AG83</f>
        <v>0</v>
      </c>
      <c r="AP83" s="0" t="n">
        <f aca="false">MAX(0,'Debt Payoff'!$D$17-SUM(Z83:AG83))</f>
        <v>805</v>
      </c>
      <c r="AQ83" s="0" t="n">
        <f aca="false">MIN(AH83,MAX(0,$AP83-SUMPRODUCT(($AH$1:$AO$1&lt;AH$1)*$AH83:$AO83)))</f>
        <v>0</v>
      </c>
      <c r="AR83" s="0" t="n">
        <f aca="false">MIN(AI83,MAX(0,$AP83-SUMPRODUCT(($AH$1:$AO$1&lt;AI$1)*$AH83:$AO83)))</f>
        <v>0</v>
      </c>
      <c r="AS83" s="0" t="n">
        <f aca="false">MIN(AJ83,MAX(0,$AP83-SUMPRODUCT(($AH$1:$AO$1&lt;AJ$1)*$AH83:$AO83)))</f>
        <v>0</v>
      </c>
      <c r="AT83" s="0" t="n">
        <f aca="false">MIN(AK83,MAX(0,$AP83-SUMPRODUCT(($AH$1:$AO$1&lt;AK$1)*$AH83:$AO83)))</f>
        <v>0</v>
      </c>
      <c r="AU83" s="0" t="n">
        <f aca="false">MIN(AL83,MAX(0,$AP83-SUMPRODUCT(($AH$1:$AO$1&lt;AL$1)*$AH83:$AO83)))</f>
        <v>0</v>
      </c>
      <c r="AV83" s="0" t="n">
        <f aca="false">MIN(AM83,MAX(0,$AP83-SUMPRODUCT(($AH$1:$AO$1&lt;AM$1)*$AH83:$AO83)))</f>
        <v>0</v>
      </c>
      <c r="AW83" s="0" t="n">
        <f aca="false">MIN(AN83,MAX(0,$AP83-SUMPRODUCT(($AH$1:$AO$1&lt;AN$1)*$AH83:$AO83)))</f>
        <v>0</v>
      </c>
      <c r="AX83" s="0" t="n">
        <f aca="false">MIN(AO83,MAX(0,$AP83-SUMPRODUCT(($AH$1:$AO$1&lt;AO$1)*$AH83:$AO83)))</f>
        <v>0</v>
      </c>
      <c r="AY83" s="0" t="n">
        <f aca="false">ROUND(AH83-AQ83,2)</f>
        <v>0</v>
      </c>
      <c r="AZ83" s="0" t="n">
        <f aca="false">ROUND(AI83-AR83,2)</f>
        <v>0</v>
      </c>
      <c r="BA83" s="0" t="n">
        <f aca="false">ROUND(AJ83-AS83,2)</f>
        <v>0</v>
      </c>
      <c r="BB83" s="0" t="n">
        <f aca="false">ROUND(AK83-AT83,2)</f>
        <v>0</v>
      </c>
      <c r="BC83" s="0" t="n">
        <f aca="false">ROUND(AL83-AU83,2)</f>
        <v>0</v>
      </c>
      <c r="BD83" s="0" t="n">
        <f aca="false">ROUND(AM83-AV83,2)</f>
        <v>0</v>
      </c>
      <c r="BE83" s="0" t="n">
        <f aca="false">ROUND(AN83-AW83,2)</f>
        <v>0</v>
      </c>
      <c r="BF83" s="0" t="n">
        <f aca="false">ROUND(AO83-AX83,2)</f>
        <v>0</v>
      </c>
      <c r="BG83" s="0" t="n">
        <f aca="false">SUM(AY83:BF83)</f>
        <v>0</v>
      </c>
    </row>
    <row r="84" customFormat="false" ht="15" hidden="false" customHeight="false" outlineLevel="0" collapsed="false">
      <c r="A84" s="0" t="n">
        <v>82</v>
      </c>
      <c r="B84" s="0" t="n">
        <f aca="false">AY83</f>
        <v>0</v>
      </c>
      <c r="C84" s="0" t="n">
        <f aca="false">AZ83</f>
        <v>0</v>
      </c>
      <c r="D84" s="0" t="n">
        <f aca="false">BA83</f>
        <v>0</v>
      </c>
      <c r="E84" s="0" t="n">
        <f aca="false">BB83</f>
        <v>0</v>
      </c>
      <c r="F84" s="0" t="n">
        <f aca="false">BC83</f>
        <v>0</v>
      </c>
      <c r="G84" s="0" t="n">
        <f aca="false">BD83</f>
        <v>0</v>
      </c>
      <c r="H84" s="0" t="n">
        <f aca="false">BE83</f>
        <v>0</v>
      </c>
      <c r="I84" s="0" t="n">
        <f aca="false">BF83</f>
        <v>0</v>
      </c>
      <c r="J84" s="0" t="n">
        <f aca="false">B84*N('Debt Payoff'!D9)/12</f>
        <v>0</v>
      </c>
      <c r="K84" s="0" t="n">
        <f aca="false">C84*N('Debt Payoff'!D10)/12</f>
        <v>0</v>
      </c>
      <c r="L84" s="0" t="n">
        <f aca="false">D84*N('Debt Payoff'!D11)/12</f>
        <v>0</v>
      </c>
      <c r="M84" s="0" t="n">
        <f aca="false">E84*N('Debt Payoff'!D12)/12</f>
        <v>0</v>
      </c>
      <c r="N84" s="0" t="n">
        <f aca="false">F84*N('Debt Payoff'!D13)/12</f>
        <v>0</v>
      </c>
      <c r="O84" s="0" t="n">
        <f aca="false">G84*N('Debt Payoff'!D14)/12</f>
        <v>0</v>
      </c>
      <c r="P84" s="0" t="n">
        <f aca="false">H84*N('Debt Payoff'!D15)/12</f>
        <v>0</v>
      </c>
      <c r="Q84" s="0" t="n">
        <f aca="false">I84*N('Debt Payoff'!D16)/12</f>
        <v>0</v>
      </c>
      <c r="R84" s="0" t="n">
        <f aca="false">B84+J84</f>
        <v>0</v>
      </c>
      <c r="S84" s="0" t="n">
        <f aca="false">C84+K84</f>
        <v>0</v>
      </c>
      <c r="T84" s="0" t="n">
        <f aca="false">D84+L84</f>
        <v>0</v>
      </c>
      <c r="U84" s="0" t="n">
        <f aca="false">E84+M84</f>
        <v>0</v>
      </c>
      <c r="V84" s="0" t="n">
        <f aca="false">F84+N84</f>
        <v>0</v>
      </c>
      <c r="W84" s="0" t="n">
        <f aca="false">G84+O84</f>
        <v>0</v>
      </c>
      <c r="X84" s="0" t="n">
        <f aca="false">H84+P84</f>
        <v>0</v>
      </c>
      <c r="Y84" s="0" t="n">
        <f aca="false">I84+Q84</f>
        <v>0</v>
      </c>
      <c r="Z84" s="0" t="n">
        <f aca="false">MIN(R84,N('Debt Payoff'!E9))</f>
        <v>0</v>
      </c>
      <c r="AA84" s="0" t="n">
        <f aca="false">MIN(S84,N('Debt Payoff'!E10))</f>
        <v>0</v>
      </c>
      <c r="AB84" s="0" t="n">
        <f aca="false">MIN(T84,N('Debt Payoff'!E11))</f>
        <v>0</v>
      </c>
      <c r="AC84" s="0" t="n">
        <f aca="false">MIN(U84,N('Debt Payoff'!E12))</f>
        <v>0</v>
      </c>
      <c r="AD84" s="0" t="n">
        <f aca="false">MIN(V84,N('Debt Payoff'!E13))</f>
        <v>0</v>
      </c>
      <c r="AE84" s="0" t="n">
        <f aca="false">MIN(W84,N('Debt Payoff'!E14))</f>
        <v>0</v>
      </c>
      <c r="AF84" s="0" t="n">
        <f aca="false">MIN(X84,N('Debt Payoff'!E15))</f>
        <v>0</v>
      </c>
      <c r="AG84" s="0" t="n">
        <f aca="false">MIN(Y84,N('Debt Payoff'!E16))</f>
        <v>0</v>
      </c>
      <c r="AH84" s="0" t="n">
        <f aca="false">R84-Z84</f>
        <v>0</v>
      </c>
      <c r="AI84" s="0" t="n">
        <f aca="false">S84-AA84</f>
        <v>0</v>
      </c>
      <c r="AJ84" s="0" t="n">
        <f aca="false">T84-AB84</f>
        <v>0</v>
      </c>
      <c r="AK84" s="0" t="n">
        <f aca="false">U84-AC84</f>
        <v>0</v>
      </c>
      <c r="AL84" s="0" t="n">
        <f aca="false">V84-AD84</f>
        <v>0</v>
      </c>
      <c r="AM84" s="0" t="n">
        <f aca="false">W84-AE84</f>
        <v>0</v>
      </c>
      <c r="AN84" s="0" t="n">
        <f aca="false">X84-AF84</f>
        <v>0</v>
      </c>
      <c r="AO84" s="0" t="n">
        <f aca="false">Y84-AG84</f>
        <v>0</v>
      </c>
      <c r="AP84" s="0" t="n">
        <f aca="false">MAX(0,'Debt Payoff'!$D$17-SUM(Z84:AG84))</f>
        <v>805</v>
      </c>
      <c r="AQ84" s="0" t="n">
        <f aca="false">MIN(AH84,MAX(0,$AP84-SUMPRODUCT(($AH$1:$AO$1&lt;AH$1)*$AH84:$AO84)))</f>
        <v>0</v>
      </c>
      <c r="AR84" s="0" t="n">
        <f aca="false">MIN(AI84,MAX(0,$AP84-SUMPRODUCT(($AH$1:$AO$1&lt;AI$1)*$AH84:$AO84)))</f>
        <v>0</v>
      </c>
      <c r="AS84" s="0" t="n">
        <f aca="false">MIN(AJ84,MAX(0,$AP84-SUMPRODUCT(($AH$1:$AO$1&lt;AJ$1)*$AH84:$AO84)))</f>
        <v>0</v>
      </c>
      <c r="AT84" s="0" t="n">
        <f aca="false">MIN(AK84,MAX(0,$AP84-SUMPRODUCT(($AH$1:$AO$1&lt;AK$1)*$AH84:$AO84)))</f>
        <v>0</v>
      </c>
      <c r="AU84" s="0" t="n">
        <f aca="false">MIN(AL84,MAX(0,$AP84-SUMPRODUCT(($AH$1:$AO$1&lt;AL$1)*$AH84:$AO84)))</f>
        <v>0</v>
      </c>
      <c r="AV84" s="0" t="n">
        <f aca="false">MIN(AM84,MAX(0,$AP84-SUMPRODUCT(($AH$1:$AO$1&lt;AM$1)*$AH84:$AO84)))</f>
        <v>0</v>
      </c>
      <c r="AW84" s="0" t="n">
        <f aca="false">MIN(AN84,MAX(0,$AP84-SUMPRODUCT(($AH$1:$AO$1&lt;AN$1)*$AH84:$AO84)))</f>
        <v>0</v>
      </c>
      <c r="AX84" s="0" t="n">
        <f aca="false">MIN(AO84,MAX(0,$AP84-SUMPRODUCT(($AH$1:$AO$1&lt;AO$1)*$AH84:$AO84)))</f>
        <v>0</v>
      </c>
      <c r="AY84" s="0" t="n">
        <f aca="false">ROUND(AH84-AQ84,2)</f>
        <v>0</v>
      </c>
      <c r="AZ84" s="0" t="n">
        <f aca="false">ROUND(AI84-AR84,2)</f>
        <v>0</v>
      </c>
      <c r="BA84" s="0" t="n">
        <f aca="false">ROUND(AJ84-AS84,2)</f>
        <v>0</v>
      </c>
      <c r="BB84" s="0" t="n">
        <f aca="false">ROUND(AK84-AT84,2)</f>
        <v>0</v>
      </c>
      <c r="BC84" s="0" t="n">
        <f aca="false">ROUND(AL84-AU84,2)</f>
        <v>0</v>
      </c>
      <c r="BD84" s="0" t="n">
        <f aca="false">ROUND(AM84-AV84,2)</f>
        <v>0</v>
      </c>
      <c r="BE84" s="0" t="n">
        <f aca="false">ROUND(AN84-AW84,2)</f>
        <v>0</v>
      </c>
      <c r="BF84" s="0" t="n">
        <f aca="false">ROUND(AO84-AX84,2)</f>
        <v>0</v>
      </c>
      <c r="BG84" s="0" t="n">
        <f aca="false">SUM(AY84:BF84)</f>
        <v>0</v>
      </c>
    </row>
    <row r="85" customFormat="false" ht="15" hidden="false" customHeight="false" outlineLevel="0" collapsed="false">
      <c r="A85" s="0" t="n">
        <v>83</v>
      </c>
      <c r="B85" s="0" t="n">
        <f aca="false">AY84</f>
        <v>0</v>
      </c>
      <c r="C85" s="0" t="n">
        <f aca="false">AZ84</f>
        <v>0</v>
      </c>
      <c r="D85" s="0" t="n">
        <f aca="false">BA84</f>
        <v>0</v>
      </c>
      <c r="E85" s="0" t="n">
        <f aca="false">BB84</f>
        <v>0</v>
      </c>
      <c r="F85" s="0" t="n">
        <f aca="false">BC84</f>
        <v>0</v>
      </c>
      <c r="G85" s="0" t="n">
        <f aca="false">BD84</f>
        <v>0</v>
      </c>
      <c r="H85" s="0" t="n">
        <f aca="false">BE84</f>
        <v>0</v>
      </c>
      <c r="I85" s="0" t="n">
        <f aca="false">BF84</f>
        <v>0</v>
      </c>
      <c r="J85" s="0" t="n">
        <f aca="false">B85*N('Debt Payoff'!D9)/12</f>
        <v>0</v>
      </c>
      <c r="K85" s="0" t="n">
        <f aca="false">C85*N('Debt Payoff'!D10)/12</f>
        <v>0</v>
      </c>
      <c r="L85" s="0" t="n">
        <f aca="false">D85*N('Debt Payoff'!D11)/12</f>
        <v>0</v>
      </c>
      <c r="M85" s="0" t="n">
        <f aca="false">E85*N('Debt Payoff'!D12)/12</f>
        <v>0</v>
      </c>
      <c r="N85" s="0" t="n">
        <f aca="false">F85*N('Debt Payoff'!D13)/12</f>
        <v>0</v>
      </c>
      <c r="O85" s="0" t="n">
        <f aca="false">G85*N('Debt Payoff'!D14)/12</f>
        <v>0</v>
      </c>
      <c r="P85" s="0" t="n">
        <f aca="false">H85*N('Debt Payoff'!D15)/12</f>
        <v>0</v>
      </c>
      <c r="Q85" s="0" t="n">
        <f aca="false">I85*N('Debt Payoff'!D16)/12</f>
        <v>0</v>
      </c>
      <c r="R85" s="0" t="n">
        <f aca="false">B85+J85</f>
        <v>0</v>
      </c>
      <c r="S85" s="0" t="n">
        <f aca="false">C85+K85</f>
        <v>0</v>
      </c>
      <c r="T85" s="0" t="n">
        <f aca="false">D85+L85</f>
        <v>0</v>
      </c>
      <c r="U85" s="0" t="n">
        <f aca="false">E85+M85</f>
        <v>0</v>
      </c>
      <c r="V85" s="0" t="n">
        <f aca="false">F85+N85</f>
        <v>0</v>
      </c>
      <c r="W85" s="0" t="n">
        <f aca="false">G85+O85</f>
        <v>0</v>
      </c>
      <c r="X85" s="0" t="n">
        <f aca="false">H85+P85</f>
        <v>0</v>
      </c>
      <c r="Y85" s="0" t="n">
        <f aca="false">I85+Q85</f>
        <v>0</v>
      </c>
      <c r="Z85" s="0" t="n">
        <f aca="false">MIN(R85,N('Debt Payoff'!E9))</f>
        <v>0</v>
      </c>
      <c r="AA85" s="0" t="n">
        <f aca="false">MIN(S85,N('Debt Payoff'!E10))</f>
        <v>0</v>
      </c>
      <c r="AB85" s="0" t="n">
        <f aca="false">MIN(T85,N('Debt Payoff'!E11))</f>
        <v>0</v>
      </c>
      <c r="AC85" s="0" t="n">
        <f aca="false">MIN(U85,N('Debt Payoff'!E12))</f>
        <v>0</v>
      </c>
      <c r="AD85" s="0" t="n">
        <f aca="false">MIN(V85,N('Debt Payoff'!E13))</f>
        <v>0</v>
      </c>
      <c r="AE85" s="0" t="n">
        <f aca="false">MIN(W85,N('Debt Payoff'!E14))</f>
        <v>0</v>
      </c>
      <c r="AF85" s="0" t="n">
        <f aca="false">MIN(X85,N('Debt Payoff'!E15))</f>
        <v>0</v>
      </c>
      <c r="AG85" s="0" t="n">
        <f aca="false">MIN(Y85,N('Debt Payoff'!E16))</f>
        <v>0</v>
      </c>
      <c r="AH85" s="0" t="n">
        <f aca="false">R85-Z85</f>
        <v>0</v>
      </c>
      <c r="AI85" s="0" t="n">
        <f aca="false">S85-AA85</f>
        <v>0</v>
      </c>
      <c r="AJ85" s="0" t="n">
        <f aca="false">T85-AB85</f>
        <v>0</v>
      </c>
      <c r="AK85" s="0" t="n">
        <f aca="false">U85-AC85</f>
        <v>0</v>
      </c>
      <c r="AL85" s="0" t="n">
        <f aca="false">V85-AD85</f>
        <v>0</v>
      </c>
      <c r="AM85" s="0" t="n">
        <f aca="false">W85-AE85</f>
        <v>0</v>
      </c>
      <c r="AN85" s="0" t="n">
        <f aca="false">X85-AF85</f>
        <v>0</v>
      </c>
      <c r="AO85" s="0" t="n">
        <f aca="false">Y85-AG85</f>
        <v>0</v>
      </c>
      <c r="AP85" s="0" t="n">
        <f aca="false">MAX(0,'Debt Payoff'!$D$17-SUM(Z85:AG85))</f>
        <v>805</v>
      </c>
      <c r="AQ85" s="0" t="n">
        <f aca="false">MIN(AH85,MAX(0,$AP85-SUMPRODUCT(($AH$1:$AO$1&lt;AH$1)*$AH85:$AO85)))</f>
        <v>0</v>
      </c>
      <c r="AR85" s="0" t="n">
        <f aca="false">MIN(AI85,MAX(0,$AP85-SUMPRODUCT(($AH$1:$AO$1&lt;AI$1)*$AH85:$AO85)))</f>
        <v>0</v>
      </c>
      <c r="AS85" s="0" t="n">
        <f aca="false">MIN(AJ85,MAX(0,$AP85-SUMPRODUCT(($AH$1:$AO$1&lt;AJ$1)*$AH85:$AO85)))</f>
        <v>0</v>
      </c>
      <c r="AT85" s="0" t="n">
        <f aca="false">MIN(AK85,MAX(0,$AP85-SUMPRODUCT(($AH$1:$AO$1&lt;AK$1)*$AH85:$AO85)))</f>
        <v>0</v>
      </c>
      <c r="AU85" s="0" t="n">
        <f aca="false">MIN(AL85,MAX(0,$AP85-SUMPRODUCT(($AH$1:$AO$1&lt;AL$1)*$AH85:$AO85)))</f>
        <v>0</v>
      </c>
      <c r="AV85" s="0" t="n">
        <f aca="false">MIN(AM85,MAX(0,$AP85-SUMPRODUCT(($AH$1:$AO$1&lt;AM$1)*$AH85:$AO85)))</f>
        <v>0</v>
      </c>
      <c r="AW85" s="0" t="n">
        <f aca="false">MIN(AN85,MAX(0,$AP85-SUMPRODUCT(($AH$1:$AO$1&lt;AN$1)*$AH85:$AO85)))</f>
        <v>0</v>
      </c>
      <c r="AX85" s="0" t="n">
        <f aca="false">MIN(AO85,MAX(0,$AP85-SUMPRODUCT(($AH$1:$AO$1&lt;AO$1)*$AH85:$AO85)))</f>
        <v>0</v>
      </c>
      <c r="AY85" s="0" t="n">
        <f aca="false">ROUND(AH85-AQ85,2)</f>
        <v>0</v>
      </c>
      <c r="AZ85" s="0" t="n">
        <f aca="false">ROUND(AI85-AR85,2)</f>
        <v>0</v>
      </c>
      <c r="BA85" s="0" t="n">
        <f aca="false">ROUND(AJ85-AS85,2)</f>
        <v>0</v>
      </c>
      <c r="BB85" s="0" t="n">
        <f aca="false">ROUND(AK85-AT85,2)</f>
        <v>0</v>
      </c>
      <c r="BC85" s="0" t="n">
        <f aca="false">ROUND(AL85-AU85,2)</f>
        <v>0</v>
      </c>
      <c r="BD85" s="0" t="n">
        <f aca="false">ROUND(AM85-AV85,2)</f>
        <v>0</v>
      </c>
      <c r="BE85" s="0" t="n">
        <f aca="false">ROUND(AN85-AW85,2)</f>
        <v>0</v>
      </c>
      <c r="BF85" s="0" t="n">
        <f aca="false">ROUND(AO85-AX85,2)</f>
        <v>0</v>
      </c>
      <c r="BG85" s="0" t="n">
        <f aca="false">SUM(AY85:BF85)</f>
        <v>0</v>
      </c>
    </row>
    <row r="86" customFormat="false" ht="15" hidden="false" customHeight="false" outlineLevel="0" collapsed="false">
      <c r="A86" s="0" t="n">
        <v>84</v>
      </c>
      <c r="B86" s="0" t="n">
        <f aca="false">AY85</f>
        <v>0</v>
      </c>
      <c r="C86" s="0" t="n">
        <f aca="false">AZ85</f>
        <v>0</v>
      </c>
      <c r="D86" s="0" t="n">
        <f aca="false">BA85</f>
        <v>0</v>
      </c>
      <c r="E86" s="0" t="n">
        <f aca="false">BB85</f>
        <v>0</v>
      </c>
      <c r="F86" s="0" t="n">
        <f aca="false">BC85</f>
        <v>0</v>
      </c>
      <c r="G86" s="0" t="n">
        <f aca="false">BD85</f>
        <v>0</v>
      </c>
      <c r="H86" s="0" t="n">
        <f aca="false">BE85</f>
        <v>0</v>
      </c>
      <c r="I86" s="0" t="n">
        <f aca="false">BF85</f>
        <v>0</v>
      </c>
      <c r="J86" s="0" t="n">
        <f aca="false">B86*N('Debt Payoff'!D9)/12</f>
        <v>0</v>
      </c>
      <c r="K86" s="0" t="n">
        <f aca="false">C86*N('Debt Payoff'!D10)/12</f>
        <v>0</v>
      </c>
      <c r="L86" s="0" t="n">
        <f aca="false">D86*N('Debt Payoff'!D11)/12</f>
        <v>0</v>
      </c>
      <c r="M86" s="0" t="n">
        <f aca="false">E86*N('Debt Payoff'!D12)/12</f>
        <v>0</v>
      </c>
      <c r="N86" s="0" t="n">
        <f aca="false">F86*N('Debt Payoff'!D13)/12</f>
        <v>0</v>
      </c>
      <c r="O86" s="0" t="n">
        <f aca="false">G86*N('Debt Payoff'!D14)/12</f>
        <v>0</v>
      </c>
      <c r="P86" s="0" t="n">
        <f aca="false">H86*N('Debt Payoff'!D15)/12</f>
        <v>0</v>
      </c>
      <c r="Q86" s="0" t="n">
        <f aca="false">I86*N('Debt Payoff'!D16)/12</f>
        <v>0</v>
      </c>
      <c r="R86" s="0" t="n">
        <f aca="false">B86+J86</f>
        <v>0</v>
      </c>
      <c r="S86" s="0" t="n">
        <f aca="false">C86+K86</f>
        <v>0</v>
      </c>
      <c r="T86" s="0" t="n">
        <f aca="false">D86+L86</f>
        <v>0</v>
      </c>
      <c r="U86" s="0" t="n">
        <f aca="false">E86+M86</f>
        <v>0</v>
      </c>
      <c r="V86" s="0" t="n">
        <f aca="false">F86+N86</f>
        <v>0</v>
      </c>
      <c r="W86" s="0" t="n">
        <f aca="false">G86+O86</f>
        <v>0</v>
      </c>
      <c r="X86" s="0" t="n">
        <f aca="false">H86+P86</f>
        <v>0</v>
      </c>
      <c r="Y86" s="0" t="n">
        <f aca="false">I86+Q86</f>
        <v>0</v>
      </c>
      <c r="Z86" s="0" t="n">
        <f aca="false">MIN(R86,N('Debt Payoff'!E9))</f>
        <v>0</v>
      </c>
      <c r="AA86" s="0" t="n">
        <f aca="false">MIN(S86,N('Debt Payoff'!E10))</f>
        <v>0</v>
      </c>
      <c r="AB86" s="0" t="n">
        <f aca="false">MIN(T86,N('Debt Payoff'!E11))</f>
        <v>0</v>
      </c>
      <c r="AC86" s="0" t="n">
        <f aca="false">MIN(U86,N('Debt Payoff'!E12))</f>
        <v>0</v>
      </c>
      <c r="AD86" s="0" t="n">
        <f aca="false">MIN(V86,N('Debt Payoff'!E13))</f>
        <v>0</v>
      </c>
      <c r="AE86" s="0" t="n">
        <f aca="false">MIN(W86,N('Debt Payoff'!E14))</f>
        <v>0</v>
      </c>
      <c r="AF86" s="0" t="n">
        <f aca="false">MIN(X86,N('Debt Payoff'!E15))</f>
        <v>0</v>
      </c>
      <c r="AG86" s="0" t="n">
        <f aca="false">MIN(Y86,N('Debt Payoff'!E16))</f>
        <v>0</v>
      </c>
      <c r="AH86" s="0" t="n">
        <f aca="false">R86-Z86</f>
        <v>0</v>
      </c>
      <c r="AI86" s="0" t="n">
        <f aca="false">S86-AA86</f>
        <v>0</v>
      </c>
      <c r="AJ86" s="0" t="n">
        <f aca="false">T86-AB86</f>
        <v>0</v>
      </c>
      <c r="AK86" s="0" t="n">
        <f aca="false">U86-AC86</f>
        <v>0</v>
      </c>
      <c r="AL86" s="0" t="n">
        <f aca="false">V86-AD86</f>
        <v>0</v>
      </c>
      <c r="AM86" s="0" t="n">
        <f aca="false">W86-AE86</f>
        <v>0</v>
      </c>
      <c r="AN86" s="0" t="n">
        <f aca="false">X86-AF86</f>
        <v>0</v>
      </c>
      <c r="AO86" s="0" t="n">
        <f aca="false">Y86-AG86</f>
        <v>0</v>
      </c>
      <c r="AP86" s="0" t="n">
        <f aca="false">MAX(0,'Debt Payoff'!$D$17-SUM(Z86:AG86))</f>
        <v>805</v>
      </c>
      <c r="AQ86" s="0" t="n">
        <f aca="false">MIN(AH86,MAX(0,$AP86-SUMPRODUCT(($AH$1:$AO$1&lt;AH$1)*$AH86:$AO86)))</f>
        <v>0</v>
      </c>
      <c r="AR86" s="0" t="n">
        <f aca="false">MIN(AI86,MAX(0,$AP86-SUMPRODUCT(($AH$1:$AO$1&lt;AI$1)*$AH86:$AO86)))</f>
        <v>0</v>
      </c>
      <c r="AS86" s="0" t="n">
        <f aca="false">MIN(AJ86,MAX(0,$AP86-SUMPRODUCT(($AH$1:$AO$1&lt;AJ$1)*$AH86:$AO86)))</f>
        <v>0</v>
      </c>
      <c r="AT86" s="0" t="n">
        <f aca="false">MIN(AK86,MAX(0,$AP86-SUMPRODUCT(($AH$1:$AO$1&lt;AK$1)*$AH86:$AO86)))</f>
        <v>0</v>
      </c>
      <c r="AU86" s="0" t="n">
        <f aca="false">MIN(AL86,MAX(0,$AP86-SUMPRODUCT(($AH$1:$AO$1&lt;AL$1)*$AH86:$AO86)))</f>
        <v>0</v>
      </c>
      <c r="AV86" s="0" t="n">
        <f aca="false">MIN(AM86,MAX(0,$AP86-SUMPRODUCT(($AH$1:$AO$1&lt;AM$1)*$AH86:$AO86)))</f>
        <v>0</v>
      </c>
      <c r="AW86" s="0" t="n">
        <f aca="false">MIN(AN86,MAX(0,$AP86-SUMPRODUCT(($AH$1:$AO$1&lt;AN$1)*$AH86:$AO86)))</f>
        <v>0</v>
      </c>
      <c r="AX86" s="0" t="n">
        <f aca="false">MIN(AO86,MAX(0,$AP86-SUMPRODUCT(($AH$1:$AO$1&lt;AO$1)*$AH86:$AO86)))</f>
        <v>0</v>
      </c>
      <c r="AY86" s="0" t="n">
        <f aca="false">ROUND(AH86-AQ86,2)</f>
        <v>0</v>
      </c>
      <c r="AZ86" s="0" t="n">
        <f aca="false">ROUND(AI86-AR86,2)</f>
        <v>0</v>
      </c>
      <c r="BA86" s="0" t="n">
        <f aca="false">ROUND(AJ86-AS86,2)</f>
        <v>0</v>
      </c>
      <c r="BB86" s="0" t="n">
        <f aca="false">ROUND(AK86-AT86,2)</f>
        <v>0</v>
      </c>
      <c r="BC86" s="0" t="n">
        <f aca="false">ROUND(AL86-AU86,2)</f>
        <v>0</v>
      </c>
      <c r="BD86" s="0" t="n">
        <f aca="false">ROUND(AM86-AV86,2)</f>
        <v>0</v>
      </c>
      <c r="BE86" s="0" t="n">
        <f aca="false">ROUND(AN86-AW86,2)</f>
        <v>0</v>
      </c>
      <c r="BF86" s="0" t="n">
        <f aca="false">ROUND(AO86-AX86,2)</f>
        <v>0</v>
      </c>
      <c r="BG86" s="0" t="n">
        <f aca="false">SUM(AY86:BF86)</f>
        <v>0</v>
      </c>
    </row>
    <row r="87" customFormat="false" ht="15" hidden="false" customHeight="false" outlineLevel="0" collapsed="false">
      <c r="A87" s="0" t="n">
        <v>85</v>
      </c>
      <c r="B87" s="0" t="n">
        <f aca="false">AY86</f>
        <v>0</v>
      </c>
      <c r="C87" s="0" t="n">
        <f aca="false">AZ86</f>
        <v>0</v>
      </c>
      <c r="D87" s="0" t="n">
        <f aca="false">BA86</f>
        <v>0</v>
      </c>
      <c r="E87" s="0" t="n">
        <f aca="false">BB86</f>
        <v>0</v>
      </c>
      <c r="F87" s="0" t="n">
        <f aca="false">BC86</f>
        <v>0</v>
      </c>
      <c r="G87" s="0" t="n">
        <f aca="false">BD86</f>
        <v>0</v>
      </c>
      <c r="H87" s="0" t="n">
        <f aca="false">BE86</f>
        <v>0</v>
      </c>
      <c r="I87" s="0" t="n">
        <f aca="false">BF86</f>
        <v>0</v>
      </c>
      <c r="J87" s="0" t="n">
        <f aca="false">B87*N('Debt Payoff'!D9)/12</f>
        <v>0</v>
      </c>
      <c r="K87" s="0" t="n">
        <f aca="false">C87*N('Debt Payoff'!D10)/12</f>
        <v>0</v>
      </c>
      <c r="L87" s="0" t="n">
        <f aca="false">D87*N('Debt Payoff'!D11)/12</f>
        <v>0</v>
      </c>
      <c r="M87" s="0" t="n">
        <f aca="false">E87*N('Debt Payoff'!D12)/12</f>
        <v>0</v>
      </c>
      <c r="N87" s="0" t="n">
        <f aca="false">F87*N('Debt Payoff'!D13)/12</f>
        <v>0</v>
      </c>
      <c r="O87" s="0" t="n">
        <f aca="false">G87*N('Debt Payoff'!D14)/12</f>
        <v>0</v>
      </c>
      <c r="P87" s="0" t="n">
        <f aca="false">H87*N('Debt Payoff'!D15)/12</f>
        <v>0</v>
      </c>
      <c r="Q87" s="0" t="n">
        <f aca="false">I87*N('Debt Payoff'!D16)/12</f>
        <v>0</v>
      </c>
      <c r="R87" s="0" t="n">
        <f aca="false">B87+J87</f>
        <v>0</v>
      </c>
      <c r="S87" s="0" t="n">
        <f aca="false">C87+K87</f>
        <v>0</v>
      </c>
      <c r="T87" s="0" t="n">
        <f aca="false">D87+L87</f>
        <v>0</v>
      </c>
      <c r="U87" s="0" t="n">
        <f aca="false">E87+M87</f>
        <v>0</v>
      </c>
      <c r="V87" s="0" t="n">
        <f aca="false">F87+N87</f>
        <v>0</v>
      </c>
      <c r="W87" s="0" t="n">
        <f aca="false">G87+O87</f>
        <v>0</v>
      </c>
      <c r="X87" s="0" t="n">
        <f aca="false">H87+P87</f>
        <v>0</v>
      </c>
      <c r="Y87" s="0" t="n">
        <f aca="false">I87+Q87</f>
        <v>0</v>
      </c>
      <c r="Z87" s="0" t="n">
        <f aca="false">MIN(R87,N('Debt Payoff'!E9))</f>
        <v>0</v>
      </c>
      <c r="AA87" s="0" t="n">
        <f aca="false">MIN(S87,N('Debt Payoff'!E10))</f>
        <v>0</v>
      </c>
      <c r="AB87" s="0" t="n">
        <f aca="false">MIN(T87,N('Debt Payoff'!E11))</f>
        <v>0</v>
      </c>
      <c r="AC87" s="0" t="n">
        <f aca="false">MIN(U87,N('Debt Payoff'!E12))</f>
        <v>0</v>
      </c>
      <c r="AD87" s="0" t="n">
        <f aca="false">MIN(V87,N('Debt Payoff'!E13))</f>
        <v>0</v>
      </c>
      <c r="AE87" s="0" t="n">
        <f aca="false">MIN(W87,N('Debt Payoff'!E14))</f>
        <v>0</v>
      </c>
      <c r="AF87" s="0" t="n">
        <f aca="false">MIN(X87,N('Debt Payoff'!E15))</f>
        <v>0</v>
      </c>
      <c r="AG87" s="0" t="n">
        <f aca="false">MIN(Y87,N('Debt Payoff'!E16))</f>
        <v>0</v>
      </c>
      <c r="AH87" s="0" t="n">
        <f aca="false">R87-Z87</f>
        <v>0</v>
      </c>
      <c r="AI87" s="0" t="n">
        <f aca="false">S87-AA87</f>
        <v>0</v>
      </c>
      <c r="AJ87" s="0" t="n">
        <f aca="false">T87-AB87</f>
        <v>0</v>
      </c>
      <c r="AK87" s="0" t="n">
        <f aca="false">U87-AC87</f>
        <v>0</v>
      </c>
      <c r="AL87" s="0" t="n">
        <f aca="false">V87-AD87</f>
        <v>0</v>
      </c>
      <c r="AM87" s="0" t="n">
        <f aca="false">W87-AE87</f>
        <v>0</v>
      </c>
      <c r="AN87" s="0" t="n">
        <f aca="false">X87-AF87</f>
        <v>0</v>
      </c>
      <c r="AO87" s="0" t="n">
        <f aca="false">Y87-AG87</f>
        <v>0</v>
      </c>
      <c r="AP87" s="0" t="n">
        <f aca="false">MAX(0,'Debt Payoff'!$D$17-SUM(Z87:AG87))</f>
        <v>805</v>
      </c>
      <c r="AQ87" s="0" t="n">
        <f aca="false">MIN(AH87,MAX(0,$AP87-SUMPRODUCT(($AH$1:$AO$1&lt;AH$1)*$AH87:$AO87)))</f>
        <v>0</v>
      </c>
      <c r="AR87" s="0" t="n">
        <f aca="false">MIN(AI87,MAX(0,$AP87-SUMPRODUCT(($AH$1:$AO$1&lt;AI$1)*$AH87:$AO87)))</f>
        <v>0</v>
      </c>
      <c r="AS87" s="0" t="n">
        <f aca="false">MIN(AJ87,MAX(0,$AP87-SUMPRODUCT(($AH$1:$AO$1&lt;AJ$1)*$AH87:$AO87)))</f>
        <v>0</v>
      </c>
      <c r="AT87" s="0" t="n">
        <f aca="false">MIN(AK87,MAX(0,$AP87-SUMPRODUCT(($AH$1:$AO$1&lt;AK$1)*$AH87:$AO87)))</f>
        <v>0</v>
      </c>
      <c r="AU87" s="0" t="n">
        <f aca="false">MIN(AL87,MAX(0,$AP87-SUMPRODUCT(($AH$1:$AO$1&lt;AL$1)*$AH87:$AO87)))</f>
        <v>0</v>
      </c>
      <c r="AV87" s="0" t="n">
        <f aca="false">MIN(AM87,MAX(0,$AP87-SUMPRODUCT(($AH$1:$AO$1&lt;AM$1)*$AH87:$AO87)))</f>
        <v>0</v>
      </c>
      <c r="AW87" s="0" t="n">
        <f aca="false">MIN(AN87,MAX(0,$AP87-SUMPRODUCT(($AH$1:$AO$1&lt;AN$1)*$AH87:$AO87)))</f>
        <v>0</v>
      </c>
      <c r="AX87" s="0" t="n">
        <f aca="false">MIN(AO87,MAX(0,$AP87-SUMPRODUCT(($AH$1:$AO$1&lt;AO$1)*$AH87:$AO87)))</f>
        <v>0</v>
      </c>
      <c r="AY87" s="0" t="n">
        <f aca="false">ROUND(AH87-AQ87,2)</f>
        <v>0</v>
      </c>
      <c r="AZ87" s="0" t="n">
        <f aca="false">ROUND(AI87-AR87,2)</f>
        <v>0</v>
      </c>
      <c r="BA87" s="0" t="n">
        <f aca="false">ROUND(AJ87-AS87,2)</f>
        <v>0</v>
      </c>
      <c r="BB87" s="0" t="n">
        <f aca="false">ROUND(AK87-AT87,2)</f>
        <v>0</v>
      </c>
      <c r="BC87" s="0" t="n">
        <f aca="false">ROUND(AL87-AU87,2)</f>
        <v>0</v>
      </c>
      <c r="BD87" s="0" t="n">
        <f aca="false">ROUND(AM87-AV87,2)</f>
        <v>0</v>
      </c>
      <c r="BE87" s="0" t="n">
        <f aca="false">ROUND(AN87-AW87,2)</f>
        <v>0</v>
      </c>
      <c r="BF87" s="0" t="n">
        <f aca="false">ROUND(AO87-AX87,2)</f>
        <v>0</v>
      </c>
      <c r="BG87" s="0" t="n">
        <f aca="false">SUM(AY87:BF87)</f>
        <v>0</v>
      </c>
    </row>
    <row r="88" customFormat="false" ht="15" hidden="false" customHeight="false" outlineLevel="0" collapsed="false">
      <c r="A88" s="0" t="n">
        <v>86</v>
      </c>
      <c r="B88" s="0" t="n">
        <f aca="false">AY87</f>
        <v>0</v>
      </c>
      <c r="C88" s="0" t="n">
        <f aca="false">AZ87</f>
        <v>0</v>
      </c>
      <c r="D88" s="0" t="n">
        <f aca="false">BA87</f>
        <v>0</v>
      </c>
      <c r="E88" s="0" t="n">
        <f aca="false">BB87</f>
        <v>0</v>
      </c>
      <c r="F88" s="0" t="n">
        <f aca="false">BC87</f>
        <v>0</v>
      </c>
      <c r="G88" s="0" t="n">
        <f aca="false">BD87</f>
        <v>0</v>
      </c>
      <c r="H88" s="0" t="n">
        <f aca="false">BE87</f>
        <v>0</v>
      </c>
      <c r="I88" s="0" t="n">
        <f aca="false">BF87</f>
        <v>0</v>
      </c>
      <c r="J88" s="0" t="n">
        <f aca="false">B88*N('Debt Payoff'!D9)/12</f>
        <v>0</v>
      </c>
      <c r="K88" s="0" t="n">
        <f aca="false">C88*N('Debt Payoff'!D10)/12</f>
        <v>0</v>
      </c>
      <c r="L88" s="0" t="n">
        <f aca="false">D88*N('Debt Payoff'!D11)/12</f>
        <v>0</v>
      </c>
      <c r="M88" s="0" t="n">
        <f aca="false">E88*N('Debt Payoff'!D12)/12</f>
        <v>0</v>
      </c>
      <c r="N88" s="0" t="n">
        <f aca="false">F88*N('Debt Payoff'!D13)/12</f>
        <v>0</v>
      </c>
      <c r="O88" s="0" t="n">
        <f aca="false">G88*N('Debt Payoff'!D14)/12</f>
        <v>0</v>
      </c>
      <c r="P88" s="0" t="n">
        <f aca="false">H88*N('Debt Payoff'!D15)/12</f>
        <v>0</v>
      </c>
      <c r="Q88" s="0" t="n">
        <f aca="false">I88*N('Debt Payoff'!D16)/12</f>
        <v>0</v>
      </c>
      <c r="R88" s="0" t="n">
        <f aca="false">B88+J88</f>
        <v>0</v>
      </c>
      <c r="S88" s="0" t="n">
        <f aca="false">C88+K88</f>
        <v>0</v>
      </c>
      <c r="T88" s="0" t="n">
        <f aca="false">D88+L88</f>
        <v>0</v>
      </c>
      <c r="U88" s="0" t="n">
        <f aca="false">E88+M88</f>
        <v>0</v>
      </c>
      <c r="V88" s="0" t="n">
        <f aca="false">F88+N88</f>
        <v>0</v>
      </c>
      <c r="W88" s="0" t="n">
        <f aca="false">G88+O88</f>
        <v>0</v>
      </c>
      <c r="X88" s="0" t="n">
        <f aca="false">H88+P88</f>
        <v>0</v>
      </c>
      <c r="Y88" s="0" t="n">
        <f aca="false">I88+Q88</f>
        <v>0</v>
      </c>
      <c r="Z88" s="0" t="n">
        <f aca="false">MIN(R88,N('Debt Payoff'!E9))</f>
        <v>0</v>
      </c>
      <c r="AA88" s="0" t="n">
        <f aca="false">MIN(S88,N('Debt Payoff'!E10))</f>
        <v>0</v>
      </c>
      <c r="AB88" s="0" t="n">
        <f aca="false">MIN(T88,N('Debt Payoff'!E11))</f>
        <v>0</v>
      </c>
      <c r="AC88" s="0" t="n">
        <f aca="false">MIN(U88,N('Debt Payoff'!E12))</f>
        <v>0</v>
      </c>
      <c r="AD88" s="0" t="n">
        <f aca="false">MIN(V88,N('Debt Payoff'!E13))</f>
        <v>0</v>
      </c>
      <c r="AE88" s="0" t="n">
        <f aca="false">MIN(W88,N('Debt Payoff'!E14))</f>
        <v>0</v>
      </c>
      <c r="AF88" s="0" t="n">
        <f aca="false">MIN(X88,N('Debt Payoff'!E15))</f>
        <v>0</v>
      </c>
      <c r="AG88" s="0" t="n">
        <f aca="false">MIN(Y88,N('Debt Payoff'!E16))</f>
        <v>0</v>
      </c>
      <c r="AH88" s="0" t="n">
        <f aca="false">R88-Z88</f>
        <v>0</v>
      </c>
      <c r="AI88" s="0" t="n">
        <f aca="false">S88-AA88</f>
        <v>0</v>
      </c>
      <c r="AJ88" s="0" t="n">
        <f aca="false">T88-AB88</f>
        <v>0</v>
      </c>
      <c r="AK88" s="0" t="n">
        <f aca="false">U88-AC88</f>
        <v>0</v>
      </c>
      <c r="AL88" s="0" t="n">
        <f aca="false">V88-AD88</f>
        <v>0</v>
      </c>
      <c r="AM88" s="0" t="n">
        <f aca="false">W88-AE88</f>
        <v>0</v>
      </c>
      <c r="AN88" s="0" t="n">
        <f aca="false">X88-AF88</f>
        <v>0</v>
      </c>
      <c r="AO88" s="0" t="n">
        <f aca="false">Y88-AG88</f>
        <v>0</v>
      </c>
      <c r="AP88" s="0" t="n">
        <f aca="false">MAX(0,'Debt Payoff'!$D$17-SUM(Z88:AG88))</f>
        <v>805</v>
      </c>
      <c r="AQ88" s="0" t="n">
        <f aca="false">MIN(AH88,MAX(0,$AP88-SUMPRODUCT(($AH$1:$AO$1&lt;AH$1)*$AH88:$AO88)))</f>
        <v>0</v>
      </c>
      <c r="AR88" s="0" t="n">
        <f aca="false">MIN(AI88,MAX(0,$AP88-SUMPRODUCT(($AH$1:$AO$1&lt;AI$1)*$AH88:$AO88)))</f>
        <v>0</v>
      </c>
      <c r="AS88" s="0" t="n">
        <f aca="false">MIN(AJ88,MAX(0,$AP88-SUMPRODUCT(($AH$1:$AO$1&lt;AJ$1)*$AH88:$AO88)))</f>
        <v>0</v>
      </c>
      <c r="AT88" s="0" t="n">
        <f aca="false">MIN(AK88,MAX(0,$AP88-SUMPRODUCT(($AH$1:$AO$1&lt;AK$1)*$AH88:$AO88)))</f>
        <v>0</v>
      </c>
      <c r="AU88" s="0" t="n">
        <f aca="false">MIN(AL88,MAX(0,$AP88-SUMPRODUCT(($AH$1:$AO$1&lt;AL$1)*$AH88:$AO88)))</f>
        <v>0</v>
      </c>
      <c r="AV88" s="0" t="n">
        <f aca="false">MIN(AM88,MAX(0,$AP88-SUMPRODUCT(($AH$1:$AO$1&lt;AM$1)*$AH88:$AO88)))</f>
        <v>0</v>
      </c>
      <c r="AW88" s="0" t="n">
        <f aca="false">MIN(AN88,MAX(0,$AP88-SUMPRODUCT(($AH$1:$AO$1&lt;AN$1)*$AH88:$AO88)))</f>
        <v>0</v>
      </c>
      <c r="AX88" s="0" t="n">
        <f aca="false">MIN(AO88,MAX(0,$AP88-SUMPRODUCT(($AH$1:$AO$1&lt;AO$1)*$AH88:$AO88)))</f>
        <v>0</v>
      </c>
      <c r="AY88" s="0" t="n">
        <f aca="false">ROUND(AH88-AQ88,2)</f>
        <v>0</v>
      </c>
      <c r="AZ88" s="0" t="n">
        <f aca="false">ROUND(AI88-AR88,2)</f>
        <v>0</v>
      </c>
      <c r="BA88" s="0" t="n">
        <f aca="false">ROUND(AJ88-AS88,2)</f>
        <v>0</v>
      </c>
      <c r="BB88" s="0" t="n">
        <f aca="false">ROUND(AK88-AT88,2)</f>
        <v>0</v>
      </c>
      <c r="BC88" s="0" t="n">
        <f aca="false">ROUND(AL88-AU88,2)</f>
        <v>0</v>
      </c>
      <c r="BD88" s="0" t="n">
        <f aca="false">ROUND(AM88-AV88,2)</f>
        <v>0</v>
      </c>
      <c r="BE88" s="0" t="n">
        <f aca="false">ROUND(AN88-AW88,2)</f>
        <v>0</v>
      </c>
      <c r="BF88" s="0" t="n">
        <f aca="false">ROUND(AO88-AX88,2)</f>
        <v>0</v>
      </c>
      <c r="BG88" s="0" t="n">
        <f aca="false">SUM(AY88:BF88)</f>
        <v>0</v>
      </c>
    </row>
    <row r="89" customFormat="false" ht="15" hidden="false" customHeight="false" outlineLevel="0" collapsed="false">
      <c r="A89" s="0" t="n">
        <v>87</v>
      </c>
      <c r="B89" s="0" t="n">
        <f aca="false">AY88</f>
        <v>0</v>
      </c>
      <c r="C89" s="0" t="n">
        <f aca="false">AZ88</f>
        <v>0</v>
      </c>
      <c r="D89" s="0" t="n">
        <f aca="false">BA88</f>
        <v>0</v>
      </c>
      <c r="E89" s="0" t="n">
        <f aca="false">BB88</f>
        <v>0</v>
      </c>
      <c r="F89" s="0" t="n">
        <f aca="false">BC88</f>
        <v>0</v>
      </c>
      <c r="G89" s="0" t="n">
        <f aca="false">BD88</f>
        <v>0</v>
      </c>
      <c r="H89" s="0" t="n">
        <f aca="false">BE88</f>
        <v>0</v>
      </c>
      <c r="I89" s="0" t="n">
        <f aca="false">BF88</f>
        <v>0</v>
      </c>
      <c r="J89" s="0" t="n">
        <f aca="false">B89*N('Debt Payoff'!D9)/12</f>
        <v>0</v>
      </c>
      <c r="K89" s="0" t="n">
        <f aca="false">C89*N('Debt Payoff'!D10)/12</f>
        <v>0</v>
      </c>
      <c r="L89" s="0" t="n">
        <f aca="false">D89*N('Debt Payoff'!D11)/12</f>
        <v>0</v>
      </c>
      <c r="M89" s="0" t="n">
        <f aca="false">E89*N('Debt Payoff'!D12)/12</f>
        <v>0</v>
      </c>
      <c r="N89" s="0" t="n">
        <f aca="false">F89*N('Debt Payoff'!D13)/12</f>
        <v>0</v>
      </c>
      <c r="O89" s="0" t="n">
        <f aca="false">G89*N('Debt Payoff'!D14)/12</f>
        <v>0</v>
      </c>
      <c r="P89" s="0" t="n">
        <f aca="false">H89*N('Debt Payoff'!D15)/12</f>
        <v>0</v>
      </c>
      <c r="Q89" s="0" t="n">
        <f aca="false">I89*N('Debt Payoff'!D16)/12</f>
        <v>0</v>
      </c>
      <c r="R89" s="0" t="n">
        <f aca="false">B89+J89</f>
        <v>0</v>
      </c>
      <c r="S89" s="0" t="n">
        <f aca="false">C89+K89</f>
        <v>0</v>
      </c>
      <c r="T89" s="0" t="n">
        <f aca="false">D89+L89</f>
        <v>0</v>
      </c>
      <c r="U89" s="0" t="n">
        <f aca="false">E89+M89</f>
        <v>0</v>
      </c>
      <c r="V89" s="0" t="n">
        <f aca="false">F89+N89</f>
        <v>0</v>
      </c>
      <c r="W89" s="0" t="n">
        <f aca="false">G89+O89</f>
        <v>0</v>
      </c>
      <c r="X89" s="0" t="n">
        <f aca="false">H89+P89</f>
        <v>0</v>
      </c>
      <c r="Y89" s="0" t="n">
        <f aca="false">I89+Q89</f>
        <v>0</v>
      </c>
      <c r="Z89" s="0" t="n">
        <f aca="false">MIN(R89,N('Debt Payoff'!E9))</f>
        <v>0</v>
      </c>
      <c r="AA89" s="0" t="n">
        <f aca="false">MIN(S89,N('Debt Payoff'!E10))</f>
        <v>0</v>
      </c>
      <c r="AB89" s="0" t="n">
        <f aca="false">MIN(T89,N('Debt Payoff'!E11))</f>
        <v>0</v>
      </c>
      <c r="AC89" s="0" t="n">
        <f aca="false">MIN(U89,N('Debt Payoff'!E12))</f>
        <v>0</v>
      </c>
      <c r="AD89" s="0" t="n">
        <f aca="false">MIN(V89,N('Debt Payoff'!E13))</f>
        <v>0</v>
      </c>
      <c r="AE89" s="0" t="n">
        <f aca="false">MIN(W89,N('Debt Payoff'!E14))</f>
        <v>0</v>
      </c>
      <c r="AF89" s="0" t="n">
        <f aca="false">MIN(X89,N('Debt Payoff'!E15))</f>
        <v>0</v>
      </c>
      <c r="AG89" s="0" t="n">
        <f aca="false">MIN(Y89,N('Debt Payoff'!E16))</f>
        <v>0</v>
      </c>
      <c r="AH89" s="0" t="n">
        <f aca="false">R89-Z89</f>
        <v>0</v>
      </c>
      <c r="AI89" s="0" t="n">
        <f aca="false">S89-AA89</f>
        <v>0</v>
      </c>
      <c r="AJ89" s="0" t="n">
        <f aca="false">T89-AB89</f>
        <v>0</v>
      </c>
      <c r="AK89" s="0" t="n">
        <f aca="false">U89-AC89</f>
        <v>0</v>
      </c>
      <c r="AL89" s="0" t="n">
        <f aca="false">V89-AD89</f>
        <v>0</v>
      </c>
      <c r="AM89" s="0" t="n">
        <f aca="false">W89-AE89</f>
        <v>0</v>
      </c>
      <c r="AN89" s="0" t="n">
        <f aca="false">X89-AF89</f>
        <v>0</v>
      </c>
      <c r="AO89" s="0" t="n">
        <f aca="false">Y89-AG89</f>
        <v>0</v>
      </c>
      <c r="AP89" s="0" t="n">
        <f aca="false">MAX(0,'Debt Payoff'!$D$17-SUM(Z89:AG89))</f>
        <v>805</v>
      </c>
      <c r="AQ89" s="0" t="n">
        <f aca="false">MIN(AH89,MAX(0,$AP89-SUMPRODUCT(($AH$1:$AO$1&lt;AH$1)*$AH89:$AO89)))</f>
        <v>0</v>
      </c>
      <c r="AR89" s="0" t="n">
        <f aca="false">MIN(AI89,MAX(0,$AP89-SUMPRODUCT(($AH$1:$AO$1&lt;AI$1)*$AH89:$AO89)))</f>
        <v>0</v>
      </c>
      <c r="AS89" s="0" t="n">
        <f aca="false">MIN(AJ89,MAX(0,$AP89-SUMPRODUCT(($AH$1:$AO$1&lt;AJ$1)*$AH89:$AO89)))</f>
        <v>0</v>
      </c>
      <c r="AT89" s="0" t="n">
        <f aca="false">MIN(AK89,MAX(0,$AP89-SUMPRODUCT(($AH$1:$AO$1&lt;AK$1)*$AH89:$AO89)))</f>
        <v>0</v>
      </c>
      <c r="AU89" s="0" t="n">
        <f aca="false">MIN(AL89,MAX(0,$AP89-SUMPRODUCT(($AH$1:$AO$1&lt;AL$1)*$AH89:$AO89)))</f>
        <v>0</v>
      </c>
      <c r="AV89" s="0" t="n">
        <f aca="false">MIN(AM89,MAX(0,$AP89-SUMPRODUCT(($AH$1:$AO$1&lt;AM$1)*$AH89:$AO89)))</f>
        <v>0</v>
      </c>
      <c r="AW89" s="0" t="n">
        <f aca="false">MIN(AN89,MAX(0,$AP89-SUMPRODUCT(($AH$1:$AO$1&lt;AN$1)*$AH89:$AO89)))</f>
        <v>0</v>
      </c>
      <c r="AX89" s="0" t="n">
        <f aca="false">MIN(AO89,MAX(0,$AP89-SUMPRODUCT(($AH$1:$AO$1&lt;AO$1)*$AH89:$AO89)))</f>
        <v>0</v>
      </c>
      <c r="AY89" s="0" t="n">
        <f aca="false">ROUND(AH89-AQ89,2)</f>
        <v>0</v>
      </c>
      <c r="AZ89" s="0" t="n">
        <f aca="false">ROUND(AI89-AR89,2)</f>
        <v>0</v>
      </c>
      <c r="BA89" s="0" t="n">
        <f aca="false">ROUND(AJ89-AS89,2)</f>
        <v>0</v>
      </c>
      <c r="BB89" s="0" t="n">
        <f aca="false">ROUND(AK89-AT89,2)</f>
        <v>0</v>
      </c>
      <c r="BC89" s="0" t="n">
        <f aca="false">ROUND(AL89-AU89,2)</f>
        <v>0</v>
      </c>
      <c r="BD89" s="0" t="n">
        <f aca="false">ROUND(AM89-AV89,2)</f>
        <v>0</v>
      </c>
      <c r="BE89" s="0" t="n">
        <f aca="false">ROUND(AN89-AW89,2)</f>
        <v>0</v>
      </c>
      <c r="BF89" s="0" t="n">
        <f aca="false">ROUND(AO89-AX89,2)</f>
        <v>0</v>
      </c>
      <c r="BG89" s="0" t="n">
        <f aca="false">SUM(AY89:BF89)</f>
        <v>0</v>
      </c>
    </row>
    <row r="90" customFormat="false" ht="15" hidden="false" customHeight="false" outlineLevel="0" collapsed="false">
      <c r="A90" s="0" t="n">
        <v>88</v>
      </c>
      <c r="B90" s="0" t="n">
        <f aca="false">AY89</f>
        <v>0</v>
      </c>
      <c r="C90" s="0" t="n">
        <f aca="false">AZ89</f>
        <v>0</v>
      </c>
      <c r="D90" s="0" t="n">
        <f aca="false">BA89</f>
        <v>0</v>
      </c>
      <c r="E90" s="0" t="n">
        <f aca="false">BB89</f>
        <v>0</v>
      </c>
      <c r="F90" s="0" t="n">
        <f aca="false">BC89</f>
        <v>0</v>
      </c>
      <c r="G90" s="0" t="n">
        <f aca="false">BD89</f>
        <v>0</v>
      </c>
      <c r="H90" s="0" t="n">
        <f aca="false">BE89</f>
        <v>0</v>
      </c>
      <c r="I90" s="0" t="n">
        <f aca="false">BF89</f>
        <v>0</v>
      </c>
      <c r="J90" s="0" t="n">
        <f aca="false">B90*N('Debt Payoff'!D9)/12</f>
        <v>0</v>
      </c>
      <c r="K90" s="0" t="n">
        <f aca="false">C90*N('Debt Payoff'!D10)/12</f>
        <v>0</v>
      </c>
      <c r="L90" s="0" t="n">
        <f aca="false">D90*N('Debt Payoff'!D11)/12</f>
        <v>0</v>
      </c>
      <c r="M90" s="0" t="n">
        <f aca="false">E90*N('Debt Payoff'!D12)/12</f>
        <v>0</v>
      </c>
      <c r="N90" s="0" t="n">
        <f aca="false">F90*N('Debt Payoff'!D13)/12</f>
        <v>0</v>
      </c>
      <c r="O90" s="0" t="n">
        <f aca="false">G90*N('Debt Payoff'!D14)/12</f>
        <v>0</v>
      </c>
      <c r="P90" s="0" t="n">
        <f aca="false">H90*N('Debt Payoff'!D15)/12</f>
        <v>0</v>
      </c>
      <c r="Q90" s="0" t="n">
        <f aca="false">I90*N('Debt Payoff'!D16)/12</f>
        <v>0</v>
      </c>
      <c r="R90" s="0" t="n">
        <f aca="false">B90+J90</f>
        <v>0</v>
      </c>
      <c r="S90" s="0" t="n">
        <f aca="false">C90+K90</f>
        <v>0</v>
      </c>
      <c r="T90" s="0" t="n">
        <f aca="false">D90+L90</f>
        <v>0</v>
      </c>
      <c r="U90" s="0" t="n">
        <f aca="false">E90+M90</f>
        <v>0</v>
      </c>
      <c r="V90" s="0" t="n">
        <f aca="false">F90+N90</f>
        <v>0</v>
      </c>
      <c r="W90" s="0" t="n">
        <f aca="false">G90+O90</f>
        <v>0</v>
      </c>
      <c r="X90" s="0" t="n">
        <f aca="false">H90+P90</f>
        <v>0</v>
      </c>
      <c r="Y90" s="0" t="n">
        <f aca="false">I90+Q90</f>
        <v>0</v>
      </c>
      <c r="Z90" s="0" t="n">
        <f aca="false">MIN(R90,N('Debt Payoff'!E9))</f>
        <v>0</v>
      </c>
      <c r="AA90" s="0" t="n">
        <f aca="false">MIN(S90,N('Debt Payoff'!E10))</f>
        <v>0</v>
      </c>
      <c r="AB90" s="0" t="n">
        <f aca="false">MIN(T90,N('Debt Payoff'!E11))</f>
        <v>0</v>
      </c>
      <c r="AC90" s="0" t="n">
        <f aca="false">MIN(U90,N('Debt Payoff'!E12))</f>
        <v>0</v>
      </c>
      <c r="AD90" s="0" t="n">
        <f aca="false">MIN(V90,N('Debt Payoff'!E13))</f>
        <v>0</v>
      </c>
      <c r="AE90" s="0" t="n">
        <f aca="false">MIN(W90,N('Debt Payoff'!E14))</f>
        <v>0</v>
      </c>
      <c r="AF90" s="0" t="n">
        <f aca="false">MIN(X90,N('Debt Payoff'!E15))</f>
        <v>0</v>
      </c>
      <c r="AG90" s="0" t="n">
        <f aca="false">MIN(Y90,N('Debt Payoff'!E16))</f>
        <v>0</v>
      </c>
      <c r="AH90" s="0" t="n">
        <f aca="false">R90-Z90</f>
        <v>0</v>
      </c>
      <c r="AI90" s="0" t="n">
        <f aca="false">S90-AA90</f>
        <v>0</v>
      </c>
      <c r="AJ90" s="0" t="n">
        <f aca="false">T90-AB90</f>
        <v>0</v>
      </c>
      <c r="AK90" s="0" t="n">
        <f aca="false">U90-AC90</f>
        <v>0</v>
      </c>
      <c r="AL90" s="0" t="n">
        <f aca="false">V90-AD90</f>
        <v>0</v>
      </c>
      <c r="AM90" s="0" t="n">
        <f aca="false">W90-AE90</f>
        <v>0</v>
      </c>
      <c r="AN90" s="0" t="n">
        <f aca="false">X90-AF90</f>
        <v>0</v>
      </c>
      <c r="AO90" s="0" t="n">
        <f aca="false">Y90-AG90</f>
        <v>0</v>
      </c>
      <c r="AP90" s="0" t="n">
        <f aca="false">MAX(0,'Debt Payoff'!$D$17-SUM(Z90:AG90))</f>
        <v>805</v>
      </c>
      <c r="AQ90" s="0" t="n">
        <f aca="false">MIN(AH90,MAX(0,$AP90-SUMPRODUCT(($AH$1:$AO$1&lt;AH$1)*$AH90:$AO90)))</f>
        <v>0</v>
      </c>
      <c r="AR90" s="0" t="n">
        <f aca="false">MIN(AI90,MAX(0,$AP90-SUMPRODUCT(($AH$1:$AO$1&lt;AI$1)*$AH90:$AO90)))</f>
        <v>0</v>
      </c>
      <c r="AS90" s="0" t="n">
        <f aca="false">MIN(AJ90,MAX(0,$AP90-SUMPRODUCT(($AH$1:$AO$1&lt;AJ$1)*$AH90:$AO90)))</f>
        <v>0</v>
      </c>
      <c r="AT90" s="0" t="n">
        <f aca="false">MIN(AK90,MAX(0,$AP90-SUMPRODUCT(($AH$1:$AO$1&lt;AK$1)*$AH90:$AO90)))</f>
        <v>0</v>
      </c>
      <c r="AU90" s="0" t="n">
        <f aca="false">MIN(AL90,MAX(0,$AP90-SUMPRODUCT(($AH$1:$AO$1&lt;AL$1)*$AH90:$AO90)))</f>
        <v>0</v>
      </c>
      <c r="AV90" s="0" t="n">
        <f aca="false">MIN(AM90,MAX(0,$AP90-SUMPRODUCT(($AH$1:$AO$1&lt;AM$1)*$AH90:$AO90)))</f>
        <v>0</v>
      </c>
      <c r="AW90" s="0" t="n">
        <f aca="false">MIN(AN90,MAX(0,$AP90-SUMPRODUCT(($AH$1:$AO$1&lt;AN$1)*$AH90:$AO90)))</f>
        <v>0</v>
      </c>
      <c r="AX90" s="0" t="n">
        <f aca="false">MIN(AO90,MAX(0,$AP90-SUMPRODUCT(($AH$1:$AO$1&lt;AO$1)*$AH90:$AO90)))</f>
        <v>0</v>
      </c>
      <c r="AY90" s="0" t="n">
        <f aca="false">ROUND(AH90-AQ90,2)</f>
        <v>0</v>
      </c>
      <c r="AZ90" s="0" t="n">
        <f aca="false">ROUND(AI90-AR90,2)</f>
        <v>0</v>
      </c>
      <c r="BA90" s="0" t="n">
        <f aca="false">ROUND(AJ90-AS90,2)</f>
        <v>0</v>
      </c>
      <c r="BB90" s="0" t="n">
        <f aca="false">ROUND(AK90-AT90,2)</f>
        <v>0</v>
      </c>
      <c r="BC90" s="0" t="n">
        <f aca="false">ROUND(AL90-AU90,2)</f>
        <v>0</v>
      </c>
      <c r="BD90" s="0" t="n">
        <f aca="false">ROUND(AM90-AV90,2)</f>
        <v>0</v>
      </c>
      <c r="BE90" s="0" t="n">
        <f aca="false">ROUND(AN90-AW90,2)</f>
        <v>0</v>
      </c>
      <c r="BF90" s="0" t="n">
        <f aca="false">ROUND(AO90-AX90,2)</f>
        <v>0</v>
      </c>
      <c r="BG90" s="0" t="n">
        <f aca="false">SUM(AY90:BF90)</f>
        <v>0</v>
      </c>
    </row>
    <row r="91" customFormat="false" ht="15" hidden="false" customHeight="false" outlineLevel="0" collapsed="false">
      <c r="A91" s="0" t="n">
        <v>89</v>
      </c>
      <c r="B91" s="0" t="n">
        <f aca="false">AY90</f>
        <v>0</v>
      </c>
      <c r="C91" s="0" t="n">
        <f aca="false">AZ90</f>
        <v>0</v>
      </c>
      <c r="D91" s="0" t="n">
        <f aca="false">BA90</f>
        <v>0</v>
      </c>
      <c r="E91" s="0" t="n">
        <f aca="false">BB90</f>
        <v>0</v>
      </c>
      <c r="F91" s="0" t="n">
        <f aca="false">BC90</f>
        <v>0</v>
      </c>
      <c r="G91" s="0" t="n">
        <f aca="false">BD90</f>
        <v>0</v>
      </c>
      <c r="H91" s="0" t="n">
        <f aca="false">BE90</f>
        <v>0</v>
      </c>
      <c r="I91" s="0" t="n">
        <f aca="false">BF90</f>
        <v>0</v>
      </c>
      <c r="J91" s="0" t="n">
        <f aca="false">B91*N('Debt Payoff'!D9)/12</f>
        <v>0</v>
      </c>
      <c r="K91" s="0" t="n">
        <f aca="false">C91*N('Debt Payoff'!D10)/12</f>
        <v>0</v>
      </c>
      <c r="L91" s="0" t="n">
        <f aca="false">D91*N('Debt Payoff'!D11)/12</f>
        <v>0</v>
      </c>
      <c r="M91" s="0" t="n">
        <f aca="false">E91*N('Debt Payoff'!D12)/12</f>
        <v>0</v>
      </c>
      <c r="N91" s="0" t="n">
        <f aca="false">F91*N('Debt Payoff'!D13)/12</f>
        <v>0</v>
      </c>
      <c r="O91" s="0" t="n">
        <f aca="false">G91*N('Debt Payoff'!D14)/12</f>
        <v>0</v>
      </c>
      <c r="P91" s="0" t="n">
        <f aca="false">H91*N('Debt Payoff'!D15)/12</f>
        <v>0</v>
      </c>
      <c r="Q91" s="0" t="n">
        <f aca="false">I91*N('Debt Payoff'!D16)/12</f>
        <v>0</v>
      </c>
      <c r="R91" s="0" t="n">
        <f aca="false">B91+J91</f>
        <v>0</v>
      </c>
      <c r="S91" s="0" t="n">
        <f aca="false">C91+K91</f>
        <v>0</v>
      </c>
      <c r="T91" s="0" t="n">
        <f aca="false">D91+L91</f>
        <v>0</v>
      </c>
      <c r="U91" s="0" t="n">
        <f aca="false">E91+M91</f>
        <v>0</v>
      </c>
      <c r="V91" s="0" t="n">
        <f aca="false">F91+N91</f>
        <v>0</v>
      </c>
      <c r="W91" s="0" t="n">
        <f aca="false">G91+O91</f>
        <v>0</v>
      </c>
      <c r="X91" s="0" t="n">
        <f aca="false">H91+P91</f>
        <v>0</v>
      </c>
      <c r="Y91" s="0" t="n">
        <f aca="false">I91+Q91</f>
        <v>0</v>
      </c>
      <c r="Z91" s="0" t="n">
        <f aca="false">MIN(R91,N('Debt Payoff'!E9))</f>
        <v>0</v>
      </c>
      <c r="AA91" s="0" t="n">
        <f aca="false">MIN(S91,N('Debt Payoff'!E10))</f>
        <v>0</v>
      </c>
      <c r="AB91" s="0" t="n">
        <f aca="false">MIN(T91,N('Debt Payoff'!E11))</f>
        <v>0</v>
      </c>
      <c r="AC91" s="0" t="n">
        <f aca="false">MIN(U91,N('Debt Payoff'!E12))</f>
        <v>0</v>
      </c>
      <c r="AD91" s="0" t="n">
        <f aca="false">MIN(V91,N('Debt Payoff'!E13))</f>
        <v>0</v>
      </c>
      <c r="AE91" s="0" t="n">
        <f aca="false">MIN(W91,N('Debt Payoff'!E14))</f>
        <v>0</v>
      </c>
      <c r="AF91" s="0" t="n">
        <f aca="false">MIN(X91,N('Debt Payoff'!E15))</f>
        <v>0</v>
      </c>
      <c r="AG91" s="0" t="n">
        <f aca="false">MIN(Y91,N('Debt Payoff'!E16))</f>
        <v>0</v>
      </c>
      <c r="AH91" s="0" t="n">
        <f aca="false">R91-Z91</f>
        <v>0</v>
      </c>
      <c r="AI91" s="0" t="n">
        <f aca="false">S91-AA91</f>
        <v>0</v>
      </c>
      <c r="AJ91" s="0" t="n">
        <f aca="false">T91-AB91</f>
        <v>0</v>
      </c>
      <c r="AK91" s="0" t="n">
        <f aca="false">U91-AC91</f>
        <v>0</v>
      </c>
      <c r="AL91" s="0" t="n">
        <f aca="false">V91-AD91</f>
        <v>0</v>
      </c>
      <c r="AM91" s="0" t="n">
        <f aca="false">W91-AE91</f>
        <v>0</v>
      </c>
      <c r="AN91" s="0" t="n">
        <f aca="false">X91-AF91</f>
        <v>0</v>
      </c>
      <c r="AO91" s="0" t="n">
        <f aca="false">Y91-AG91</f>
        <v>0</v>
      </c>
      <c r="AP91" s="0" t="n">
        <f aca="false">MAX(0,'Debt Payoff'!$D$17-SUM(Z91:AG91))</f>
        <v>805</v>
      </c>
      <c r="AQ91" s="0" t="n">
        <f aca="false">MIN(AH91,MAX(0,$AP91-SUMPRODUCT(($AH$1:$AO$1&lt;AH$1)*$AH91:$AO91)))</f>
        <v>0</v>
      </c>
      <c r="AR91" s="0" t="n">
        <f aca="false">MIN(AI91,MAX(0,$AP91-SUMPRODUCT(($AH$1:$AO$1&lt;AI$1)*$AH91:$AO91)))</f>
        <v>0</v>
      </c>
      <c r="AS91" s="0" t="n">
        <f aca="false">MIN(AJ91,MAX(0,$AP91-SUMPRODUCT(($AH$1:$AO$1&lt;AJ$1)*$AH91:$AO91)))</f>
        <v>0</v>
      </c>
      <c r="AT91" s="0" t="n">
        <f aca="false">MIN(AK91,MAX(0,$AP91-SUMPRODUCT(($AH$1:$AO$1&lt;AK$1)*$AH91:$AO91)))</f>
        <v>0</v>
      </c>
      <c r="AU91" s="0" t="n">
        <f aca="false">MIN(AL91,MAX(0,$AP91-SUMPRODUCT(($AH$1:$AO$1&lt;AL$1)*$AH91:$AO91)))</f>
        <v>0</v>
      </c>
      <c r="AV91" s="0" t="n">
        <f aca="false">MIN(AM91,MAX(0,$AP91-SUMPRODUCT(($AH$1:$AO$1&lt;AM$1)*$AH91:$AO91)))</f>
        <v>0</v>
      </c>
      <c r="AW91" s="0" t="n">
        <f aca="false">MIN(AN91,MAX(0,$AP91-SUMPRODUCT(($AH$1:$AO$1&lt;AN$1)*$AH91:$AO91)))</f>
        <v>0</v>
      </c>
      <c r="AX91" s="0" t="n">
        <f aca="false">MIN(AO91,MAX(0,$AP91-SUMPRODUCT(($AH$1:$AO$1&lt;AO$1)*$AH91:$AO91)))</f>
        <v>0</v>
      </c>
      <c r="AY91" s="0" t="n">
        <f aca="false">ROUND(AH91-AQ91,2)</f>
        <v>0</v>
      </c>
      <c r="AZ91" s="0" t="n">
        <f aca="false">ROUND(AI91-AR91,2)</f>
        <v>0</v>
      </c>
      <c r="BA91" s="0" t="n">
        <f aca="false">ROUND(AJ91-AS91,2)</f>
        <v>0</v>
      </c>
      <c r="BB91" s="0" t="n">
        <f aca="false">ROUND(AK91-AT91,2)</f>
        <v>0</v>
      </c>
      <c r="BC91" s="0" t="n">
        <f aca="false">ROUND(AL91-AU91,2)</f>
        <v>0</v>
      </c>
      <c r="BD91" s="0" t="n">
        <f aca="false">ROUND(AM91-AV91,2)</f>
        <v>0</v>
      </c>
      <c r="BE91" s="0" t="n">
        <f aca="false">ROUND(AN91-AW91,2)</f>
        <v>0</v>
      </c>
      <c r="BF91" s="0" t="n">
        <f aca="false">ROUND(AO91-AX91,2)</f>
        <v>0</v>
      </c>
      <c r="BG91" s="0" t="n">
        <f aca="false">SUM(AY91:BF91)</f>
        <v>0</v>
      </c>
    </row>
    <row r="92" customFormat="false" ht="15" hidden="false" customHeight="false" outlineLevel="0" collapsed="false">
      <c r="A92" s="0" t="n">
        <v>90</v>
      </c>
      <c r="B92" s="0" t="n">
        <f aca="false">AY91</f>
        <v>0</v>
      </c>
      <c r="C92" s="0" t="n">
        <f aca="false">AZ91</f>
        <v>0</v>
      </c>
      <c r="D92" s="0" t="n">
        <f aca="false">BA91</f>
        <v>0</v>
      </c>
      <c r="E92" s="0" t="n">
        <f aca="false">BB91</f>
        <v>0</v>
      </c>
      <c r="F92" s="0" t="n">
        <f aca="false">BC91</f>
        <v>0</v>
      </c>
      <c r="G92" s="0" t="n">
        <f aca="false">BD91</f>
        <v>0</v>
      </c>
      <c r="H92" s="0" t="n">
        <f aca="false">BE91</f>
        <v>0</v>
      </c>
      <c r="I92" s="0" t="n">
        <f aca="false">BF91</f>
        <v>0</v>
      </c>
      <c r="J92" s="0" t="n">
        <f aca="false">B92*N('Debt Payoff'!D9)/12</f>
        <v>0</v>
      </c>
      <c r="K92" s="0" t="n">
        <f aca="false">C92*N('Debt Payoff'!D10)/12</f>
        <v>0</v>
      </c>
      <c r="L92" s="0" t="n">
        <f aca="false">D92*N('Debt Payoff'!D11)/12</f>
        <v>0</v>
      </c>
      <c r="M92" s="0" t="n">
        <f aca="false">E92*N('Debt Payoff'!D12)/12</f>
        <v>0</v>
      </c>
      <c r="N92" s="0" t="n">
        <f aca="false">F92*N('Debt Payoff'!D13)/12</f>
        <v>0</v>
      </c>
      <c r="O92" s="0" t="n">
        <f aca="false">G92*N('Debt Payoff'!D14)/12</f>
        <v>0</v>
      </c>
      <c r="P92" s="0" t="n">
        <f aca="false">H92*N('Debt Payoff'!D15)/12</f>
        <v>0</v>
      </c>
      <c r="Q92" s="0" t="n">
        <f aca="false">I92*N('Debt Payoff'!D16)/12</f>
        <v>0</v>
      </c>
      <c r="R92" s="0" t="n">
        <f aca="false">B92+J92</f>
        <v>0</v>
      </c>
      <c r="S92" s="0" t="n">
        <f aca="false">C92+K92</f>
        <v>0</v>
      </c>
      <c r="T92" s="0" t="n">
        <f aca="false">D92+L92</f>
        <v>0</v>
      </c>
      <c r="U92" s="0" t="n">
        <f aca="false">E92+M92</f>
        <v>0</v>
      </c>
      <c r="V92" s="0" t="n">
        <f aca="false">F92+N92</f>
        <v>0</v>
      </c>
      <c r="W92" s="0" t="n">
        <f aca="false">G92+O92</f>
        <v>0</v>
      </c>
      <c r="X92" s="0" t="n">
        <f aca="false">H92+P92</f>
        <v>0</v>
      </c>
      <c r="Y92" s="0" t="n">
        <f aca="false">I92+Q92</f>
        <v>0</v>
      </c>
      <c r="Z92" s="0" t="n">
        <f aca="false">MIN(R92,N('Debt Payoff'!E9))</f>
        <v>0</v>
      </c>
      <c r="AA92" s="0" t="n">
        <f aca="false">MIN(S92,N('Debt Payoff'!E10))</f>
        <v>0</v>
      </c>
      <c r="AB92" s="0" t="n">
        <f aca="false">MIN(T92,N('Debt Payoff'!E11))</f>
        <v>0</v>
      </c>
      <c r="AC92" s="0" t="n">
        <f aca="false">MIN(U92,N('Debt Payoff'!E12))</f>
        <v>0</v>
      </c>
      <c r="AD92" s="0" t="n">
        <f aca="false">MIN(V92,N('Debt Payoff'!E13))</f>
        <v>0</v>
      </c>
      <c r="AE92" s="0" t="n">
        <f aca="false">MIN(W92,N('Debt Payoff'!E14))</f>
        <v>0</v>
      </c>
      <c r="AF92" s="0" t="n">
        <f aca="false">MIN(X92,N('Debt Payoff'!E15))</f>
        <v>0</v>
      </c>
      <c r="AG92" s="0" t="n">
        <f aca="false">MIN(Y92,N('Debt Payoff'!E16))</f>
        <v>0</v>
      </c>
      <c r="AH92" s="0" t="n">
        <f aca="false">R92-Z92</f>
        <v>0</v>
      </c>
      <c r="AI92" s="0" t="n">
        <f aca="false">S92-AA92</f>
        <v>0</v>
      </c>
      <c r="AJ92" s="0" t="n">
        <f aca="false">T92-AB92</f>
        <v>0</v>
      </c>
      <c r="AK92" s="0" t="n">
        <f aca="false">U92-AC92</f>
        <v>0</v>
      </c>
      <c r="AL92" s="0" t="n">
        <f aca="false">V92-AD92</f>
        <v>0</v>
      </c>
      <c r="AM92" s="0" t="n">
        <f aca="false">W92-AE92</f>
        <v>0</v>
      </c>
      <c r="AN92" s="0" t="n">
        <f aca="false">X92-AF92</f>
        <v>0</v>
      </c>
      <c r="AO92" s="0" t="n">
        <f aca="false">Y92-AG92</f>
        <v>0</v>
      </c>
      <c r="AP92" s="0" t="n">
        <f aca="false">MAX(0,'Debt Payoff'!$D$17-SUM(Z92:AG92))</f>
        <v>805</v>
      </c>
      <c r="AQ92" s="0" t="n">
        <f aca="false">MIN(AH92,MAX(0,$AP92-SUMPRODUCT(($AH$1:$AO$1&lt;AH$1)*$AH92:$AO92)))</f>
        <v>0</v>
      </c>
      <c r="AR92" s="0" t="n">
        <f aca="false">MIN(AI92,MAX(0,$AP92-SUMPRODUCT(($AH$1:$AO$1&lt;AI$1)*$AH92:$AO92)))</f>
        <v>0</v>
      </c>
      <c r="AS92" s="0" t="n">
        <f aca="false">MIN(AJ92,MAX(0,$AP92-SUMPRODUCT(($AH$1:$AO$1&lt;AJ$1)*$AH92:$AO92)))</f>
        <v>0</v>
      </c>
      <c r="AT92" s="0" t="n">
        <f aca="false">MIN(AK92,MAX(0,$AP92-SUMPRODUCT(($AH$1:$AO$1&lt;AK$1)*$AH92:$AO92)))</f>
        <v>0</v>
      </c>
      <c r="AU92" s="0" t="n">
        <f aca="false">MIN(AL92,MAX(0,$AP92-SUMPRODUCT(($AH$1:$AO$1&lt;AL$1)*$AH92:$AO92)))</f>
        <v>0</v>
      </c>
      <c r="AV92" s="0" t="n">
        <f aca="false">MIN(AM92,MAX(0,$AP92-SUMPRODUCT(($AH$1:$AO$1&lt;AM$1)*$AH92:$AO92)))</f>
        <v>0</v>
      </c>
      <c r="AW92" s="0" t="n">
        <f aca="false">MIN(AN92,MAX(0,$AP92-SUMPRODUCT(($AH$1:$AO$1&lt;AN$1)*$AH92:$AO92)))</f>
        <v>0</v>
      </c>
      <c r="AX92" s="0" t="n">
        <f aca="false">MIN(AO92,MAX(0,$AP92-SUMPRODUCT(($AH$1:$AO$1&lt;AO$1)*$AH92:$AO92)))</f>
        <v>0</v>
      </c>
      <c r="AY92" s="0" t="n">
        <f aca="false">ROUND(AH92-AQ92,2)</f>
        <v>0</v>
      </c>
      <c r="AZ92" s="0" t="n">
        <f aca="false">ROUND(AI92-AR92,2)</f>
        <v>0</v>
      </c>
      <c r="BA92" s="0" t="n">
        <f aca="false">ROUND(AJ92-AS92,2)</f>
        <v>0</v>
      </c>
      <c r="BB92" s="0" t="n">
        <f aca="false">ROUND(AK92-AT92,2)</f>
        <v>0</v>
      </c>
      <c r="BC92" s="0" t="n">
        <f aca="false">ROUND(AL92-AU92,2)</f>
        <v>0</v>
      </c>
      <c r="BD92" s="0" t="n">
        <f aca="false">ROUND(AM92-AV92,2)</f>
        <v>0</v>
      </c>
      <c r="BE92" s="0" t="n">
        <f aca="false">ROUND(AN92-AW92,2)</f>
        <v>0</v>
      </c>
      <c r="BF92" s="0" t="n">
        <f aca="false">ROUND(AO92-AX92,2)</f>
        <v>0</v>
      </c>
      <c r="BG92" s="0" t="n">
        <f aca="false">SUM(AY92:BF92)</f>
        <v>0</v>
      </c>
    </row>
    <row r="93" customFormat="false" ht="15" hidden="false" customHeight="false" outlineLevel="0" collapsed="false">
      <c r="A93" s="0" t="n">
        <v>91</v>
      </c>
      <c r="B93" s="0" t="n">
        <f aca="false">AY92</f>
        <v>0</v>
      </c>
      <c r="C93" s="0" t="n">
        <f aca="false">AZ92</f>
        <v>0</v>
      </c>
      <c r="D93" s="0" t="n">
        <f aca="false">BA92</f>
        <v>0</v>
      </c>
      <c r="E93" s="0" t="n">
        <f aca="false">BB92</f>
        <v>0</v>
      </c>
      <c r="F93" s="0" t="n">
        <f aca="false">BC92</f>
        <v>0</v>
      </c>
      <c r="G93" s="0" t="n">
        <f aca="false">BD92</f>
        <v>0</v>
      </c>
      <c r="H93" s="0" t="n">
        <f aca="false">BE92</f>
        <v>0</v>
      </c>
      <c r="I93" s="0" t="n">
        <f aca="false">BF92</f>
        <v>0</v>
      </c>
      <c r="J93" s="0" t="n">
        <f aca="false">B93*N('Debt Payoff'!D9)/12</f>
        <v>0</v>
      </c>
      <c r="K93" s="0" t="n">
        <f aca="false">C93*N('Debt Payoff'!D10)/12</f>
        <v>0</v>
      </c>
      <c r="L93" s="0" t="n">
        <f aca="false">D93*N('Debt Payoff'!D11)/12</f>
        <v>0</v>
      </c>
      <c r="M93" s="0" t="n">
        <f aca="false">E93*N('Debt Payoff'!D12)/12</f>
        <v>0</v>
      </c>
      <c r="N93" s="0" t="n">
        <f aca="false">F93*N('Debt Payoff'!D13)/12</f>
        <v>0</v>
      </c>
      <c r="O93" s="0" t="n">
        <f aca="false">G93*N('Debt Payoff'!D14)/12</f>
        <v>0</v>
      </c>
      <c r="P93" s="0" t="n">
        <f aca="false">H93*N('Debt Payoff'!D15)/12</f>
        <v>0</v>
      </c>
      <c r="Q93" s="0" t="n">
        <f aca="false">I93*N('Debt Payoff'!D16)/12</f>
        <v>0</v>
      </c>
      <c r="R93" s="0" t="n">
        <f aca="false">B93+J93</f>
        <v>0</v>
      </c>
      <c r="S93" s="0" t="n">
        <f aca="false">C93+K93</f>
        <v>0</v>
      </c>
      <c r="T93" s="0" t="n">
        <f aca="false">D93+L93</f>
        <v>0</v>
      </c>
      <c r="U93" s="0" t="n">
        <f aca="false">E93+M93</f>
        <v>0</v>
      </c>
      <c r="V93" s="0" t="n">
        <f aca="false">F93+N93</f>
        <v>0</v>
      </c>
      <c r="W93" s="0" t="n">
        <f aca="false">G93+O93</f>
        <v>0</v>
      </c>
      <c r="X93" s="0" t="n">
        <f aca="false">H93+P93</f>
        <v>0</v>
      </c>
      <c r="Y93" s="0" t="n">
        <f aca="false">I93+Q93</f>
        <v>0</v>
      </c>
      <c r="Z93" s="0" t="n">
        <f aca="false">MIN(R93,N('Debt Payoff'!E9))</f>
        <v>0</v>
      </c>
      <c r="AA93" s="0" t="n">
        <f aca="false">MIN(S93,N('Debt Payoff'!E10))</f>
        <v>0</v>
      </c>
      <c r="AB93" s="0" t="n">
        <f aca="false">MIN(T93,N('Debt Payoff'!E11))</f>
        <v>0</v>
      </c>
      <c r="AC93" s="0" t="n">
        <f aca="false">MIN(U93,N('Debt Payoff'!E12))</f>
        <v>0</v>
      </c>
      <c r="AD93" s="0" t="n">
        <f aca="false">MIN(V93,N('Debt Payoff'!E13))</f>
        <v>0</v>
      </c>
      <c r="AE93" s="0" t="n">
        <f aca="false">MIN(W93,N('Debt Payoff'!E14))</f>
        <v>0</v>
      </c>
      <c r="AF93" s="0" t="n">
        <f aca="false">MIN(X93,N('Debt Payoff'!E15))</f>
        <v>0</v>
      </c>
      <c r="AG93" s="0" t="n">
        <f aca="false">MIN(Y93,N('Debt Payoff'!E16))</f>
        <v>0</v>
      </c>
      <c r="AH93" s="0" t="n">
        <f aca="false">R93-Z93</f>
        <v>0</v>
      </c>
      <c r="AI93" s="0" t="n">
        <f aca="false">S93-AA93</f>
        <v>0</v>
      </c>
      <c r="AJ93" s="0" t="n">
        <f aca="false">T93-AB93</f>
        <v>0</v>
      </c>
      <c r="AK93" s="0" t="n">
        <f aca="false">U93-AC93</f>
        <v>0</v>
      </c>
      <c r="AL93" s="0" t="n">
        <f aca="false">V93-AD93</f>
        <v>0</v>
      </c>
      <c r="AM93" s="0" t="n">
        <f aca="false">W93-AE93</f>
        <v>0</v>
      </c>
      <c r="AN93" s="0" t="n">
        <f aca="false">X93-AF93</f>
        <v>0</v>
      </c>
      <c r="AO93" s="0" t="n">
        <f aca="false">Y93-AG93</f>
        <v>0</v>
      </c>
      <c r="AP93" s="0" t="n">
        <f aca="false">MAX(0,'Debt Payoff'!$D$17-SUM(Z93:AG93))</f>
        <v>805</v>
      </c>
      <c r="AQ93" s="0" t="n">
        <f aca="false">MIN(AH93,MAX(0,$AP93-SUMPRODUCT(($AH$1:$AO$1&lt;AH$1)*$AH93:$AO93)))</f>
        <v>0</v>
      </c>
      <c r="AR93" s="0" t="n">
        <f aca="false">MIN(AI93,MAX(0,$AP93-SUMPRODUCT(($AH$1:$AO$1&lt;AI$1)*$AH93:$AO93)))</f>
        <v>0</v>
      </c>
      <c r="AS93" s="0" t="n">
        <f aca="false">MIN(AJ93,MAX(0,$AP93-SUMPRODUCT(($AH$1:$AO$1&lt;AJ$1)*$AH93:$AO93)))</f>
        <v>0</v>
      </c>
      <c r="AT93" s="0" t="n">
        <f aca="false">MIN(AK93,MAX(0,$AP93-SUMPRODUCT(($AH$1:$AO$1&lt;AK$1)*$AH93:$AO93)))</f>
        <v>0</v>
      </c>
      <c r="AU93" s="0" t="n">
        <f aca="false">MIN(AL93,MAX(0,$AP93-SUMPRODUCT(($AH$1:$AO$1&lt;AL$1)*$AH93:$AO93)))</f>
        <v>0</v>
      </c>
      <c r="AV93" s="0" t="n">
        <f aca="false">MIN(AM93,MAX(0,$AP93-SUMPRODUCT(($AH$1:$AO$1&lt;AM$1)*$AH93:$AO93)))</f>
        <v>0</v>
      </c>
      <c r="AW93" s="0" t="n">
        <f aca="false">MIN(AN93,MAX(0,$AP93-SUMPRODUCT(($AH$1:$AO$1&lt;AN$1)*$AH93:$AO93)))</f>
        <v>0</v>
      </c>
      <c r="AX93" s="0" t="n">
        <f aca="false">MIN(AO93,MAX(0,$AP93-SUMPRODUCT(($AH$1:$AO$1&lt;AO$1)*$AH93:$AO93)))</f>
        <v>0</v>
      </c>
      <c r="AY93" s="0" t="n">
        <f aca="false">ROUND(AH93-AQ93,2)</f>
        <v>0</v>
      </c>
      <c r="AZ93" s="0" t="n">
        <f aca="false">ROUND(AI93-AR93,2)</f>
        <v>0</v>
      </c>
      <c r="BA93" s="0" t="n">
        <f aca="false">ROUND(AJ93-AS93,2)</f>
        <v>0</v>
      </c>
      <c r="BB93" s="0" t="n">
        <f aca="false">ROUND(AK93-AT93,2)</f>
        <v>0</v>
      </c>
      <c r="BC93" s="0" t="n">
        <f aca="false">ROUND(AL93-AU93,2)</f>
        <v>0</v>
      </c>
      <c r="BD93" s="0" t="n">
        <f aca="false">ROUND(AM93-AV93,2)</f>
        <v>0</v>
      </c>
      <c r="BE93" s="0" t="n">
        <f aca="false">ROUND(AN93-AW93,2)</f>
        <v>0</v>
      </c>
      <c r="BF93" s="0" t="n">
        <f aca="false">ROUND(AO93-AX93,2)</f>
        <v>0</v>
      </c>
      <c r="BG93" s="0" t="n">
        <f aca="false">SUM(AY93:BF93)</f>
        <v>0</v>
      </c>
    </row>
    <row r="94" customFormat="false" ht="15" hidden="false" customHeight="false" outlineLevel="0" collapsed="false">
      <c r="A94" s="0" t="n">
        <v>92</v>
      </c>
      <c r="B94" s="0" t="n">
        <f aca="false">AY93</f>
        <v>0</v>
      </c>
      <c r="C94" s="0" t="n">
        <f aca="false">AZ93</f>
        <v>0</v>
      </c>
      <c r="D94" s="0" t="n">
        <f aca="false">BA93</f>
        <v>0</v>
      </c>
      <c r="E94" s="0" t="n">
        <f aca="false">BB93</f>
        <v>0</v>
      </c>
      <c r="F94" s="0" t="n">
        <f aca="false">BC93</f>
        <v>0</v>
      </c>
      <c r="G94" s="0" t="n">
        <f aca="false">BD93</f>
        <v>0</v>
      </c>
      <c r="H94" s="0" t="n">
        <f aca="false">BE93</f>
        <v>0</v>
      </c>
      <c r="I94" s="0" t="n">
        <f aca="false">BF93</f>
        <v>0</v>
      </c>
      <c r="J94" s="0" t="n">
        <f aca="false">B94*N('Debt Payoff'!D9)/12</f>
        <v>0</v>
      </c>
      <c r="K94" s="0" t="n">
        <f aca="false">C94*N('Debt Payoff'!D10)/12</f>
        <v>0</v>
      </c>
      <c r="L94" s="0" t="n">
        <f aca="false">D94*N('Debt Payoff'!D11)/12</f>
        <v>0</v>
      </c>
      <c r="M94" s="0" t="n">
        <f aca="false">E94*N('Debt Payoff'!D12)/12</f>
        <v>0</v>
      </c>
      <c r="N94" s="0" t="n">
        <f aca="false">F94*N('Debt Payoff'!D13)/12</f>
        <v>0</v>
      </c>
      <c r="O94" s="0" t="n">
        <f aca="false">G94*N('Debt Payoff'!D14)/12</f>
        <v>0</v>
      </c>
      <c r="P94" s="0" t="n">
        <f aca="false">H94*N('Debt Payoff'!D15)/12</f>
        <v>0</v>
      </c>
      <c r="Q94" s="0" t="n">
        <f aca="false">I94*N('Debt Payoff'!D16)/12</f>
        <v>0</v>
      </c>
      <c r="R94" s="0" t="n">
        <f aca="false">B94+J94</f>
        <v>0</v>
      </c>
      <c r="S94" s="0" t="n">
        <f aca="false">C94+K94</f>
        <v>0</v>
      </c>
      <c r="T94" s="0" t="n">
        <f aca="false">D94+L94</f>
        <v>0</v>
      </c>
      <c r="U94" s="0" t="n">
        <f aca="false">E94+M94</f>
        <v>0</v>
      </c>
      <c r="V94" s="0" t="n">
        <f aca="false">F94+N94</f>
        <v>0</v>
      </c>
      <c r="W94" s="0" t="n">
        <f aca="false">G94+O94</f>
        <v>0</v>
      </c>
      <c r="X94" s="0" t="n">
        <f aca="false">H94+P94</f>
        <v>0</v>
      </c>
      <c r="Y94" s="0" t="n">
        <f aca="false">I94+Q94</f>
        <v>0</v>
      </c>
      <c r="Z94" s="0" t="n">
        <f aca="false">MIN(R94,N('Debt Payoff'!E9))</f>
        <v>0</v>
      </c>
      <c r="AA94" s="0" t="n">
        <f aca="false">MIN(S94,N('Debt Payoff'!E10))</f>
        <v>0</v>
      </c>
      <c r="AB94" s="0" t="n">
        <f aca="false">MIN(T94,N('Debt Payoff'!E11))</f>
        <v>0</v>
      </c>
      <c r="AC94" s="0" t="n">
        <f aca="false">MIN(U94,N('Debt Payoff'!E12))</f>
        <v>0</v>
      </c>
      <c r="AD94" s="0" t="n">
        <f aca="false">MIN(V94,N('Debt Payoff'!E13))</f>
        <v>0</v>
      </c>
      <c r="AE94" s="0" t="n">
        <f aca="false">MIN(W94,N('Debt Payoff'!E14))</f>
        <v>0</v>
      </c>
      <c r="AF94" s="0" t="n">
        <f aca="false">MIN(X94,N('Debt Payoff'!E15))</f>
        <v>0</v>
      </c>
      <c r="AG94" s="0" t="n">
        <f aca="false">MIN(Y94,N('Debt Payoff'!E16))</f>
        <v>0</v>
      </c>
      <c r="AH94" s="0" t="n">
        <f aca="false">R94-Z94</f>
        <v>0</v>
      </c>
      <c r="AI94" s="0" t="n">
        <f aca="false">S94-AA94</f>
        <v>0</v>
      </c>
      <c r="AJ94" s="0" t="n">
        <f aca="false">T94-AB94</f>
        <v>0</v>
      </c>
      <c r="AK94" s="0" t="n">
        <f aca="false">U94-AC94</f>
        <v>0</v>
      </c>
      <c r="AL94" s="0" t="n">
        <f aca="false">V94-AD94</f>
        <v>0</v>
      </c>
      <c r="AM94" s="0" t="n">
        <f aca="false">W94-AE94</f>
        <v>0</v>
      </c>
      <c r="AN94" s="0" t="n">
        <f aca="false">X94-AF94</f>
        <v>0</v>
      </c>
      <c r="AO94" s="0" t="n">
        <f aca="false">Y94-AG94</f>
        <v>0</v>
      </c>
      <c r="AP94" s="0" t="n">
        <f aca="false">MAX(0,'Debt Payoff'!$D$17-SUM(Z94:AG94))</f>
        <v>805</v>
      </c>
      <c r="AQ94" s="0" t="n">
        <f aca="false">MIN(AH94,MAX(0,$AP94-SUMPRODUCT(($AH$1:$AO$1&lt;AH$1)*$AH94:$AO94)))</f>
        <v>0</v>
      </c>
      <c r="AR94" s="0" t="n">
        <f aca="false">MIN(AI94,MAX(0,$AP94-SUMPRODUCT(($AH$1:$AO$1&lt;AI$1)*$AH94:$AO94)))</f>
        <v>0</v>
      </c>
      <c r="AS94" s="0" t="n">
        <f aca="false">MIN(AJ94,MAX(0,$AP94-SUMPRODUCT(($AH$1:$AO$1&lt;AJ$1)*$AH94:$AO94)))</f>
        <v>0</v>
      </c>
      <c r="AT94" s="0" t="n">
        <f aca="false">MIN(AK94,MAX(0,$AP94-SUMPRODUCT(($AH$1:$AO$1&lt;AK$1)*$AH94:$AO94)))</f>
        <v>0</v>
      </c>
      <c r="AU94" s="0" t="n">
        <f aca="false">MIN(AL94,MAX(0,$AP94-SUMPRODUCT(($AH$1:$AO$1&lt;AL$1)*$AH94:$AO94)))</f>
        <v>0</v>
      </c>
      <c r="AV94" s="0" t="n">
        <f aca="false">MIN(AM94,MAX(0,$AP94-SUMPRODUCT(($AH$1:$AO$1&lt;AM$1)*$AH94:$AO94)))</f>
        <v>0</v>
      </c>
      <c r="AW94" s="0" t="n">
        <f aca="false">MIN(AN94,MAX(0,$AP94-SUMPRODUCT(($AH$1:$AO$1&lt;AN$1)*$AH94:$AO94)))</f>
        <v>0</v>
      </c>
      <c r="AX94" s="0" t="n">
        <f aca="false">MIN(AO94,MAX(0,$AP94-SUMPRODUCT(($AH$1:$AO$1&lt;AO$1)*$AH94:$AO94)))</f>
        <v>0</v>
      </c>
      <c r="AY94" s="0" t="n">
        <f aca="false">ROUND(AH94-AQ94,2)</f>
        <v>0</v>
      </c>
      <c r="AZ94" s="0" t="n">
        <f aca="false">ROUND(AI94-AR94,2)</f>
        <v>0</v>
      </c>
      <c r="BA94" s="0" t="n">
        <f aca="false">ROUND(AJ94-AS94,2)</f>
        <v>0</v>
      </c>
      <c r="BB94" s="0" t="n">
        <f aca="false">ROUND(AK94-AT94,2)</f>
        <v>0</v>
      </c>
      <c r="BC94" s="0" t="n">
        <f aca="false">ROUND(AL94-AU94,2)</f>
        <v>0</v>
      </c>
      <c r="BD94" s="0" t="n">
        <f aca="false">ROUND(AM94-AV94,2)</f>
        <v>0</v>
      </c>
      <c r="BE94" s="0" t="n">
        <f aca="false">ROUND(AN94-AW94,2)</f>
        <v>0</v>
      </c>
      <c r="BF94" s="0" t="n">
        <f aca="false">ROUND(AO94-AX94,2)</f>
        <v>0</v>
      </c>
      <c r="BG94" s="0" t="n">
        <f aca="false">SUM(AY94:BF94)</f>
        <v>0</v>
      </c>
    </row>
    <row r="95" customFormat="false" ht="15" hidden="false" customHeight="false" outlineLevel="0" collapsed="false">
      <c r="A95" s="0" t="n">
        <v>93</v>
      </c>
      <c r="B95" s="0" t="n">
        <f aca="false">AY94</f>
        <v>0</v>
      </c>
      <c r="C95" s="0" t="n">
        <f aca="false">AZ94</f>
        <v>0</v>
      </c>
      <c r="D95" s="0" t="n">
        <f aca="false">BA94</f>
        <v>0</v>
      </c>
      <c r="E95" s="0" t="n">
        <f aca="false">BB94</f>
        <v>0</v>
      </c>
      <c r="F95" s="0" t="n">
        <f aca="false">BC94</f>
        <v>0</v>
      </c>
      <c r="G95" s="0" t="n">
        <f aca="false">BD94</f>
        <v>0</v>
      </c>
      <c r="H95" s="0" t="n">
        <f aca="false">BE94</f>
        <v>0</v>
      </c>
      <c r="I95" s="0" t="n">
        <f aca="false">BF94</f>
        <v>0</v>
      </c>
      <c r="J95" s="0" t="n">
        <f aca="false">B95*N('Debt Payoff'!D9)/12</f>
        <v>0</v>
      </c>
      <c r="K95" s="0" t="n">
        <f aca="false">C95*N('Debt Payoff'!D10)/12</f>
        <v>0</v>
      </c>
      <c r="L95" s="0" t="n">
        <f aca="false">D95*N('Debt Payoff'!D11)/12</f>
        <v>0</v>
      </c>
      <c r="M95" s="0" t="n">
        <f aca="false">E95*N('Debt Payoff'!D12)/12</f>
        <v>0</v>
      </c>
      <c r="N95" s="0" t="n">
        <f aca="false">F95*N('Debt Payoff'!D13)/12</f>
        <v>0</v>
      </c>
      <c r="O95" s="0" t="n">
        <f aca="false">G95*N('Debt Payoff'!D14)/12</f>
        <v>0</v>
      </c>
      <c r="P95" s="0" t="n">
        <f aca="false">H95*N('Debt Payoff'!D15)/12</f>
        <v>0</v>
      </c>
      <c r="Q95" s="0" t="n">
        <f aca="false">I95*N('Debt Payoff'!D16)/12</f>
        <v>0</v>
      </c>
      <c r="R95" s="0" t="n">
        <f aca="false">B95+J95</f>
        <v>0</v>
      </c>
      <c r="S95" s="0" t="n">
        <f aca="false">C95+K95</f>
        <v>0</v>
      </c>
      <c r="T95" s="0" t="n">
        <f aca="false">D95+L95</f>
        <v>0</v>
      </c>
      <c r="U95" s="0" t="n">
        <f aca="false">E95+M95</f>
        <v>0</v>
      </c>
      <c r="V95" s="0" t="n">
        <f aca="false">F95+N95</f>
        <v>0</v>
      </c>
      <c r="W95" s="0" t="n">
        <f aca="false">G95+O95</f>
        <v>0</v>
      </c>
      <c r="X95" s="0" t="n">
        <f aca="false">H95+P95</f>
        <v>0</v>
      </c>
      <c r="Y95" s="0" t="n">
        <f aca="false">I95+Q95</f>
        <v>0</v>
      </c>
      <c r="Z95" s="0" t="n">
        <f aca="false">MIN(R95,N('Debt Payoff'!E9))</f>
        <v>0</v>
      </c>
      <c r="AA95" s="0" t="n">
        <f aca="false">MIN(S95,N('Debt Payoff'!E10))</f>
        <v>0</v>
      </c>
      <c r="AB95" s="0" t="n">
        <f aca="false">MIN(T95,N('Debt Payoff'!E11))</f>
        <v>0</v>
      </c>
      <c r="AC95" s="0" t="n">
        <f aca="false">MIN(U95,N('Debt Payoff'!E12))</f>
        <v>0</v>
      </c>
      <c r="AD95" s="0" t="n">
        <f aca="false">MIN(V95,N('Debt Payoff'!E13))</f>
        <v>0</v>
      </c>
      <c r="AE95" s="0" t="n">
        <f aca="false">MIN(W95,N('Debt Payoff'!E14))</f>
        <v>0</v>
      </c>
      <c r="AF95" s="0" t="n">
        <f aca="false">MIN(X95,N('Debt Payoff'!E15))</f>
        <v>0</v>
      </c>
      <c r="AG95" s="0" t="n">
        <f aca="false">MIN(Y95,N('Debt Payoff'!E16))</f>
        <v>0</v>
      </c>
      <c r="AH95" s="0" t="n">
        <f aca="false">R95-Z95</f>
        <v>0</v>
      </c>
      <c r="AI95" s="0" t="n">
        <f aca="false">S95-AA95</f>
        <v>0</v>
      </c>
      <c r="AJ95" s="0" t="n">
        <f aca="false">T95-AB95</f>
        <v>0</v>
      </c>
      <c r="AK95" s="0" t="n">
        <f aca="false">U95-AC95</f>
        <v>0</v>
      </c>
      <c r="AL95" s="0" t="n">
        <f aca="false">V95-AD95</f>
        <v>0</v>
      </c>
      <c r="AM95" s="0" t="n">
        <f aca="false">W95-AE95</f>
        <v>0</v>
      </c>
      <c r="AN95" s="0" t="n">
        <f aca="false">X95-AF95</f>
        <v>0</v>
      </c>
      <c r="AO95" s="0" t="n">
        <f aca="false">Y95-AG95</f>
        <v>0</v>
      </c>
      <c r="AP95" s="0" t="n">
        <f aca="false">MAX(0,'Debt Payoff'!$D$17-SUM(Z95:AG95))</f>
        <v>805</v>
      </c>
      <c r="AQ95" s="0" t="n">
        <f aca="false">MIN(AH95,MAX(0,$AP95-SUMPRODUCT(($AH$1:$AO$1&lt;AH$1)*$AH95:$AO95)))</f>
        <v>0</v>
      </c>
      <c r="AR95" s="0" t="n">
        <f aca="false">MIN(AI95,MAX(0,$AP95-SUMPRODUCT(($AH$1:$AO$1&lt;AI$1)*$AH95:$AO95)))</f>
        <v>0</v>
      </c>
      <c r="AS95" s="0" t="n">
        <f aca="false">MIN(AJ95,MAX(0,$AP95-SUMPRODUCT(($AH$1:$AO$1&lt;AJ$1)*$AH95:$AO95)))</f>
        <v>0</v>
      </c>
      <c r="AT95" s="0" t="n">
        <f aca="false">MIN(AK95,MAX(0,$AP95-SUMPRODUCT(($AH$1:$AO$1&lt;AK$1)*$AH95:$AO95)))</f>
        <v>0</v>
      </c>
      <c r="AU95" s="0" t="n">
        <f aca="false">MIN(AL95,MAX(0,$AP95-SUMPRODUCT(($AH$1:$AO$1&lt;AL$1)*$AH95:$AO95)))</f>
        <v>0</v>
      </c>
      <c r="AV95" s="0" t="n">
        <f aca="false">MIN(AM95,MAX(0,$AP95-SUMPRODUCT(($AH$1:$AO$1&lt;AM$1)*$AH95:$AO95)))</f>
        <v>0</v>
      </c>
      <c r="AW95" s="0" t="n">
        <f aca="false">MIN(AN95,MAX(0,$AP95-SUMPRODUCT(($AH$1:$AO$1&lt;AN$1)*$AH95:$AO95)))</f>
        <v>0</v>
      </c>
      <c r="AX95" s="0" t="n">
        <f aca="false">MIN(AO95,MAX(0,$AP95-SUMPRODUCT(($AH$1:$AO$1&lt;AO$1)*$AH95:$AO95)))</f>
        <v>0</v>
      </c>
      <c r="AY95" s="0" t="n">
        <f aca="false">ROUND(AH95-AQ95,2)</f>
        <v>0</v>
      </c>
      <c r="AZ95" s="0" t="n">
        <f aca="false">ROUND(AI95-AR95,2)</f>
        <v>0</v>
      </c>
      <c r="BA95" s="0" t="n">
        <f aca="false">ROUND(AJ95-AS95,2)</f>
        <v>0</v>
      </c>
      <c r="BB95" s="0" t="n">
        <f aca="false">ROUND(AK95-AT95,2)</f>
        <v>0</v>
      </c>
      <c r="BC95" s="0" t="n">
        <f aca="false">ROUND(AL95-AU95,2)</f>
        <v>0</v>
      </c>
      <c r="BD95" s="0" t="n">
        <f aca="false">ROUND(AM95-AV95,2)</f>
        <v>0</v>
      </c>
      <c r="BE95" s="0" t="n">
        <f aca="false">ROUND(AN95-AW95,2)</f>
        <v>0</v>
      </c>
      <c r="BF95" s="0" t="n">
        <f aca="false">ROUND(AO95-AX95,2)</f>
        <v>0</v>
      </c>
      <c r="BG95" s="0" t="n">
        <f aca="false">SUM(AY95:BF95)</f>
        <v>0</v>
      </c>
    </row>
    <row r="96" customFormat="false" ht="15" hidden="false" customHeight="false" outlineLevel="0" collapsed="false">
      <c r="A96" s="0" t="n">
        <v>94</v>
      </c>
      <c r="B96" s="0" t="n">
        <f aca="false">AY95</f>
        <v>0</v>
      </c>
      <c r="C96" s="0" t="n">
        <f aca="false">AZ95</f>
        <v>0</v>
      </c>
      <c r="D96" s="0" t="n">
        <f aca="false">BA95</f>
        <v>0</v>
      </c>
      <c r="E96" s="0" t="n">
        <f aca="false">BB95</f>
        <v>0</v>
      </c>
      <c r="F96" s="0" t="n">
        <f aca="false">BC95</f>
        <v>0</v>
      </c>
      <c r="G96" s="0" t="n">
        <f aca="false">BD95</f>
        <v>0</v>
      </c>
      <c r="H96" s="0" t="n">
        <f aca="false">BE95</f>
        <v>0</v>
      </c>
      <c r="I96" s="0" t="n">
        <f aca="false">BF95</f>
        <v>0</v>
      </c>
      <c r="J96" s="0" t="n">
        <f aca="false">B96*N('Debt Payoff'!D9)/12</f>
        <v>0</v>
      </c>
      <c r="K96" s="0" t="n">
        <f aca="false">C96*N('Debt Payoff'!D10)/12</f>
        <v>0</v>
      </c>
      <c r="L96" s="0" t="n">
        <f aca="false">D96*N('Debt Payoff'!D11)/12</f>
        <v>0</v>
      </c>
      <c r="M96" s="0" t="n">
        <f aca="false">E96*N('Debt Payoff'!D12)/12</f>
        <v>0</v>
      </c>
      <c r="N96" s="0" t="n">
        <f aca="false">F96*N('Debt Payoff'!D13)/12</f>
        <v>0</v>
      </c>
      <c r="O96" s="0" t="n">
        <f aca="false">G96*N('Debt Payoff'!D14)/12</f>
        <v>0</v>
      </c>
      <c r="P96" s="0" t="n">
        <f aca="false">H96*N('Debt Payoff'!D15)/12</f>
        <v>0</v>
      </c>
      <c r="Q96" s="0" t="n">
        <f aca="false">I96*N('Debt Payoff'!D16)/12</f>
        <v>0</v>
      </c>
      <c r="R96" s="0" t="n">
        <f aca="false">B96+J96</f>
        <v>0</v>
      </c>
      <c r="S96" s="0" t="n">
        <f aca="false">C96+K96</f>
        <v>0</v>
      </c>
      <c r="T96" s="0" t="n">
        <f aca="false">D96+L96</f>
        <v>0</v>
      </c>
      <c r="U96" s="0" t="n">
        <f aca="false">E96+M96</f>
        <v>0</v>
      </c>
      <c r="V96" s="0" t="n">
        <f aca="false">F96+N96</f>
        <v>0</v>
      </c>
      <c r="W96" s="0" t="n">
        <f aca="false">G96+O96</f>
        <v>0</v>
      </c>
      <c r="X96" s="0" t="n">
        <f aca="false">H96+P96</f>
        <v>0</v>
      </c>
      <c r="Y96" s="0" t="n">
        <f aca="false">I96+Q96</f>
        <v>0</v>
      </c>
      <c r="Z96" s="0" t="n">
        <f aca="false">MIN(R96,N('Debt Payoff'!E9))</f>
        <v>0</v>
      </c>
      <c r="AA96" s="0" t="n">
        <f aca="false">MIN(S96,N('Debt Payoff'!E10))</f>
        <v>0</v>
      </c>
      <c r="AB96" s="0" t="n">
        <f aca="false">MIN(T96,N('Debt Payoff'!E11))</f>
        <v>0</v>
      </c>
      <c r="AC96" s="0" t="n">
        <f aca="false">MIN(U96,N('Debt Payoff'!E12))</f>
        <v>0</v>
      </c>
      <c r="AD96" s="0" t="n">
        <f aca="false">MIN(V96,N('Debt Payoff'!E13))</f>
        <v>0</v>
      </c>
      <c r="AE96" s="0" t="n">
        <f aca="false">MIN(W96,N('Debt Payoff'!E14))</f>
        <v>0</v>
      </c>
      <c r="AF96" s="0" t="n">
        <f aca="false">MIN(X96,N('Debt Payoff'!E15))</f>
        <v>0</v>
      </c>
      <c r="AG96" s="0" t="n">
        <f aca="false">MIN(Y96,N('Debt Payoff'!E16))</f>
        <v>0</v>
      </c>
      <c r="AH96" s="0" t="n">
        <f aca="false">R96-Z96</f>
        <v>0</v>
      </c>
      <c r="AI96" s="0" t="n">
        <f aca="false">S96-AA96</f>
        <v>0</v>
      </c>
      <c r="AJ96" s="0" t="n">
        <f aca="false">T96-AB96</f>
        <v>0</v>
      </c>
      <c r="AK96" s="0" t="n">
        <f aca="false">U96-AC96</f>
        <v>0</v>
      </c>
      <c r="AL96" s="0" t="n">
        <f aca="false">V96-AD96</f>
        <v>0</v>
      </c>
      <c r="AM96" s="0" t="n">
        <f aca="false">W96-AE96</f>
        <v>0</v>
      </c>
      <c r="AN96" s="0" t="n">
        <f aca="false">X96-AF96</f>
        <v>0</v>
      </c>
      <c r="AO96" s="0" t="n">
        <f aca="false">Y96-AG96</f>
        <v>0</v>
      </c>
      <c r="AP96" s="0" t="n">
        <f aca="false">MAX(0,'Debt Payoff'!$D$17-SUM(Z96:AG96))</f>
        <v>805</v>
      </c>
      <c r="AQ96" s="0" t="n">
        <f aca="false">MIN(AH96,MAX(0,$AP96-SUMPRODUCT(($AH$1:$AO$1&lt;AH$1)*$AH96:$AO96)))</f>
        <v>0</v>
      </c>
      <c r="AR96" s="0" t="n">
        <f aca="false">MIN(AI96,MAX(0,$AP96-SUMPRODUCT(($AH$1:$AO$1&lt;AI$1)*$AH96:$AO96)))</f>
        <v>0</v>
      </c>
      <c r="AS96" s="0" t="n">
        <f aca="false">MIN(AJ96,MAX(0,$AP96-SUMPRODUCT(($AH$1:$AO$1&lt;AJ$1)*$AH96:$AO96)))</f>
        <v>0</v>
      </c>
      <c r="AT96" s="0" t="n">
        <f aca="false">MIN(AK96,MAX(0,$AP96-SUMPRODUCT(($AH$1:$AO$1&lt;AK$1)*$AH96:$AO96)))</f>
        <v>0</v>
      </c>
      <c r="AU96" s="0" t="n">
        <f aca="false">MIN(AL96,MAX(0,$AP96-SUMPRODUCT(($AH$1:$AO$1&lt;AL$1)*$AH96:$AO96)))</f>
        <v>0</v>
      </c>
      <c r="AV96" s="0" t="n">
        <f aca="false">MIN(AM96,MAX(0,$AP96-SUMPRODUCT(($AH$1:$AO$1&lt;AM$1)*$AH96:$AO96)))</f>
        <v>0</v>
      </c>
      <c r="AW96" s="0" t="n">
        <f aca="false">MIN(AN96,MAX(0,$AP96-SUMPRODUCT(($AH$1:$AO$1&lt;AN$1)*$AH96:$AO96)))</f>
        <v>0</v>
      </c>
      <c r="AX96" s="0" t="n">
        <f aca="false">MIN(AO96,MAX(0,$AP96-SUMPRODUCT(($AH$1:$AO$1&lt;AO$1)*$AH96:$AO96)))</f>
        <v>0</v>
      </c>
      <c r="AY96" s="0" t="n">
        <f aca="false">ROUND(AH96-AQ96,2)</f>
        <v>0</v>
      </c>
      <c r="AZ96" s="0" t="n">
        <f aca="false">ROUND(AI96-AR96,2)</f>
        <v>0</v>
      </c>
      <c r="BA96" s="0" t="n">
        <f aca="false">ROUND(AJ96-AS96,2)</f>
        <v>0</v>
      </c>
      <c r="BB96" s="0" t="n">
        <f aca="false">ROUND(AK96-AT96,2)</f>
        <v>0</v>
      </c>
      <c r="BC96" s="0" t="n">
        <f aca="false">ROUND(AL96-AU96,2)</f>
        <v>0</v>
      </c>
      <c r="BD96" s="0" t="n">
        <f aca="false">ROUND(AM96-AV96,2)</f>
        <v>0</v>
      </c>
      <c r="BE96" s="0" t="n">
        <f aca="false">ROUND(AN96-AW96,2)</f>
        <v>0</v>
      </c>
      <c r="BF96" s="0" t="n">
        <f aca="false">ROUND(AO96-AX96,2)</f>
        <v>0</v>
      </c>
      <c r="BG96" s="0" t="n">
        <f aca="false">SUM(AY96:BF96)</f>
        <v>0</v>
      </c>
    </row>
    <row r="97" customFormat="false" ht="15" hidden="false" customHeight="false" outlineLevel="0" collapsed="false">
      <c r="A97" s="0" t="n">
        <v>95</v>
      </c>
      <c r="B97" s="0" t="n">
        <f aca="false">AY96</f>
        <v>0</v>
      </c>
      <c r="C97" s="0" t="n">
        <f aca="false">AZ96</f>
        <v>0</v>
      </c>
      <c r="D97" s="0" t="n">
        <f aca="false">BA96</f>
        <v>0</v>
      </c>
      <c r="E97" s="0" t="n">
        <f aca="false">BB96</f>
        <v>0</v>
      </c>
      <c r="F97" s="0" t="n">
        <f aca="false">BC96</f>
        <v>0</v>
      </c>
      <c r="G97" s="0" t="n">
        <f aca="false">BD96</f>
        <v>0</v>
      </c>
      <c r="H97" s="0" t="n">
        <f aca="false">BE96</f>
        <v>0</v>
      </c>
      <c r="I97" s="0" t="n">
        <f aca="false">BF96</f>
        <v>0</v>
      </c>
      <c r="J97" s="0" t="n">
        <f aca="false">B97*N('Debt Payoff'!D9)/12</f>
        <v>0</v>
      </c>
      <c r="K97" s="0" t="n">
        <f aca="false">C97*N('Debt Payoff'!D10)/12</f>
        <v>0</v>
      </c>
      <c r="L97" s="0" t="n">
        <f aca="false">D97*N('Debt Payoff'!D11)/12</f>
        <v>0</v>
      </c>
      <c r="M97" s="0" t="n">
        <f aca="false">E97*N('Debt Payoff'!D12)/12</f>
        <v>0</v>
      </c>
      <c r="N97" s="0" t="n">
        <f aca="false">F97*N('Debt Payoff'!D13)/12</f>
        <v>0</v>
      </c>
      <c r="O97" s="0" t="n">
        <f aca="false">G97*N('Debt Payoff'!D14)/12</f>
        <v>0</v>
      </c>
      <c r="P97" s="0" t="n">
        <f aca="false">H97*N('Debt Payoff'!D15)/12</f>
        <v>0</v>
      </c>
      <c r="Q97" s="0" t="n">
        <f aca="false">I97*N('Debt Payoff'!D16)/12</f>
        <v>0</v>
      </c>
      <c r="R97" s="0" t="n">
        <f aca="false">B97+J97</f>
        <v>0</v>
      </c>
      <c r="S97" s="0" t="n">
        <f aca="false">C97+K97</f>
        <v>0</v>
      </c>
      <c r="T97" s="0" t="n">
        <f aca="false">D97+L97</f>
        <v>0</v>
      </c>
      <c r="U97" s="0" t="n">
        <f aca="false">E97+M97</f>
        <v>0</v>
      </c>
      <c r="V97" s="0" t="n">
        <f aca="false">F97+N97</f>
        <v>0</v>
      </c>
      <c r="W97" s="0" t="n">
        <f aca="false">G97+O97</f>
        <v>0</v>
      </c>
      <c r="X97" s="0" t="n">
        <f aca="false">H97+P97</f>
        <v>0</v>
      </c>
      <c r="Y97" s="0" t="n">
        <f aca="false">I97+Q97</f>
        <v>0</v>
      </c>
      <c r="Z97" s="0" t="n">
        <f aca="false">MIN(R97,N('Debt Payoff'!E9))</f>
        <v>0</v>
      </c>
      <c r="AA97" s="0" t="n">
        <f aca="false">MIN(S97,N('Debt Payoff'!E10))</f>
        <v>0</v>
      </c>
      <c r="AB97" s="0" t="n">
        <f aca="false">MIN(T97,N('Debt Payoff'!E11))</f>
        <v>0</v>
      </c>
      <c r="AC97" s="0" t="n">
        <f aca="false">MIN(U97,N('Debt Payoff'!E12))</f>
        <v>0</v>
      </c>
      <c r="AD97" s="0" t="n">
        <f aca="false">MIN(V97,N('Debt Payoff'!E13))</f>
        <v>0</v>
      </c>
      <c r="AE97" s="0" t="n">
        <f aca="false">MIN(W97,N('Debt Payoff'!E14))</f>
        <v>0</v>
      </c>
      <c r="AF97" s="0" t="n">
        <f aca="false">MIN(X97,N('Debt Payoff'!E15))</f>
        <v>0</v>
      </c>
      <c r="AG97" s="0" t="n">
        <f aca="false">MIN(Y97,N('Debt Payoff'!E16))</f>
        <v>0</v>
      </c>
      <c r="AH97" s="0" t="n">
        <f aca="false">R97-Z97</f>
        <v>0</v>
      </c>
      <c r="AI97" s="0" t="n">
        <f aca="false">S97-AA97</f>
        <v>0</v>
      </c>
      <c r="AJ97" s="0" t="n">
        <f aca="false">T97-AB97</f>
        <v>0</v>
      </c>
      <c r="AK97" s="0" t="n">
        <f aca="false">U97-AC97</f>
        <v>0</v>
      </c>
      <c r="AL97" s="0" t="n">
        <f aca="false">V97-AD97</f>
        <v>0</v>
      </c>
      <c r="AM97" s="0" t="n">
        <f aca="false">W97-AE97</f>
        <v>0</v>
      </c>
      <c r="AN97" s="0" t="n">
        <f aca="false">X97-AF97</f>
        <v>0</v>
      </c>
      <c r="AO97" s="0" t="n">
        <f aca="false">Y97-AG97</f>
        <v>0</v>
      </c>
      <c r="AP97" s="0" t="n">
        <f aca="false">MAX(0,'Debt Payoff'!$D$17-SUM(Z97:AG97))</f>
        <v>805</v>
      </c>
      <c r="AQ97" s="0" t="n">
        <f aca="false">MIN(AH97,MAX(0,$AP97-SUMPRODUCT(($AH$1:$AO$1&lt;AH$1)*$AH97:$AO97)))</f>
        <v>0</v>
      </c>
      <c r="AR97" s="0" t="n">
        <f aca="false">MIN(AI97,MAX(0,$AP97-SUMPRODUCT(($AH$1:$AO$1&lt;AI$1)*$AH97:$AO97)))</f>
        <v>0</v>
      </c>
      <c r="AS97" s="0" t="n">
        <f aca="false">MIN(AJ97,MAX(0,$AP97-SUMPRODUCT(($AH$1:$AO$1&lt;AJ$1)*$AH97:$AO97)))</f>
        <v>0</v>
      </c>
      <c r="AT97" s="0" t="n">
        <f aca="false">MIN(AK97,MAX(0,$AP97-SUMPRODUCT(($AH$1:$AO$1&lt;AK$1)*$AH97:$AO97)))</f>
        <v>0</v>
      </c>
      <c r="AU97" s="0" t="n">
        <f aca="false">MIN(AL97,MAX(0,$AP97-SUMPRODUCT(($AH$1:$AO$1&lt;AL$1)*$AH97:$AO97)))</f>
        <v>0</v>
      </c>
      <c r="AV97" s="0" t="n">
        <f aca="false">MIN(AM97,MAX(0,$AP97-SUMPRODUCT(($AH$1:$AO$1&lt;AM$1)*$AH97:$AO97)))</f>
        <v>0</v>
      </c>
      <c r="AW97" s="0" t="n">
        <f aca="false">MIN(AN97,MAX(0,$AP97-SUMPRODUCT(($AH$1:$AO$1&lt;AN$1)*$AH97:$AO97)))</f>
        <v>0</v>
      </c>
      <c r="AX97" s="0" t="n">
        <f aca="false">MIN(AO97,MAX(0,$AP97-SUMPRODUCT(($AH$1:$AO$1&lt;AO$1)*$AH97:$AO97)))</f>
        <v>0</v>
      </c>
      <c r="AY97" s="0" t="n">
        <f aca="false">ROUND(AH97-AQ97,2)</f>
        <v>0</v>
      </c>
      <c r="AZ97" s="0" t="n">
        <f aca="false">ROUND(AI97-AR97,2)</f>
        <v>0</v>
      </c>
      <c r="BA97" s="0" t="n">
        <f aca="false">ROUND(AJ97-AS97,2)</f>
        <v>0</v>
      </c>
      <c r="BB97" s="0" t="n">
        <f aca="false">ROUND(AK97-AT97,2)</f>
        <v>0</v>
      </c>
      <c r="BC97" s="0" t="n">
        <f aca="false">ROUND(AL97-AU97,2)</f>
        <v>0</v>
      </c>
      <c r="BD97" s="0" t="n">
        <f aca="false">ROUND(AM97-AV97,2)</f>
        <v>0</v>
      </c>
      <c r="BE97" s="0" t="n">
        <f aca="false">ROUND(AN97-AW97,2)</f>
        <v>0</v>
      </c>
      <c r="BF97" s="0" t="n">
        <f aca="false">ROUND(AO97-AX97,2)</f>
        <v>0</v>
      </c>
      <c r="BG97" s="0" t="n">
        <f aca="false">SUM(AY97:BF97)</f>
        <v>0</v>
      </c>
    </row>
    <row r="98" customFormat="false" ht="15" hidden="false" customHeight="false" outlineLevel="0" collapsed="false">
      <c r="A98" s="0" t="n">
        <v>96</v>
      </c>
      <c r="B98" s="0" t="n">
        <f aca="false">AY97</f>
        <v>0</v>
      </c>
      <c r="C98" s="0" t="n">
        <f aca="false">AZ97</f>
        <v>0</v>
      </c>
      <c r="D98" s="0" t="n">
        <f aca="false">BA97</f>
        <v>0</v>
      </c>
      <c r="E98" s="0" t="n">
        <f aca="false">BB97</f>
        <v>0</v>
      </c>
      <c r="F98" s="0" t="n">
        <f aca="false">BC97</f>
        <v>0</v>
      </c>
      <c r="G98" s="0" t="n">
        <f aca="false">BD97</f>
        <v>0</v>
      </c>
      <c r="H98" s="0" t="n">
        <f aca="false">BE97</f>
        <v>0</v>
      </c>
      <c r="I98" s="0" t="n">
        <f aca="false">BF97</f>
        <v>0</v>
      </c>
      <c r="J98" s="0" t="n">
        <f aca="false">B98*N('Debt Payoff'!D9)/12</f>
        <v>0</v>
      </c>
      <c r="K98" s="0" t="n">
        <f aca="false">C98*N('Debt Payoff'!D10)/12</f>
        <v>0</v>
      </c>
      <c r="L98" s="0" t="n">
        <f aca="false">D98*N('Debt Payoff'!D11)/12</f>
        <v>0</v>
      </c>
      <c r="M98" s="0" t="n">
        <f aca="false">E98*N('Debt Payoff'!D12)/12</f>
        <v>0</v>
      </c>
      <c r="N98" s="0" t="n">
        <f aca="false">F98*N('Debt Payoff'!D13)/12</f>
        <v>0</v>
      </c>
      <c r="O98" s="0" t="n">
        <f aca="false">G98*N('Debt Payoff'!D14)/12</f>
        <v>0</v>
      </c>
      <c r="P98" s="0" t="n">
        <f aca="false">H98*N('Debt Payoff'!D15)/12</f>
        <v>0</v>
      </c>
      <c r="Q98" s="0" t="n">
        <f aca="false">I98*N('Debt Payoff'!D16)/12</f>
        <v>0</v>
      </c>
      <c r="R98" s="0" t="n">
        <f aca="false">B98+J98</f>
        <v>0</v>
      </c>
      <c r="S98" s="0" t="n">
        <f aca="false">C98+K98</f>
        <v>0</v>
      </c>
      <c r="T98" s="0" t="n">
        <f aca="false">D98+L98</f>
        <v>0</v>
      </c>
      <c r="U98" s="0" t="n">
        <f aca="false">E98+M98</f>
        <v>0</v>
      </c>
      <c r="V98" s="0" t="n">
        <f aca="false">F98+N98</f>
        <v>0</v>
      </c>
      <c r="W98" s="0" t="n">
        <f aca="false">G98+O98</f>
        <v>0</v>
      </c>
      <c r="X98" s="0" t="n">
        <f aca="false">H98+P98</f>
        <v>0</v>
      </c>
      <c r="Y98" s="0" t="n">
        <f aca="false">I98+Q98</f>
        <v>0</v>
      </c>
      <c r="Z98" s="0" t="n">
        <f aca="false">MIN(R98,N('Debt Payoff'!E9))</f>
        <v>0</v>
      </c>
      <c r="AA98" s="0" t="n">
        <f aca="false">MIN(S98,N('Debt Payoff'!E10))</f>
        <v>0</v>
      </c>
      <c r="AB98" s="0" t="n">
        <f aca="false">MIN(T98,N('Debt Payoff'!E11))</f>
        <v>0</v>
      </c>
      <c r="AC98" s="0" t="n">
        <f aca="false">MIN(U98,N('Debt Payoff'!E12))</f>
        <v>0</v>
      </c>
      <c r="AD98" s="0" t="n">
        <f aca="false">MIN(V98,N('Debt Payoff'!E13))</f>
        <v>0</v>
      </c>
      <c r="AE98" s="0" t="n">
        <f aca="false">MIN(W98,N('Debt Payoff'!E14))</f>
        <v>0</v>
      </c>
      <c r="AF98" s="0" t="n">
        <f aca="false">MIN(X98,N('Debt Payoff'!E15))</f>
        <v>0</v>
      </c>
      <c r="AG98" s="0" t="n">
        <f aca="false">MIN(Y98,N('Debt Payoff'!E16))</f>
        <v>0</v>
      </c>
      <c r="AH98" s="0" t="n">
        <f aca="false">R98-Z98</f>
        <v>0</v>
      </c>
      <c r="AI98" s="0" t="n">
        <f aca="false">S98-AA98</f>
        <v>0</v>
      </c>
      <c r="AJ98" s="0" t="n">
        <f aca="false">T98-AB98</f>
        <v>0</v>
      </c>
      <c r="AK98" s="0" t="n">
        <f aca="false">U98-AC98</f>
        <v>0</v>
      </c>
      <c r="AL98" s="0" t="n">
        <f aca="false">V98-AD98</f>
        <v>0</v>
      </c>
      <c r="AM98" s="0" t="n">
        <f aca="false">W98-AE98</f>
        <v>0</v>
      </c>
      <c r="AN98" s="0" t="n">
        <f aca="false">X98-AF98</f>
        <v>0</v>
      </c>
      <c r="AO98" s="0" t="n">
        <f aca="false">Y98-AG98</f>
        <v>0</v>
      </c>
      <c r="AP98" s="0" t="n">
        <f aca="false">MAX(0,'Debt Payoff'!$D$17-SUM(Z98:AG98))</f>
        <v>805</v>
      </c>
      <c r="AQ98" s="0" t="n">
        <f aca="false">MIN(AH98,MAX(0,$AP98-SUMPRODUCT(($AH$1:$AO$1&lt;AH$1)*$AH98:$AO98)))</f>
        <v>0</v>
      </c>
      <c r="AR98" s="0" t="n">
        <f aca="false">MIN(AI98,MAX(0,$AP98-SUMPRODUCT(($AH$1:$AO$1&lt;AI$1)*$AH98:$AO98)))</f>
        <v>0</v>
      </c>
      <c r="AS98" s="0" t="n">
        <f aca="false">MIN(AJ98,MAX(0,$AP98-SUMPRODUCT(($AH$1:$AO$1&lt;AJ$1)*$AH98:$AO98)))</f>
        <v>0</v>
      </c>
      <c r="AT98" s="0" t="n">
        <f aca="false">MIN(AK98,MAX(0,$AP98-SUMPRODUCT(($AH$1:$AO$1&lt;AK$1)*$AH98:$AO98)))</f>
        <v>0</v>
      </c>
      <c r="AU98" s="0" t="n">
        <f aca="false">MIN(AL98,MAX(0,$AP98-SUMPRODUCT(($AH$1:$AO$1&lt;AL$1)*$AH98:$AO98)))</f>
        <v>0</v>
      </c>
      <c r="AV98" s="0" t="n">
        <f aca="false">MIN(AM98,MAX(0,$AP98-SUMPRODUCT(($AH$1:$AO$1&lt;AM$1)*$AH98:$AO98)))</f>
        <v>0</v>
      </c>
      <c r="AW98" s="0" t="n">
        <f aca="false">MIN(AN98,MAX(0,$AP98-SUMPRODUCT(($AH$1:$AO$1&lt;AN$1)*$AH98:$AO98)))</f>
        <v>0</v>
      </c>
      <c r="AX98" s="0" t="n">
        <f aca="false">MIN(AO98,MAX(0,$AP98-SUMPRODUCT(($AH$1:$AO$1&lt;AO$1)*$AH98:$AO98)))</f>
        <v>0</v>
      </c>
      <c r="AY98" s="0" t="n">
        <f aca="false">ROUND(AH98-AQ98,2)</f>
        <v>0</v>
      </c>
      <c r="AZ98" s="0" t="n">
        <f aca="false">ROUND(AI98-AR98,2)</f>
        <v>0</v>
      </c>
      <c r="BA98" s="0" t="n">
        <f aca="false">ROUND(AJ98-AS98,2)</f>
        <v>0</v>
      </c>
      <c r="BB98" s="0" t="n">
        <f aca="false">ROUND(AK98-AT98,2)</f>
        <v>0</v>
      </c>
      <c r="BC98" s="0" t="n">
        <f aca="false">ROUND(AL98-AU98,2)</f>
        <v>0</v>
      </c>
      <c r="BD98" s="0" t="n">
        <f aca="false">ROUND(AM98-AV98,2)</f>
        <v>0</v>
      </c>
      <c r="BE98" s="0" t="n">
        <f aca="false">ROUND(AN98-AW98,2)</f>
        <v>0</v>
      </c>
      <c r="BF98" s="0" t="n">
        <f aca="false">ROUND(AO98-AX98,2)</f>
        <v>0</v>
      </c>
      <c r="BG98" s="0" t="n">
        <f aca="false">SUM(AY98:BF98)</f>
        <v>0</v>
      </c>
    </row>
    <row r="99" customFormat="false" ht="15" hidden="false" customHeight="false" outlineLevel="0" collapsed="false">
      <c r="A99" s="0" t="n">
        <v>97</v>
      </c>
      <c r="B99" s="0" t="n">
        <f aca="false">AY98</f>
        <v>0</v>
      </c>
      <c r="C99" s="0" t="n">
        <f aca="false">AZ98</f>
        <v>0</v>
      </c>
      <c r="D99" s="0" t="n">
        <f aca="false">BA98</f>
        <v>0</v>
      </c>
      <c r="E99" s="0" t="n">
        <f aca="false">BB98</f>
        <v>0</v>
      </c>
      <c r="F99" s="0" t="n">
        <f aca="false">BC98</f>
        <v>0</v>
      </c>
      <c r="G99" s="0" t="n">
        <f aca="false">BD98</f>
        <v>0</v>
      </c>
      <c r="H99" s="0" t="n">
        <f aca="false">BE98</f>
        <v>0</v>
      </c>
      <c r="I99" s="0" t="n">
        <f aca="false">BF98</f>
        <v>0</v>
      </c>
      <c r="J99" s="0" t="n">
        <f aca="false">B99*N('Debt Payoff'!D9)/12</f>
        <v>0</v>
      </c>
      <c r="K99" s="0" t="n">
        <f aca="false">C99*N('Debt Payoff'!D10)/12</f>
        <v>0</v>
      </c>
      <c r="L99" s="0" t="n">
        <f aca="false">D99*N('Debt Payoff'!D11)/12</f>
        <v>0</v>
      </c>
      <c r="M99" s="0" t="n">
        <f aca="false">E99*N('Debt Payoff'!D12)/12</f>
        <v>0</v>
      </c>
      <c r="N99" s="0" t="n">
        <f aca="false">F99*N('Debt Payoff'!D13)/12</f>
        <v>0</v>
      </c>
      <c r="O99" s="0" t="n">
        <f aca="false">G99*N('Debt Payoff'!D14)/12</f>
        <v>0</v>
      </c>
      <c r="P99" s="0" t="n">
        <f aca="false">H99*N('Debt Payoff'!D15)/12</f>
        <v>0</v>
      </c>
      <c r="Q99" s="0" t="n">
        <f aca="false">I99*N('Debt Payoff'!D16)/12</f>
        <v>0</v>
      </c>
      <c r="R99" s="0" t="n">
        <f aca="false">B99+J99</f>
        <v>0</v>
      </c>
      <c r="S99" s="0" t="n">
        <f aca="false">C99+K99</f>
        <v>0</v>
      </c>
      <c r="T99" s="0" t="n">
        <f aca="false">D99+L99</f>
        <v>0</v>
      </c>
      <c r="U99" s="0" t="n">
        <f aca="false">E99+M99</f>
        <v>0</v>
      </c>
      <c r="V99" s="0" t="n">
        <f aca="false">F99+N99</f>
        <v>0</v>
      </c>
      <c r="W99" s="0" t="n">
        <f aca="false">G99+O99</f>
        <v>0</v>
      </c>
      <c r="X99" s="0" t="n">
        <f aca="false">H99+P99</f>
        <v>0</v>
      </c>
      <c r="Y99" s="0" t="n">
        <f aca="false">I99+Q99</f>
        <v>0</v>
      </c>
      <c r="Z99" s="0" t="n">
        <f aca="false">MIN(R99,N('Debt Payoff'!E9))</f>
        <v>0</v>
      </c>
      <c r="AA99" s="0" t="n">
        <f aca="false">MIN(S99,N('Debt Payoff'!E10))</f>
        <v>0</v>
      </c>
      <c r="AB99" s="0" t="n">
        <f aca="false">MIN(T99,N('Debt Payoff'!E11))</f>
        <v>0</v>
      </c>
      <c r="AC99" s="0" t="n">
        <f aca="false">MIN(U99,N('Debt Payoff'!E12))</f>
        <v>0</v>
      </c>
      <c r="AD99" s="0" t="n">
        <f aca="false">MIN(V99,N('Debt Payoff'!E13))</f>
        <v>0</v>
      </c>
      <c r="AE99" s="0" t="n">
        <f aca="false">MIN(W99,N('Debt Payoff'!E14))</f>
        <v>0</v>
      </c>
      <c r="AF99" s="0" t="n">
        <f aca="false">MIN(X99,N('Debt Payoff'!E15))</f>
        <v>0</v>
      </c>
      <c r="AG99" s="0" t="n">
        <f aca="false">MIN(Y99,N('Debt Payoff'!E16))</f>
        <v>0</v>
      </c>
      <c r="AH99" s="0" t="n">
        <f aca="false">R99-Z99</f>
        <v>0</v>
      </c>
      <c r="AI99" s="0" t="n">
        <f aca="false">S99-AA99</f>
        <v>0</v>
      </c>
      <c r="AJ99" s="0" t="n">
        <f aca="false">T99-AB99</f>
        <v>0</v>
      </c>
      <c r="AK99" s="0" t="n">
        <f aca="false">U99-AC99</f>
        <v>0</v>
      </c>
      <c r="AL99" s="0" t="n">
        <f aca="false">V99-AD99</f>
        <v>0</v>
      </c>
      <c r="AM99" s="0" t="n">
        <f aca="false">W99-AE99</f>
        <v>0</v>
      </c>
      <c r="AN99" s="0" t="n">
        <f aca="false">X99-AF99</f>
        <v>0</v>
      </c>
      <c r="AO99" s="0" t="n">
        <f aca="false">Y99-AG99</f>
        <v>0</v>
      </c>
      <c r="AP99" s="0" t="n">
        <f aca="false">MAX(0,'Debt Payoff'!$D$17-SUM(Z99:AG99))</f>
        <v>805</v>
      </c>
      <c r="AQ99" s="0" t="n">
        <f aca="false">MIN(AH99,MAX(0,$AP99-SUMPRODUCT(($AH$1:$AO$1&lt;AH$1)*$AH99:$AO99)))</f>
        <v>0</v>
      </c>
      <c r="AR99" s="0" t="n">
        <f aca="false">MIN(AI99,MAX(0,$AP99-SUMPRODUCT(($AH$1:$AO$1&lt;AI$1)*$AH99:$AO99)))</f>
        <v>0</v>
      </c>
      <c r="AS99" s="0" t="n">
        <f aca="false">MIN(AJ99,MAX(0,$AP99-SUMPRODUCT(($AH$1:$AO$1&lt;AJ$1)*$AH99:$AO99)))</f>
        <v>0</v>
      </c>
      <c r="AT99" s="0" t="n">
        <f aca="false">MIN(AK99,MAX(0,$AP99-SUMPRODUCT(($AH$1:$AO$1&lt;AK$1)*$AH99:$AO99)))</f>
        <v>0</v>
      </c>
      <c r="AU99" s="0" t="n">
        <f aca="false">MIN(AL99,MAX(0,$AP99-SUMPRODUCT(($AH$1:$AO$1&lt;AL$1)*$AH99:$AO99)))</f>
        <v>0</v>
      </c>
      <c r="AV99" s="0" t="n">
        <f aca="false">MIN(AM99,MAX(0,$AP99-SUMPRODUCT(($AH$1:$AO$1&lt;AM$1)*$AH99:$AO99)))</f>
        <v>0</v>
      </c>
      <c r="AW99" s="0" t="n">
        <f aca="false">MIN(AN99,MAX(0,$AP99-SUMPRODUCT(($AH$1:$AO$1&lt;AN$1)*$AH99:$AO99)))</f>
        <v>0</v>
      </c>
      <c r="AX99" s="0" t="n">
        <f aca="false">MIN(AO99,MAX(0,$AP99-SUMPRODUCT(($AH$1:$AO$1&lt;AO$1)*$AH99:$AO99)))</f>
        <v>0</v>
      </c>
      <c r="AY99" s="0" t="n">
        <f aca="false">ROUND(AH99-AQ99,2)</f>
        <v>0</v>
      </c>
      <c r="AZ99" s="0" t="n">
        <f aca="false">ROUND(AI99-AR99,2)</f>
        <v>0</v>
      </c>
      <c r="BA99" s="0" t="n">
        <f aca="false">ROUND(AJ99-AS99,2)</f>
        <v>0</v>
      </c>
      <c r="BB99" s="0" t="n">
        <f aca="false">ROUND(AK99-AT99,2)</f>
        <v>0</v>
      </c>
      <c r="BC99" s="0" t="n">
        <f aca="false">ROUND(AL99-AU99,2)</f>
        <v>0</v>
      </c>
      <c r="BD99" s="0" t="n">
        <f aca="false">ROUND(AM99-AV99,2)</f>
        <v>0</v>
      </c>
      <c r="BE99" s="0" t="n">
        <f aca="false">ROUND(AN99-AW99,2)</f>
        <v>0</v>
      </c>
      <c r="BF99" s="0" t="n">
        <f aca="false">ROUND(AO99-AX99,2)</f>
        <v>0</v>
      </c>
      <c r="BG99" s="0" t="n">
        <f aca="false">SUM(AY99:BF99)</f>
        <v>0</v>
      </c>
    </row>
    <row r="100" customFormat="false" ht="15" hidden="false" customHeight="false" outlineLevel="0" collapsed="false">
      <c r="A100" s="0" t="n">
        <v>98</v>
      </c>
      <c r="B100" s="0" t="n">
        <f aca="false">AY99</f>
        <v>0</v>
      </c>
      <c r="C100" s="0" t="n">
        <f aca="false">AZ99</f>
        <v>0</v>
      </c>
      <c r="D100" s="0" t="n">
        <f aca="false">BA99</f>
        <v>0</v>
      </c>
      <c r="E100" s="0" t="n">
        <f aca="false">BB99</f>
        <v>0</v>
      </c>
      <c r="F100" s="0" t="n">
        <f aca="false">BC99</f>
        <v>0</v>
      </c>
      <c r="G100" s="0" t="n">
        <f aca="false">BD99</f>
        <v>0</v>
      </c>
      <c r="H100" s="0" t="n">
        <f aca="false">BE99</f>
        <v>0</v>
      </c>
      <c r="I100" s="0" t="n">
        <f aca="false">BF99</f>
        <v>0</v>
      </c>
      <c r="J100" s="0" t="n">
        <f aca="false">B100*N('Debt Payoff'!D9)/12</f>
        <v>0</v>
      </c>
      <c r="K100" s="0" t="n">
        <f aca="false">C100*N('Debt Payoff'!D10)/12</f>
        <v>0</v>
      </c>
      <c r="L100" s="0" t="n">
        <f aca="false">D100*N('Debt Payoff'!D11)/12</f>
        <v>0</v>
      </c>
      <c r="M100" s="0" t="n">
        <f aca="false">E100*N('Debt Payoff'!D12)/12</f>
        <v>0</v>
      </c>
      <c r="N100" s="0" t="n">
        <f aca="false">F100*N('Debt Payoff'!D13)/12</f>
        <v>0</v>
      </c>
      <c r="O100" s="0" t="n">
        <f aca="false">G100*N('Debt Payoff'!D14)/12</f>
        <v>0</v>
      </c>
      <c r="P100" s="0" t="n">
        <f aca="false">H100*N('Debt Payoff'!D15)/12</f>
        <v>0</v>
      </c>
      <c r="Q100" s="0" t="n">
        <f aca="false">I100*N('Debt Payoff'!D16)/12</f>
        <v>0</v>
      </c>
      <c r="R100" s="0" t="n">
        <f aca="false">B100+J100</f>
        <v>0</v>
      </c>
      <c r="S100" s="0" t="n">
        <f aca="false">C100+K100</f>
        <v>0</v>
      </c>
      <c r="T100" s="0" t="n">
        <f aca="false">D100+L100</f>
        <v>0</v>
      </c>
      <c r="U100" s="0" t="n">
        <f aca="false">E100+M100</f>
        <v>0</v>
      </c>
      <c r="V100" s="0" t="n">
        <f aca="false">F100+N100</f>
        <v>0</v>
      </c>
      <c r="W100" s="0" t="n">
        <f aca="false">G100+O100</f>
        <v>0</v>
      </c>
      <c r="X100" s="0" t="n">
        <f aca="false">H100+P100</f>
        <v>0</v>
      </c>
      <c r="Y100" s="0" t="n">
        <f aca="false">I100+Q100</f>
        <v>0</v>
      </c>
      <c r="Z100" s="0" t="n">
        <f aca="false">MIN(R100,N('Debt Payoff'!E9))</f>
        <v>0</v>
      </c>
      <c r="AA100" s="0" t="n">
        <f aca="false">MIN(S100,N('Debt Payoff'!E10))</f>
        <v>0</v>
      </c>
      <c r="AB100" s="0" t="n">
        <f aca="false">MIN(T100,N('Debt Payoff'!E11))</f>
        <v>0</v>
      </c>
      <c r="AC100" s="0" t="n">
        <f aca="false">MIN(U100,N('Debt Payoff'!E12))</f>
        <v>0</v>
      </c>
      <c r="AD100" s="0" t="n">
        <f aca="false">MIN(V100,N('Debt Payoff'!E13))</f>
        <v>0</v>
      </c>
      <c r="AE100" s="0" t="n">
        <f aca="false">MIN(W100,N('Debt Payoff'!E14))</f>
        <v>0</v>
      </c>
      <c r="AF100" s="0" t="n">
        <f aca="false">MIN(X100,N('Debt Payoff'!E15))</f>
        <v>0</v>
      </c>
      <c r="AG100" s="0" t="n">
        <f aca="false">MIN(Y100,N('Debt Payoff'!E16))</f>
        <v>0</v>
      </c>
      <c r="AH100" s="0" t="n">
        <f aca="false">R100-Z100</f>
        <v>0</v>
      </c>
      <c r="AI100" s="0" t="n">
        <f aca="false">S100-AA100</f>
        <v>0</v>
      </c>
      <c r="AJ100" s="0" t="n">
        <f aca="false">T100-AB100</f>
        <v>0</v>
      </c>
      <c r="AK100" s="0" t="n">
        <f aca="false">U100-AC100</f>
        <v>0</v>
      </c>
      <c r="AL100" s="0" t="n">
        <f aca="false">V100-AD100</f>
        <v>0</v>
      </c>
      <c r="AM100" s="0" t="n">
        <f aca="false">W100-AE100</f>
        <v>0</v>
      </c>
      <c r="AN100" s="0" t="n">
        <f aca="false">X100-AF100</f>
        <v>0</v>
      </c>
      <c r="AO100" s="0" t="n">
        <f aca="false">Y100-AG100</f>
        <v>0</v>
      </c>
      <c r="AP100" s="0" t="n">
        <f aca="false">MAX(0,'Debt Payoff'!$D$17-SUM(Z100:AG100))</f>
        <v>805</v>
      </c>
      <c r="AQ100" s="0" t="n">
        <f aca="false">MIN(AH100,MAX(0,$AP100-SUMPRODUCT(($AH$1:$AO$1&lt;AH$1)*$AH100:$AO100)))</f>
        <v>0</v>
      </c>
      <c r="AR100" s="0" t="n">
        <f aca="false">MIN(AI100,MAX(0,$AP100-SUMPRODUCT(($AH$1:$AO$1&lt;AI$1)*$AH100:$AO100)))</f>
        <v>0</v>
      </c>
      <c r="AS100" s="0" t="n">
        <f aca="false">MIN(AJ100,MAX(0,$AP100-SUMPRODUCT(($AH$1:$AO$1&lt;AJ$1)*$AH100:$AO100)))</f>
        <v>0</v>
      </c>
      <c r="AT100" s="0" t="n">
        <f aca="false">MIN(AK100,MAX(0,$AP100-SUMPRODUCT(($AH$1:$AO$1&lt;AK$1)*$AH100:$AO100)))</f>
        <v>0</v>
      </c>
      <c r="AU100" s="0" t="n">
        <f aca="false">MIN(AL100,MAX(0,$AP100-SUMPRODUCT(($AH$1:$AO$1&lt;AL$1)*$AH100:$AO100)))</f>
        <v>0</v>
      </c>
      <c r="AV100" s="0" t="n">
        <f aca="false">MIN(AM100,MAX(0,$AP100-SUMPRODUCT(($AH$1:$AO$1&lt;AM$1)*$AH100:$AO100)))</f>
        <v>0</v>
      </c>
      <c r="AW100" s="0" t="n">
        <f aca="false">MIN(AN100,MAX(0,$AP100-SUMPRODUCT(($AH$1:$AO$1&lt;AN$1)*$AH100:$AO100)))</f>
        <v>0</v>
      </c>
      <c r="AX100" s="0" t="n">
        <f aca="false">MIN(AO100,MAX(0,$AP100-SUMPRODUCT(($AH$1:$AO$1&lt;AO$1)*$AH100:$AO100)))</f>
        <v>0</v>
      </c>
      <c r="AY100" s="0" t="n">
        <f aca="false">ROUND(AH100-AQ100,2)</f>
        <v>0</v>
      </c>
      <c r="AZ100" s="0" t="n">
        <f aca="false">ROUND(AI100-AR100,2)</f>
        <v>0</v>
      </c>
      <c r="BA100" s="0" t="n">
        <f aca="false">ROUND(AJ100-AS100,2)</f>
        <v>0</v>
      </c>
      <c r="BB100" s="0" t="n">
        <f aca="false">ROUND(AK100-AT100,2)</f>
        <v>0</v>
      </c>
      <c r="BC100" s="0" t="n">
        <f aca="false">ROUND(AL100-AU100,2)</f>
        <v>0</v>
      </c>
      <c r="BD100" s="0" t="n">
        <f aca="false">ROUND(AM100-AV100,2)</f>
        <v>0</v>
      </c>
      <c r="BE100" s="0" t="n">
        <f aca="false">ROUND(AN100-AW100,2)</f>
        <v>0</v>
      </c>
      <c r="BF100" s="0" t="n">
        <f aca="false">ROUND(AO100-AX100,2)</f>
        <v>0</v>
      </c>
      <c r="BG100" s="0" t="n">
        <f aca="false">SUM(AY100:BF100)</f>
        <v>0</v>
      </c>
    </row>
    <row r="101" customFormat="false" ht="15" hidden="false" customHeight="false" outlineLevel="0" collapsed="false">
      <c r="A101" s="0" t="n">
        <v>99</v>
      </c>
      <c r="B101" s="0" t="n">
        <f aca="false">AY100</f>
        <v>0</v>
      </c>
      <c r="C101" s="0" t="n">
        <f aca="false">AZ100</f>
        <v>0</v>
      </c>
      <c r="D101" s="0" t="n">
        <f aca="false">BA100</f>
        <v>0</v>
      </c>
      <c r="E101" s="0" t="n">
        <f aca="false">BB100</f>
        <v>0</v>
      </c>
      <c r="F101" s="0" t="n">
        <f aca="false">BC100</f>
        <v>0</v>
      </c>
      <c r="G101" s="0" t="n">
        <f aca="false">BD100</f>
        <v>0</v>
      </c>
      <c r="H101" s="0" t="n">
        <f aca="false">BE100</f>
        <v>0</v>
      </c>
      <c r="I101" s="0" t="n">
        <f aca="false">BF100</f>
        <v>0</v>
      </c>
      <c r="J101" s="0" t="n">
        <f aca="false">B101*N('Debt Payoff'!D9)/12</f>
        <v>0</v>
      </c>
      <c r="K101" s="0" t="n">
        <f aca="false">C101*N('Debt Payoff'!D10)/12</f>
        <v>0</v>
      </c>
      <c r="L101" s="0" t="n">
        <f aca="false">D101*N('Debt Payoff'!D11)/12</f>
        <v>0</v>
      </c>
      <c r="M101" s="0" t="n">
        <f aca="false">E101*N('Debt Payoff'!D12)/12</f>
        <v>0</v>
      </c>
      <c r="N101" s="0" t="n">
        <f aca="false">F101*N('Debt Payoff'!D13)/12</f>
        <v>0</v>
      </c>
      <c r="O101" s="0" t="n">
        <f aca="false">G101*N('Debt Payoff'!D14)/12</f>
        <v>0</v>
      </c>
      <c r="P101" s="0" t="n">
        <f aca="false">H101*N('Debt Payoff'!D15)/12</f>
        <v>0</v>
      </c>
      <c r="Q101" s="0" t="n">
        <f aca="false">I101*N('Debt Payoff'!D16)/12</f>
        <v>0</v>
      </c>
      <c r="R101" s="0" t="n">
        <f aca="false">B101+J101</f>
        <v>0</v>
      </c>
      <c r="S101" s="0" t="n">
        <f aca="false">C101+K101</f>
        <v>0</v>
      </c>
      <c r="T101" s="0" t="n">
        <f aca="false">D101+L101</f>
        <v>0</v>
      </c>
      <c r="U101" s="0" t="n">
        <f aca="false">E101+M101</f>
        <v>0</v>
      </c>
      <c r="V101" s="0" t="n">
        <f aca="false">F101+N101</f>
        <v>0</v>
      </c>
      <c r="W101" s="0" t="n">
        <f aca="false">G101+O101</f>
        <v>0</v>
      </c>
      <c r="X101" s="0" t="n">
        <f aca="false">H101+P101</f>
        <v>0</v>
      </c>
      <c r="Y101" s="0" t="n">
        <f aca="false">I101+Q101</f>
        <v>0</v>
      </c>
      <c r="Z101" s="0" t="n">
        <f aca="false">MIN(R101,N('Debt Payoff'!E9))</f>
        <v>0</v>
      </c>
      <c r="AA101" s="0" t="n">
        <f aca="false">MIN(S101,N('Debt Payoff'!E10))</f>
        <v>0</v>
      </c>
      <c r="AB101" s="0" t="n">
        <f aca="false">MIN(T101,N('Debt Payoff'!E11))</f>
        <v>0</v>
      </c>
      <c r="AC101" s="0" t="n">
        <f aca="false">MIN(U101,N('Debt Payoff'!E12))</f>
        <v>0</v>
      </c>
      <c r="AD101" s="0" t="n">
        <f aca="false">MIN(V101,N('Debt Payoff'!E13))</f>
        <v>0</v>
      </c>
      <c r="AE101" s="0" t="n">
        <f aca="false">MIN(W101,N('Debt Payoff'!E14))</f>
        <v>0</v>
      </c>
      <c r="AF101" s="0" t="n">
        <f aca="false">MIN(X101,N('Debt Payoff'!E15))</f>
        <v>0</v>
      </c>
      <c r="AG101" s="0" t="n">
        <f aca="false">MIN(Y101,N('Debt Payoff'!E16))</f>
        <v>0</v>
      </c>
      <c r="AH101" s="0" t="n">
        <f aca="false">R101-Z101</f>
        <v>0</v>
      </c>
      <c r="AI101" s="0" t="n">
        <f aca="false">S101-AA101</f>
        <v>0</v>
      </c>
      <c r="AJ101" s="0" t="n">
        <f aca="false">T101-AB101</f>
        <v>0</v>
      </c>
      <c r="AK101" s="0" t="n">
        <f aca="false">U101-AC101</f>
        <v>0</v>
      </c>
      <c r="AL101" s="0" t="n">
        <f aca="false">V101-AD101</f>
        <v>0</v>
      </c>
      <c r="AM101" s="0" t="n">
        <f aca="false">W101-AE101</f>
        <v>0</v>
      </c>
      <c r="AN101" s="0" t="n">
        <f aca="false">X101-AF101</f>
        <v>0</v>
      </c>
      <c r="AO101" s="0" t="n">
        <f aca="false">Y101-AG101</f>
        <v>0</v>
      </c>
      <c r="AP101" s="0" t="n">
        <f aca="false">MAX(0,'Debt Payoff'!$D$17-SUM(Z101:AG101))</f>
        <v>805</v>
      </c>
      <c r="AQ101" s="0" t="n">
        <f aca="false">MIN(AH101,MAX(0,$AP101-SUMPRODUCT(($AH$1:$AO$1&lt;AH$1)*$AH101:$AO101)))</f>
        <v>0</v>
      </c>
      <c r="AR101" s="0" t="n">
        <f aca="false">MIN(AI101,MAX(0,$AP101-SUMPRODUCT(($AH$1:$AO$1&lt;AI$1)*$AH101:$AO101)))</f>
        <v>0</v>
      </c>
      <c r="AS101" s="0" t="n">
        <f aca="false">MIN(AJ101,MAX(0,$AP101-SUMPRODUCT(($AH$1:$AO$1&lt;AJ$1)*$AH101:$AO101)))</f>
        <v>0</v>
      </c>
      <c r="AT101" s="0" t="n">
        <f aca="false">MIN(AK101,MAX(0,$AP101-SUMPRODUCT(($AH$1:$AO$1&lt;AK$1)*$AH101:$AO101)))</f>
        <v>0</v>
      </c>
      <c r="AU101" s="0" t="n">
        <f aca="false">MIN(AL101,MAX(0,$AP101-SUMPRODUCT(($AH$1:$AO$1&lt;AL$1)*$AH101:$AO101)))</f>
        <v>0</v>
      </c>
      <c r="AV101" s="0" t="n">
        <f aca="false">MIN(AM101,MAX(0,$AP101-SUMPRODUCT(($AH$1:$AO$1&lt;AM$1)*$AH101:$AO101)))</f>
        <v>0</v>
      </c>
      <c r="AW101" s="0" t="n">
        <f aca="false">MIN(AN101,MAX(0,$AP101-SUMPRODUCT(($AH$1:$AO$1&lt;AN$1)*$AH101:$AO101)))</f>
        <v>0</v>
      </c>
      <c r="AX101" s="0" t="n">
        <f aca="false">MIN(AO101,MAX(0,$AP101-SUMPRODUCT(($AH$1:$AO$1&lt;AO$1)*$AH101:$AO101)))</f>
        <v>0</v>
      </c>
      <c r="AY101" s="0" t="n">
        <f aca="false">ROUND(AH101-AQ101,2)</f>
        <v>0</v>
      </c>
      <c r="AZ101" s="0" t="n">
        <f aca="false">ROUND(AI101-AR101,2)</f>
        <v>0</v>
      </c>
      <c r="BA101" s="0" t="n">
        <f aca="false">ROUND(AJ101-AS101,2)</f>
        <v>0</v>
      </c>
      <c r="BB101" s="0" t="n">
        <f aca="false">ROUND(AK101-AT101,2)</f>
        <v>0</v>
      </c>
      <c r="BC101" s="0" t="n">
        <f aca="false">ROUND(AL101-AU101,2)</f>
        <v>0</v>
      </c>
      <c r="BD101" s="0" t="n">
        <f aca="false">ROUND(AM101-AV101,2)</f>
        <v>0</v>
      </c>
      <c r="BE101" s="0" t="n">
        <f aca="false">ROUND(AN101-AW101,2)</f>
        <v>0</v>
      </c>
      <c r="BF101" s="0" t="n">
        <f aca="false">ROUND(AO101-AX101,2)</f>
        <v>0</v>
      </c>
      <c r="BG101" s="0" t="n">
        <f aca="false">SUM(AY101:BF101)</f>
        <v>0</v>
      </c>
    </row>
    <row r="102" customFormat="false" ht="15" hidden="false" customHeight="false" outlineLevel="0" collapsed="false">
      <c r="A102" s="0" t="n">
        <v>100</v>
      </c>
      <c r="B102" s="0" t="n">
        <f aca="false">AY101</f>
        <v>0</v>
      </c>
      <c r="C102" s="0" t="n">
        <f aca="false">AZ101</f>
        <v>0</v>
      </c>
      <c r="D102" s="0" t="n">
        <f aca="false">BA101</f>
        <v>0</v>
      </c>
      <c r="E102" s="0" t="n">
        <f aca="false">BB101</f>
        <v>0</v>
      </c>
      <c r="F102" s="0" t="n">
        <f aca="false">BC101</f>
        <v>0</v>
      </c>
      <c r="G102" s="0" t="n">
        <f aca="false">BD101</f>
        <v>0</v>
      </c>
      <c r="H102" s="0" t="n">
        <f aca="false">BE101</f>
        <v>0</v>
      </c>
      <c r="I102" s="0" t="n">
        <f aca="false">BF101</f>
        <v>0</v>
      </c>
      <c r="J102" s="0" t="n">
        <f aca="false">B102*N('Debt Payoff'!D9)/12</f>
        <v>0</v>
      </c>
      <c r="K102" s="0" t="n">
        <f aca="false">C102*N('Debt Payoff'!D10)/12</f>
        <v>0</v>
      </c>
      <c r="L102" s="0" t="n">
        <f aca="false">D102*N('Debt Payoff'!D11)/12</f>
        <v>0</v>
      </c>
      <c r="M102" s="0" t="n">
        <f aca="false">E102*N('Debt Payoff'!D12)/12</f>
        <v>0</v>
      </c>
      <c r="N102" s="0" t="n">
        <f aca="false">F102*N('Debt Payoff'!D13)/12</f>
        <v>0</v>
      </c>
      <c r="O102" s="0" t="n">
        <f aca="false">G102*N('Debt Payoff'!D14)/12</f>
        <v>0</v>
      </c>
      <c r="P102" s="0" t="n">
        <f aca="false">H102*N('Debt Payoff'!D15)/12</f>
        <v>0</v>
      </c>
      <c r="Q102" s="0" t="n">
        <f aca="false">I102*N('Debt Payoff'!D16)/12</f>
        <v>0</v>
      </c>
      <c r="R102" s="0" t="n">
        <f aca="false">B102+J102</f>
        <v>0</v>
      </c>
      <c r="S102" s="0" t="n">
        <f aca="false">C102+K102</f>
        <v>0</v>
      </c>
      <c r="T102" s="0" t="n">
        <f aca="false">D102+L102</f>
        <v>0</v>
      </c>
      <c r="U102" s="0" t="n">
        <f aca="false">E102+M102</f>
        <v>0</v>
      </c>
      <c r="V102" s="0" t="n">
        <f aca="false">F102+N102</f>
        <v>0</v>
      </c>
      <c r="W102" s="0" t="n">
        <f aca="false">G102+O102</f>
        <v>0</v>
      </c>
      <c r="X102" s="0" t="n">
        <f aca="false">H102+P102</f>
        <v>0</v>
      </c>
      <c r="Y102" s="0" t="n">
        <f aca="false">I102+Q102</f>
        <v>0</v>
      </c>
      <c r="Z102" s="0" t="n">
        <f aca="false">MIN(R102,N('Debt Payoff'!E9))</f>
        <v>0</v>
      </c>
      <c r="AA102" s="0" t="n">
        <f aca="false">MIN(S102,N('Debt Payoff'!E10))</f>
        <v>0</v>
      </c>
      <c r="AB102" s="0" t="n">
        <f aca="false">MIN(T102,N('Debt Payoff'!E11))</f>
        <v>0</v>
      </c>
      <c r="AC102" s="0" t="n">
        <f aca="false">MIN(U102,N('Debt Payoff'!E12))</f>
        <v>0</v>
      </c>
      <c r="AD102" s="0" t="n">
        <f aca="false">MIN(V102,N('Debt Payoff'!E13))</f>
        <v>0</v>
      </c>
      <c r="AE102" s="0" t="n">
        <f aca="false">MIN(W102,N('Debt Payoff'!E14))</f>
        <v>0</v>
      </c>
      <c r="AF102" s="0" t="n">
        <f aca="false">MIN(X102,N('Debt Payoff'!E15))</f>
        <v>0</v>
      </c>
      <c r="AG102" s="0" t="n">
        <f aca="false">MIN(Y102,N('Debt Payoff'!E16))</f>
        <v>0</v>
      </c>
      <c r="AH102" s="0" t="n">
        <f aca="false">R102-Z102</f>
        <v>0</v>
      </c>
      <c r="AI102" s="0" t="n">
        <f aca="false">S102-AA102</f>
        <v>0</v>
      </c>
      <c r="AJ102" s="0" t="n">
        <f aca="false">T102-AB102</f>
        <v>0</v>
      </c>
      <c r="AK102" s="0" t="n">
        <f aca="false">U102-AC102</f>
        <v>0</v>
      </c>
      <c r="AL102" s="0" t="n">
        <f aca="false">V102-AD102</f>
        <v>0</v>
      </c>
      <c r="AM102" s="0" t="n">
        <f aca="false">W102-AE102</f>
        <v>0</v>
      </c>
      <c r="AN102" s="0" t="n">
        <f aca="false">X102-AF102</f>
        <v>0</v>
      </c>
      <c r="AO102" s="0" t="n">
        <f aca="false">Y102-AG102</f>
        <v>0</v>
      </c>
      <c r="AP102" s="0" t="n">
        <f aca="false">MAX(0,'Debt Payoff'!$D$17-SUM(Z102:AG102))</f>
        <v>805</v>
      </c>
      <c r="AQ102" s="0" t="n">
        <f aca="false">MIN(AH102,MAX(0,$AP102-SUMPRODUCT(($AH$1:$AO$1&lt;AH$1)*$AH102:$AO102)))</f>
        <v>0</v>
      </c>
      <c r="AR102" s="0" t="n">
        <f aca="false">MIN(AI102,MAX(0,$AP102-SUMPRODUCT(($AH$1:$AO$1&lt;AI$1)*$AH102:$AO102)))</f>
        <v>0</v>
      </c>
      <c r="AS102" s="0" t="n">
        <f aca="false">MIN(AJ102,MAX(0,$AP102-SUMPRODUCT(($AH$1:$AO$1&lt;AJ$1)*$AH102:$AO102)))</f>
        <v>0</v>
      </c>
      <c r="AT102" s="0" t="n">
        <f aca="false">MIN(AK102,MAX(0,$AP102-SUMPRODUCT(($AH$1:$AO$1&lt;AK$1)*$AH102:$AO102)))</f>
        <v>0</v>
      </c>
      <c r="AU102" s="0" t="n">
        <f aca="false">MIN(AL102,MAX(0,$AP102-SUMPRODUCT(($AH$1:$AO$1&lt;AL$1)*$AH102:$AO102)))</f>
        <v>0</v>
      </c>
      <c r="AV102" s="0" t="n">
        <f aca="false">MIN(AM102,MAX(0,$AP102-SUMPRODUCT(($AH$1:$AO$1&lt;AM$1)*$AH102:$AO102)))</f>
        <v>0</v>
      </c>
      <c r="AW102" s="0" t="n">
        <f aca="false">MIN(AN102,MAX(0,$AP102-SUMPRODUCT(($AH$1:$AO$1&lt;AN$1)*$AH102:$AO102)))</f>
        <v>0</v>
      </c>
      <c r="AX102" s="0" t="n">
        <f aca="false">MIN(AO102,MAX(0,$AP102-SUMPRODUCT(($AH$1:$AO$1&lt;AO$1)*$AH102:$AO102)))</f>
        <v>0</v>
      </c>
      <c r="AY102" s="0" t="n">
        <f aca="false">ROUND(AH102-AQ102,2)</f>
        <v>0</v>
      </c>
      <c r="AZ102" s="0" t="n">
        <f aca="false">ROUND(AI102-AR102,2)</f>
        <v>0</v>
      </c>
      <c r="BA102" s="0" t="n">
        <f aca="false">ROUND(AJ102-AS102,2)</f>
        <v>0</v>
      </c>
      <c r="BB102" s="0" t="n">
        <f aca="false">ROUND(AK102-AT102,2)</f>
        <v>0</v>
      </c>
      <c r="BC102" s="0" t="n">
        <f aca="false">ROUND(AL102-AU102,2)</f>
        <v>0</v>
      </c>
      <c r="BD102" s="0" t="n">
        <f aca="false">ROUND(AM102-AV102,2)</f>
        <v>0</v>
      </c>
      <c r="BE102" s="0" t="n">
        <f aca="false">ROUND(AN102-AW102,2)</f>
        <v>0</v>
      </c>
      <c r="BF102" s="0" t="n">
        <f aca="false">ROUND(AO102-AX102,2)</f>
        <v>0</v>
      </c>
      <c r="BG102" s="0" t="n">
        <f aca="false">SUM(AY102:BF102)</f>
        <v>0</v>
      </c>
    </row>
    <row r="103" customFormat="false" ht="15" hidden="false" customHeight="false" outlineLevel="0" collapsed="false">
      <c r="A103" s="0" t="n">
        <v>101</v>
      </c>
      <c r="B103" s="0" t="n">
        <f aca="false">AY102</f>
        <v>0</v>
      </c>
      <c r="C103" s="0" t="n">
        <f aca="false">AZ102</f>
        <v>0</v>
      </c>
      <c r="D103" s="0" t="n">
        <f aca="false">BA102</f>
        <v>0</v>
      </c>
      <c r="E103" s="0" t="n">
        <f aca="false">BB102</f>
        <v>0</v>
      </c>
      <c r="F103" s="0" t="n">
        <f aca="false">BC102</f>
        <v>0</v>
      </c>
      <c r="G103" s="0" t="n">
        <f aca="false">BD102</f>
        <v>0</v>
      </c>
      <c r="H103" s="0" t="n">
        <f aca="false">BE102</f>
        <v>0</v>
      </c>
      <c r="I103" s="0" t="n">
        <f aca="false">BF102</f>
        <v>0</v>
      </c>
      <c r="J103" s="0" t="n">
        <f aca="false">B103*N('Debt Payoff'!D9)/12</f>
        <v>0</v>
      </c>
      <c r="K103" s="0" t="n">
        <f aca="false">C103*N('Debt Payoff'!D10)/12</f>
        <v>0</v>
      </c>
      <c r="L103" s="0" t="n">
        <f aca="false">D103*N('Debt Payoff'!D11)/12</f>
        <v>0</v>
      </c>
      <c r="M103" s="0" t="n">
        <f aca="false">E103*N('Debt Payoff'!D12)/12</f>
        <v>0</v>
      </c>
      <c r="N103" s="0" t="n">
        <f aca="false">F103*N('Debt Payoff'!D13)/12</f>
        <v>0</v>
      </c>
      <c r="O103" s="0" t="n">
        <f aca="false">G103*N('Debt Payoff'!D14)/12</f>
        <v>0</v>
      </c>
      <c r="P103" s="0" t="n">
        <f aca="false">H103*N('Debt Payoff'!D15)/12</f>
        <v>0</v>
      </c>
      <c r="Q103" s="0" t="n">
        <f aca="false">I103*N('Debt Payoff'!D16)/12</f>
        <v>0</v>
      </c>
      <c r="R103" s="0" t="n">
        <f aca="false">B103+J103</f>
        <v>0</v>
      </c>
      <c r="S103" s="0" t="n">
        <f aca="false">C103+K103</f>
        <v>0</v>
      </c>
      <c r="T103" s="0" t="n">
        <f aca="false">D103+L103</f>
        <v>0</v>
      </c>
      <c r="U103" s="0" t="n">
        <f aca="false">E103+M103</f>
        <v>0</v>
      </c>
      <c r="V103" s="0" t="n">
        <f aca="false">F103+N103</f>
        <v>0</v>
      </c>
      <c r="W103" s="0" t="n">
        <f aca="false">G103+O103</f>
        <v>0</v>
      </c>
      <c r="X103" s="0" t="n">
        <f aca="false">H103+P103</f>
        <v>0</v>
      </c>
      <c r="Y103" s="0" t="n">
        <f aca="false">I103+Q103</f>
        <v>0</v>
      </c>
      <c r="Z103" s="0" t="n">
        <f aca="false">MIN(R103,N('Debt Payoff'!E9))</f>
        <v>0</v>
      </c>
      <c r="AA103" s="0" t="n">
        <f aca="false">MIN(S103,N('Debt Payoff'!E10))</f>
        <v>0</v>
      </c>
      <c r="AB103" s="0" t="n">
        <f aca="false">MIN(T103,N('Debt Payoff'!E11))</f>
        <v>0</v>
      </c>
      <c r="AC103" s="0" t="n">
        <f aca="false">MIN(U103,N('Debt Payoff'!E12))</f>
        <v>0</v>
      </c>
      <c r="AD103" s="0" t="n">
        <f aca="false">MIN(V103,N('Debt Payoff'!E13))</f>
        <v>0</v>
      </c>
      <c r="AE103" s="0" t="n">
        <f aca="false">MIN(W103,N('Debt Payoff'!E14))</f>
        <v>0</v>
      </c>
      <c r="AF103" s="0" t="n">
        <f aca="false">MIN(X103,N('Debt Payoff'!E15))</f>
        <v>0</v>
      </c>
      <c r="AG103" s="0" t="n">
        <f aca="false">MIN(Y103,N('Debt Payoff'!E16))</f>
        <v>0</v>
      </c>
      <c r="AH103" s="0" t="n">
        <f aca="false">R103-Z103</f>
        <v>0</v>
      </c>
      <c r="AI103" s="0" t="n">
        <f aca="false">S103-AA103</f>
        <v>0</v>
      </c>
      <c r="AJ103" s="0" t="n">
        <f aca="false">T103-AB103</f>
        <v>0</v>
      </c>
      <c r="AK103" s="0" t="n">
        <f aca="false">U103-AC103</f>
        <v>0</v>
      </c>
      <c r="AL103" s="0" t="n">
        <f aca="false">V103-AD103</f>
        <v>0</v>
      </c>
      <c r="AM103" s="0" t="n">
        <f aca="false">W103-AE103</f>
        <v>0</v>
      </c>
      <c r="AN103" s="0" t="n">
        <f aca="false">X103-AF103</f>
        <v>0</v>
      </c>
      <c r="AO103" s="0" t="n">
        <f aca="false">Y103-AG103</f>
        <v>0</v>
      </c>
      <c r="AP103" s="0" t="n">
        <f aca="false">MAX(0,'Debt Payoff'!$D$17-SUM(Z103:AG103))</f>
        <v>805</v>
      </c>
      <c r="AQ103" s="0" t="n">
        <f aca="false">MIN(AH103,MAX(0,$AP103-SUMPRODUCT(($AH$1:$AO$1&lt;AH$1)*$AH103:$AO103)))</f>
        <v>0</v>
      </c>
      <c r="AR103" s="0" t="n">
        <f aca="false">MIN(AI103,MAX(0,$AP103-SUMPRODUCT(($AH$1:$AO$1&lt;AI$1)*$AH103:$AO103)))</f>
        <v>0</v>
      </c>
      <c r="AS103" s="0" t="n">
        <f aca="false">MIN(AJ103,MAX(0,$AP103-SUMPRODUCT(($AH$1:$AO$1&lt;AJ$1)*$AH103:$AO103)))</f>
        <v>0</v>
      </c>
      <c r="AT103" s="0" t="n">
        <f aca="false">MIN(AK103,MAX(0,$AP103-SUMPRODUCT(($AH$1:$AO$1&lt;AK$1)*$AH103:$AO103)))</f>
        <v>0</v>
      </c>
      <c r="AU103" s="0" t="n">
        <f aca="false">MIN(AL103,MAX(0,$AP103-SUMPRODUCT(($AH$1:$AO$1&lt;AL$1)*$AH103:$AO103)))</f>
        <v>0</v>
      </c>
      <c r="AV103" s="0" t="n">
        <f aca="false">MIN(AM103,MAX(0,$AP103-SUMPRODUCT(($AH$1:$AO$1&lt;AM$1)*$AH103:$AO103)))</f>
        <v>0</v>
      </c>
      <c r="AW103" s="0" t="n">
        <f aca="false">MIN(AN103,MAX(0,$AP103-SUMPRODUCT(($AH$1:$AO$1&lt;AN$1)*$AH103:$AO103)))</f>
        <v>0</v>
      </c>
      <c r="AX103" s="0" t="n">
        <f aca="false">MIN(AO103,MAX(0,$AP103-SUMPRODUCT(($AH$1:$AO$1&lt;AO$1)*$AH103:$AO103)))</f>
        <v>0</v>
      </c>
      <c r="AY103" s="0" t="n">
        <f aca="false">ROUND(AH103-AQ103,2)</f>
        <v>0</v>
      </c>
      <c r="AZ103" s="0" t="n">
        <f aca="false">ROUND(AI103-AR103,2)</f>
        <v>0</v>
      </c>
      <c r="BA103" s="0" t="n">
        <f aca="false">ROUND(AJ103-AS103,2)</f>
        <v>0</v>
      </c>
      <c r="BB103" s="0" t="n">
        <f aca="false">ROUND(AK103-AT103,2)</f>
        <v>0</v>
      </c>
      <c r="BC103" s="0" t="n">
        <f aca="false">ROUND(AL103-AU103,2)</f>
        <v>0</v>
      </c>
      <c r="BD103" s="0" t="n">
        <f aca="false">ROUND(AM103-AV103,2)</f>
        <v>0</v>
      </c>
      <c r="BE103" s="0" t="n">
        <f aca="false">ROUND(AN103-AW103,2)</f>
        <v>0</v>
      </c>
      <c r="BF103" s="0" t="n">
        <f aca="false">ROUND(AO103-AX103,2)</f>
        <v>0</v>
      </c>
      <c r="BG103" s="0" t="n">
        <f aca="false">SUM(AY103:BF103)</f>
        <v>0</v>
      </c>
    </row>
    <row r="104" customFormat="false" ht="15" hidden="false" customHeight="false" outlineLevel="0" collapsed="false">
      <c r="A104" s="0" t="n">
        <v>102</v>
      </c>
      <c r="B104" s="0" t="n">
        <f aca="false">AY103</f>
        <v>0</v>
      </c>
      <c r="C104" s="0" t="n">
        <f aca="false">AZ103</f>
        <v>0</v>
      </c>
      <c r="D104" s="0" t="n">
        <f aca="false">BA103</f>
        <v>0</v>
      </c>
      <c r="E104" s="0" t="n">
        <f aca="false">BB103</f>
        <v>0</v>
      </c>
      <c r="F104" s="0" t="n">
        <f aca="false">BC103</f>
        <v>0</v>
      </c>
      <c r="G104" s="0" t="n">
        <f aca="false">BD103</f>
        <v>0</v>
      </c>
      <c r="H104" s="0" t="n">
        <f aca="false">BE103</f>
        <v>0</v>
      </c>
      <c r="I104" s="0" t="n">
        <f aca="false">BF103</f>
        <v>0</v>
      </c>
      <c r="J104" s="0" t="n">
        <f aca="false">B104*N('Debt Payoff'!D9)/12</f>
        <v>0</v>
      </c>
      <c r="K104" s="0" t="n">
        <f aca="false">C104*N('Debt Payoff'!D10)/12</f>
        <v>0</v>
      </c>
      <c r="L104" s="0" t="n">
        <f aca="false">D104*N('Debt Payoff'!D11)/12</f>
        <v>0</v>
      </c>
      <c r="M104" s="0" t="n">
        <f aca="false">E104*N('Debt Payoff'!D12)/12</f>
        <v>0</v>
      </c>
      <c r="N104" s="0" t="n">
        <f aca="false">F104*N('Debt Payoff'!D13)/12</f>
        <v>0</v>
      </c>
      <c r="O104" s="0" t="n">
        <f aca="false">G104*N('Debt Payoff'!D14)/12</f>
        <v>0</v>
      </c>
      <c r="P104" s="0" t="n">
        <f aca="false">H104*N('Debt Payoff'!D15)/12</f>
        <v>0</v>
      </c>
      <c r="Q104" s="0" t="n">
        <f aca="false">I104*N('Debt Payoff'!D16)/12</f>
        <v>0</v>
      </c>
      <c r="R104" s="0" t="n">
        <f aca="false">B104+J104</f>
        <v>0</v>
      </c>
      <c r="S104" s="0" t="n">
        <f aca="false">C104+K104</f>
        <v>0</v>
      </c>
      <c r="T104" s="0" t="n">
        <f aca="false">D104+L104</f>
        <v>0</v>
      </c>
      <c r="U104" s="0" t="n">
        <f aca="false">E104+M104</f>
        <v>0</v>
      </c>
      <c r="V104" s="0" t="n">
        <f aca="false">F104+N104</f>
        <v>0</v>
      </c>
      <c r="W104" s="0" t="n">
        <f aca="false">G104+O104</f>
        <v>0</v>
      </c>
      <c r="X104" s="0" t="n">
        <f aca="false">H104+P104</f>
        <v>0</v>
      </c>
      <c r="Y104" s="0" t="n">
        <f aca="false">I104+Q104</f>
        <v>0</v>
      </c>
      <c r="Z104" s="0" t="n">
        <f aca="false">MIN(R104,N('Debt Payoff'!E9))</f>
        <v>0</v>
      </c>
      <c r="AA104" s="0" t="n">
        <f aca="false">MIN(S104,N('Debt Payoff'!E10))</f>
        <v>0</v>
      </c>
      <c r="AB104" s="0" t="n">
        <f aca="false">MIN(T104,N('Debt Payoff'!E11))</f>
        <v>0</v>
      </c>
      <c r="AC104" s="0" t="n">
        <f aca="false">MIN(U104,N('Debt Payoff'!E12))</f>
        <v>0</v>
      </c>
      <c r="AD104" s="0" t="n">
        <f aca="false">MIN(V104,N('Debt Payoff'!E13))</f>
        <v>0</v>
      </c>
      <c r="AE104" s="0" t="n">
        <f aca="false">MIN(W104,N('Debt Payoff'!E14))</f>
        <v>0</v>
      </c>
      <c r="AF104" s="0" t="n">
        <f aca="false">MIN(X104,N('Debt Payoff'!E15))</f>
        <v>0</v>
      </c>
      <c r="AG104" s="0" t="n">
        <f aca="false">MIN(Y104,N('Debt Payoff'!E16))</f>
        <v>0</v>
      </c>
      <c r="AH104" s="0" t="n">
        <f aca="false">R104-Z104</f>
        <v>0</v>
      </c>
      <c r="AI104" s="0" t="n">
        <f aca="false">S104-AA104</f>
        <v>0</v>
      </c>
      <c r="AJ104" s="0" t="n">
        <f aca="false">T104-AB104</f>
        <v>0</v>
      </c>
      <c r="AK104" s="0" t="n">
        <f aca="false">U104-AC104</f>
        <v>0</v>
      </c>
      <c r="AL104" s="0" t="n">
        <f aca="false">V104-AD104</f>
        <v>0</v>
      </c>
      <c r="AM104" s="0" t="n">
        <f aca="false">W104-AE104</f>
        <v>0</v>
      </c>
      <c r="AN104" s="0" t="n">
        <f aca="false">X104-AF104</f>
        <v>0</v>
      </c>
      <c r="AO104" s="0" t="n">
        <f aca="false">Y104-AG104</f>
        <v>0</v>
      </c>
      <c r="AP104" s="0" t="n">
        <f aca="false">MAX(0,'Debt Payoff'!$D$17-SUM(Z104:AG104))</f>
        <v>805</v>
      </c>
      <c r="AQ104" s="0" t="n">
        <f aca="false">MIN(AH104,MAX(0,$AP104-SUMPRODUCT(($AH$1:$AO$1&lt;AH$1)*$AH104:$AO104)))</f>
        <v>0</v>
      </c>
      <c r="AR104" s="0" t="n">
        <f aca="false">MIN(AI104,MAX(0,$AP104-SUMPRODUCT(($AH$1:$AO$1&lt;AI$1)*$AH104:$AO104)))</f>
        <v>0</v>
      </c>
      <c r="AS104" s="0" t="n">
        <f aca="false">MIN(AJ104,MAX(0,$AP104-SUMPRODUCT(($AH$1:$AO$1&lt;AJ$1)*$AH104:$AO104)))</f>
        <v>0</v>
      </c>
      <c r="AT104" s="0" t="n">
        <f aca="false">MIN(AK104,MAX(0,$AP104-SUMPRODUCT(($AH$1:$AO$1&lt;AK$1)*$AH104:$AO104)))</f>
        <v>0</v>
      </c>
      <c r="AU104" s="0" t="n">
        <f aca="false">MIN(AL104,MAX(0,$AP104-SUMPRODUCT(($AH$1:$AO$1&lt;AL$1)*$AH104:$AO104)))</f>
        <v>0</v>
      </c>
      <c r="AV104" s="0" t="n">
        <f aca="false">MIN(AM104,MAX(0,$AP104-SUMPRODUCT(($AH$1:$AO$1&lt;AM$1)*$AH104:$AO104)))</f>
        <v>0</v>
      </c>
      <c r="AW104" s="0" t="n">
        <f aca="false">MIN(AN104,MAX(0,$AP104-SUMPRODUCT(($AH$1:$AO$1&lt;AN$1)*$AH104:$AO104)))</f>
        <v>0</v>
      </c>
      <c r="AX104" s="0" t="n">
        <f aca="false">MIN(AO104,MAX(0,$AP104-SUMPRODUCT(($AH$1:$AO$1&lt;AO$1)*$AH104:$AO104)))</f>
        <v>0</v>
      </c>
      <c r="AY104" s="0" t="n">
        <f aca="false">ROUND(AH104-AQ104,2)</f>
        <v>0</v>
      </c>
      <c r="AZ104" s="0" t="n">
        <f aca="false">ROUND(AI104-AR104,2)</f>
        <v>0</v>
      </c>
      <c r="BA104" s="0" t="n">
        <f aca="false">ROUND(AJ104-AS104,2)</f>
        <v>0</v>
      </c>
      <c r="BB104" s="0" t="n">
        <f aca="false">ROUND(AK104-AT104,2)</f>
        <v>0</v>
      </c>
      <c r="BC104" s="0" t="n">
        <f aca="false">ROUND(AL104-AU104,2)</f>
        <v>0</v>
      </c>
      <c r="BD104" s="0" t="n">
        <f aca="false">ROUND(AM104-AV104,2)</f>
        <v>0</v>
      </c>
      <c r="BE104" s="0" t="n">
        <f aca="false">ROUND(AN104-AW104,2)</f>
        <v>0</v>
      </c>
      <c r="BF104" s="0" t="n">
        <f aca="false">ROUND(AO104-AX104,2)</f>
        <v>0</v>
      </c>
      <c r="BG104" s="0" t="n">
        <f aca="false">SUM(AY104:BF104)</f>
        <v>0</v>
      </c>
    </row>
    <row r="105" customFormat="false" ht="15" hidden="false" customHeight="false" outlineLevel="0" collapsed="false">
      <c r="A105" s="0" t="n">
        <v>103</v>
      </c>
      <c r="B105" s="0" t="n">
        <f aca="false">AY104</f>
        <v>0</v>
      </c>
      <c r="C105" s="0" t="n">
        <f aca="false">AZ104</f>
        <v>0</v>
      </c>
      <c r="D105" s="0" t="n">
        <f aca="false">BA104</f>
        <v>0</v>
      </c>
      <c r="E105" s="0" t="n">
        <f aca="false">BB104</f>
        <v>0</v>
      </c>
      <c r="F105" s="0" t="n">
        <f aca="false">BC104</f>
        <v>0</v>
      </c>
      <c r="G105" s="0" t="n">
        <f aca="false">BD104</f>
        <v>0</v>
      </c>
      <c r="H105" s="0" t="n">
        <f aca="false">BE104</f>
        <v>0</v>
      </c>
      <c r="I105" s="0" t="n">
        <f aca="false">BF104</f>
        <v>0</v>
      </c>
      <c r="J105" s="0" t="n">
        <f aca="false">B105*N('Debt Payoff'!D9)/12</f>
        <v>0</v>
      </c>
      <c r="K105" s="0" t="n">
        <f aca="false">C105*N('Debt Payoff'!D10)/12</f>
        <v>0</v>
      </c>
      <c r="L105" s="0" t="n">
        <f aca="false">D105*N('Debt Payoff'!D11)/12</f>
        <v>0</v>
      </c>
      <c r="M105" s="0" t="n">
        <f aca="false">E105*N('Debt Payoff'!D12)/12</f>
        <v>0</v>
      </c>
      <c r="N105" s="0" t="n">
        <f aca="false">F105*N('Debt Payoff'!D13)/12</f>
        <v>0</v>
      </c>
      <c r="O105" s="0" t="n">
        <f aca="false">G105*N('Debt Payoff'!D14)/12</f>
        <v>0</v>
      </c>
      <c r="P105" s="0" t="n">
        <f aca="false">H105*N('Debt Payoff'!D15)/12</f>
        <v>0</v>
      </c>
      <c r="Q105" s="0" t="n">
        <f aca="false">I105*N('Debt Payoff'!D16)/12</f>
        <v>0</v>
      </c>
      <c r="R105" s="0" t="n">
        <f aca="false">B105+J105</f>
        <v>0</v>
      </c>
      <c r="S105" s="0" t="n">
        <f aca="false">C105+K105</f>
        <v>0</v>
      </c>
      <c r="T105" s="0" t="n">
        <f aca="false">D105+L105</f>
        <v>0</v>
      </c>
      <c r="U105" s="0" t="n">
        <f aca="false">E105+M105</f>
        <v>0</v>
      </c>
      <c r="V105" s="0" t="n">
        <f aca="false">F105+N105</f>
        <v>0</v>
      </c>
      <c r="W105" s="0" t="n">
        <f aca="false">G105+O105</f>
        <v>0</v>
      </c>
      <c r="X105" s="0" t="n">
        <f aca="false">H105+P105</f>
        <v>0</v>
      </c>
      <c r="Y105" s="0" t="n">
        <f aca="false">I105+Q105</f>
        <v>0</v>
      </c>
      <c r="Z105" s="0" t="n">
        <f aca="false">MIN(R105,N('Debt Payoff'!E9))</f>
        <v>0</v>
      </c>
      <c r="AA105" s="0" t="n">
        <f aca="false">MIN(S105,N('Debt Payoff'!E10))</f>
        <v>0</v>
      </c>
      <c r="AB105" s="0" t="n">
        <f aca="false">MIN(T105,N('Debt Payoff'!E11))</f>
        <v>0</v>
      </c>
      <c r="AC105" s="0" t="n">
        <f aca="false">MIN(U105,N('Debt Payoff'!E12))</f>
        <v>0</v>
      </c>
      <c r="AD105" s="0" t="n">
        <f aca="false">MIN(V105,N('Debt Payoff'!E13))</f>
        <v>0</v>
      </c>
      <c r="AE105" s="0" t="n">
        <f aca="false">MIN(W105,N('Debt Payoff'!E14))</f>
        <v>0</v>
      </c>
      <c r="AF105" s="0" t="n">
        <f aca="false">MIN(X105,N('Debt Payoff'!E15))</f>
        <v>0</v>
      </c>
      <c r="AG105" s="0" t="n">
        <f aca="false">MIN(Y105,N('Debt Payoff'!E16))</f>
        <v>0</v>
      </c>
      <c r="AH105" s="0" t="n">
        <f aca="false">R105-Z105</f>
        <v>0</v>
      </c>
      <c r="AI105" s="0" t="n">
        <f aca="false">S105-AA105</f>
        <v>0</v>
      </c>
      <c r="AJ105" s="0" t="n">
        <f aca="false">T105-AB105</f>
        <v>0</v>
      </c>
      <c r="AK105" s="0" t="n">
        <f aca="false">U105-AC105</f>
        <v>0</v>
      </c>
      <c r="AL105" s="0" t="n">
        <f aca="false">V105-AD105</f>
        <v>0</v>
      </c>
      <c r="AM105" s="0" t="n">
        <f aca="false">W105-AE105</f>
        <v>0</v>
      </c>
      <c r="AN105" s="0" t="n">
        <f aca="false">X105-AF105</f>
        <v>0</v>
      </c>
      <c r="AO105" s="0" t="n">
        <f aca="false">Y105-AG105</f>
        <v>0</v>
      </c>
      <c r="AP105" s="0" t="n">
        <f aca="false">MAX(0,'Debt Payoff'!$D$17-SUM(Z105:AG105))</f>
        <v>805</v>
      </c>
      <c r="AQ105" s="0" t="n">
        <f aca="false">MIN(AH105,MAX(0,$AP105-SUMPRODUCT(($AH$1:$AO$1&lt;AH$1)*$AH105:$AO105)))</f>
        <v>0</v>
      </c>
      <c r="AR105" s="0" t="n">
        <f aca="false">MIN(AI105,MAX(0,$AP105-SUMPRODUCT(($AH$1:$AO$1&lt;AI$1)*$AH105:$AO105)))</f>
        <v>0</v>
      </c>
      <c r="AS105" s="0" t="n">
        <f aca="false">MIN(AJ105,MAX(0,$AP105-SUMPRODUCT(($AH$1:$AO$1&lt;AJ$1)*$AH105:$AO105)))</f>
        <v>0</v>
      </c>
      <c r="AT105" s="0" t="n">
        <f aca="false">MIN(AK105,MAX(0,$AP105-SUMPRODUCT(($AH$1:$AO$1&lt;AK$1)*$AH105:$AO105)))</f>
        <v>0</v>
      </c>
      <c r="AU105" s="0" t="n">
        <f aca="false">MIN(AL105,MAX(0,$AP105-SUMPRODUCT(($AH$1:$AO$1&lt;AL$1)*$AH105:$AO105)))</f>
        <v>0</v>
      </c>
      <c r="AV105" s="0" t="n">
        <f aca="false">MIN(AM105,MAX(0,$AP105-SUMPRODUCT(($AH$1:$AO$1&lt;AM$1)*$AH105:$AO105)))</f>
        <v>0</v>
      </c>
      <c r="AW105" s="0" t="n">
        <f aca="false">MIN(AN105,MAX(0,$AP105-SUMPRODUCT(($AH$1:$AO$1&lt;AN$1)*$AH105:$AO105)))</f>
        <v>0</v>
      </c>
      <c r="AX105" s="0" t="n">
        <f aca="false">MIN(AO105,MAX(0,$AP105-SUMPRODUCT(($AH$1:$AO$1&lt;AO$1)*$AH105:$AO105)))</f>
        <v>0</v>
      </c>
      <c r="AY105" s="0" t="n">
        <f aca="false">ROUND(AH105-AQ105,2)</f>
        <v>0</v>
      </c>
      <c r="AZ105" s="0" t="n">
        <f aca="false">ROUND(AI105-AR105,2)</f>
        <v>0</v>
      </c>
      <c r="BA105" s="0" t="n">
        <f aca="false">ROUND(AJ105-AS105,2)</f>
        <v>0</v>
      </c>
      <c r="BB105" s="0" t="n">
        <f aca="false">ROUND(AK105-AT105,2)</f>
        <v>0</v>
      </c>
      <c r="BC105" s="0" t="n">
        <f aca="false">ROUND(AL105-AU105,2)</f>
        <v>0</v>
      </c>
      <c r="BD105" s="0" t="n">
        <f aca="false">ROUND(AM105-AV105,2)</f>
        <v>0</v>
      </c>
      <c r="BE105" s="0" t="n">
        <f aca="false">ROUND(AN105-AW105,2)</f>
        <v>0</v>
      </c>
      <c r="BF105" s="0" t="n">
        <f aca="false">ROUND(AO105-AX105,2)</f>
        <v>0</v>
      </c>
      <c r="BG105" s="0" t="n">
        <f aca="false">SUM(AY105:BF105)</f>
        <v>0</v>
      </c>
    </row>
    <row r="106" customFormat="false" ht="15" hidden="false" customHeight="false" outlineLevel="0" collapsed="false">
      <c r="A106" s="0" t="n">
        <v>104</v>
      </c>
      <c r="B106" s="0" t="n">
        <f aca="false">AY105</f>
        <v>0</v>
      </c>
      <c r="C106" s="0" t="n">
        <f aca="false">AZ105</f>
        <v>0</v>
      </c>
      <c r="D106" s="0" t="n">
        <f aca="false">BA105</f>
        <v>0</v>
      </c>
      <c r="E106" s="0" t="n">
        <f aca="false">BB105</f>
        <v>0</v>
      </c>
      <c r="F106" s="0" t="n">
        <f aca="false">BC105</f>
        <v>0</v>
      </c>
      <c r="G106" s="0" t="n">
        <f aca="false">BD105</f>
        <v>0</v>
      </c>
      <c r="H106" s="0" t="n">
        <f aca="false">BE105</f>
        <v>0</v>
      </c>
      <c r="I106" s="0" t="n">
        <f aca="false">BF105</f>
        <v>0</v>
      </c>
      <c r="J106" s="0" t="n">
        <f aca="false">B106*N('Debt Payoff'!D9)/12</f>
        <v>0</v>
      </c>
      <c r="K106" s="0" t="n">
        <f aca="false">C106*N('Debt Payoff'!D10)/12</f>
        <v>0</v>
      </c>
      <c r="L106" s="0" t="n">
        <f aca="false">D106*N('Debt Payoff'!D11)/12</f>
        <v>0</v>
      </c>
      <c r="M106" s="0" t="n">
        <f aca="false">E106*N('Debt Payoff'!D12)/12</f>
        <v>0</v>
      </c>
      <c r="N106" s="0" t="n">
        <f aca="false">F106*N('Debt Payoff'!D13)/12</f>
        <v>0</v>
      </c>
      <c r="O106" s="0" t="n">
        <f aca="false">G106*N('Debt Payoff'!D14)/12</f>
        <v>0</v>
      </c>
      <c r="P106" s="0" t="n">
        <f aca="false">H106*N('Debt Payoff'!D15)/12</f>
        <v>0</v>
      </c>
      <c r="Q106" s="0" t="n">
        <f aca="false">I106*N('Debt Payoff'!D16)/12</f>
        <v>0</v>
      </c>
      <c r="R106" s="0" t="n">
        <f aca="false">B106+J106</f>
        <v>0</v>
      </c>
      <c r="S106" s="0" t="n">
        <f aca="false">C106+K106</f>
        <v>0</v>
      </c>
      <c r="T106" s="0" t="n">
        <f aca="false">D106+L106</f>
        <v>0</v>
      </c>
      <c r="U106" s="0" t="n">
        <f aca="false">E106+M106</f>
        <v>0</v>
      </c>
      <c r="V106" s="0" t="n">
        <f aca="false">F106+N106</f>
        <v>0</v>
      </c>
      <c r="W106" s="0" t="n">
        <f aca="false">G106+O106</f>
        <v>0</v>
      </c>
      <c r="X106" s="0" t="n">
        <f aca="false">H106+P106</f>
        <v>0</v>
      </c>
      <c r="Y106" s="0" t="n">
        <f aca="false">I106+Q106</f>
        <v>0</v>
      </c>
      <c r="Z106" s="0" t="n">
        <f aca="false">MIN(R106,N('Debt Payoff'!E9))</f>
        <v>0</v>
      </c>
      <c r="AA106" s="0" t="n">
        <f aca="false">MIN(S106,N('Debt Payoff'!E10))</f>
        <v>0</v>
      </c>
      <c r="AB106" s="0" t="n">
        <f aca="false">MIN(T106,N('Debt Payoff'!E11))</f>
        <v>0</v>
      </c>
      <c r="AC106" s="0" t="n">
        <f aca="false">MIN(U106,N('Debt Payoff'!E12))</f>
        <v>0</v>
      </c>
      <c r="AD106" s="0" t="n">
        <f aca="false">MIN(V106,N('Debt Payoff'!E13))</f>
        <v>0</v>
      </c>
      <c r="AE106" s="0" t="n">
        <f aca="false">MIN(W106,N('Debt Payoff'!E14))</f>
        <v>0</v>
      </c>
      <c r="AF106" s="0" t="n">
        <f aca="false">MIN(X106,N('Debt Payoff'!E15))</f>
        <v>0</v>
      </c>
      <c r="AG106" s="0" t="n">
        <f aca="false">MIN(Y106,N('Debt Payoff'!E16))</f>
        <v>0</v>
      </c>
      <c r="AH106" s="0" t="n">
        <f aca="false">R106-Z106</f>
        <v>0</v>
      </c>
      <c r="AI106" s="0" t="n">
        <f aca="false">S106-AA106</f>
        <v>0</v>
      </c>
      <c r="AJ106" s="0" t="n">
        <f aca="false">T106-AB106</f>
        <v>0</v>
      </c>
      <c r="AK106" s="0" t="n">
        <f aca="false">U106-AC106</f>
        <v>0</v>
      </c>
      <c r="AL106" s="0" t="n">
        <f aca="false">V106-AD106</f>
        <v>0</v>
      </c>
      <c r="AM106" s="0" t="n">
        <f aca="false">W106-AE106</f>
        <v>0</v>
      </c>
      <c r="AN106" s="0" t="n">
        <f aca="false">X106-AF106</f>
        <v>0</v>
      </c>
      <c r="AO106" s="0" t="n">
        <f aca="false">Y106-AG106</f>
        <v>0</v>
      </c>
      <c r="AP106" s="0" t="n">
        <f aca="false">MAX(0,'Debt Payoff'!$D$17-SUM(Z106:AG106))</f>
        <v>805</v>
      </c>
      <c r="AQ106" s="0" t="n">
        <f aca="false">MIN(AH106,MAX(0,$AP106-SUMPRODUCT(($AH$1:$AO$1&lt;AH$1)*$AH106:$AO106)))</f>
        <v>0</v>
      </c>
      <c r="AR106" s="0" t="n">
        <f aca="false">MIN(AI106,MAX(0,$AP106-SUMPRODUCT(($AH$1:$AO$1&lt;AI$1)*$AH106:$AO106)))</f>
        <v>0</v>
      </c>
      <c r="AS106" s="0" t="n">
        <f aca="false">MIN(AJ106,MAX(0,$AP106-SUMPRODUCT(($AH$1:$AO$1&lt;AJ$1)*$AH106:$AO106)))</f>
        <v>0</v>
      </c>
      <c r="AT106" s="0" t="n">
        <f aca="false">MIN(AK106,MAX(0,$AP106-SUMPRODUCT(($AH$1:$AO$1&lt;AK$1)*$AH106:$AO106)))</f>
        <v>0</v>
      </c>
      <c r="AU106" s="0" t="n">
        <f aca="false">MIN(AL106,MAX(0,$AP106-SUMPRODUCT(($AH$1:$AO$1&lt;AL$1)*$AH106:$AO106)))</f>
        <v>0</v>
      </c>
      <c r="AV106" s="0" t="n">
        <f aca="false">MIN(AM106,MAX(0,$AP106-SUMPRODUCT(($AH$1:$AO$1&lt;AM$1)*$AH106:$AO106)))</f>
        <v>0</v>
      </c>
      <c r="AW106" s="0" t="n">
        <f aca="false">MIN(AN106,MAX(0,$AP106-SUMPRODUCT(($AH$1:$AO$1&lt;AN$1)*$AH106:$AO106)))</f>
        <v>0</v>
      </c>
      <c r="AX106" s="0" t="n">
        <f aca="false">MIN(AO106,MAX(0,$AP106-SUMPRODUCT(($AH$1:$AO$1&lt;AO$1)*$AH106:$AO106)))</f>
        <v>0</v>
      </c>
      <c r="AY106" s="0" t="n">
        <f aca="false">ROUND(AH106-AQ106,2)</f>
        <v>0</v>
      </c>
      <c r="AZ106" s="0" t="n">
        <f aca="false">ROUND(AI106-AR106,2)</f>
        <v>0</v>
      </c>
      <c r="BA106" s="0" t="n">
        <f aca="false">ROUND(AJ106-AS106,2)</f>
        <v>0</v>
      </c>
      <c r="BB106" s="0" t="n">
        <f aca="false">ROUND(AK106-AT106,2)</f>
        <v>0</v>
      </c>
      <c r="BC106" s="0" t="n">
        <f aca="false">ROUND(AL106-AU106,2)</f>
        <v>0</v>
      </c>
      <c r="BD106" s="0" t="n">
        <f aca="false">ROUND(AM106-AV106,2)</f>
        <v>0</v>
      </c>
      <c r="BE106" s="0" t="n">
        <f aca="false">ROUND(AN106-AW106,2)</f>
        <v>0</v>
      </c>
      <c r="BF106" s="0" t="n">
        <f aca="false">ROUND(AO106-AX106,2)</f>
        <v>0</v>
      </c>
      <c r="BG106" s="0" t="n">
        <f aca="false">SUM(AY106:BF106)</f>
        <v>0</v>
      </c>
    </row>
    <row r="107" customFormat="false" ht="15" hidden="false" customHeight="false" outlineLevel="0" collapsed="false">
      <c r="A107" s="0" t="n">
        <v>105</v>
      </c>
      <c r="B107" s="0" t="n">
        <f aca="false">AY106</f>
        <v>0</v>
      </c>
      <c r="C107" s="0" t="n">
        <f aca="false">AZ106</f>
        <v>0</v>
      </c>
      <c r="D107" s="0" t="n">
        <f aca="false">BA106</f>
        <v>0</v>
      </c>
      <c r="E107" s="0" t="n">
        <f aca="false">BB106</f>
        <v>0</v>
      </c>
      <c r="F107" s="0" t="n">
        <f aca="false">BC106</f>
        <v>0</v>
      </c>
      <c r="G107" s="0" t="n">
        <f aca="false">BD106</f>
        <v>0</v>
      </c>
      <c r="H107" s="0" t="n">
        <f aca="false">BE106</f>
        <v>0</v>
      </c>
      <c r="I107" s="0" t="n">
        <f aca="false">BF106</f>
        <v>0</v>
      </c>
      <c r="J107" s="0" t="n">
        <f aca="false">B107*N('Debt Payoff'!D9)/12</f>
        <v>0</v>
      </c>
      <c r="K107" s="0" t="n">
        <f aca="false">C107*N('Debt Payoff'!D10)/12</f>
        <v>0</v>
      </c>
      <c r="L107" s="0" t="n">
        <f aca="false">D107*N('Debt Payoff'!D11)/12</f>
        <v>0</v>
      </c>
      <c r="M107" s="0" t="n">
        <f aca="false">E107*N('Debt Payoff'!D12)/12</f>
        <v>0</v>
      </c>
      <c r="N107" s="0" t="n">
        <f aca="false">F107*N('Debt Payoff'!D13)/12</f>
        <v>0</v>
      </c>
      <c r="O107" s="0" t="n">
        <f aca="false">G107*N('Debt Payoff'!D14)/12</f>
        <v>0</v>
      </c>
      <c r="P107" s="0" t="n">
        <f aca="false">H107*N('Debt Payoff'!D15)/12</f>
        <v>0</v>
      </c>
      <c r="Q107" s="0" t="n">
        <f aca="false">I107*N('Debt Payoff'!D16)/12</f>
        <v>0</v>
      </c>
      <c r="R107" s="0" t="n">
        <f aca="false">B107+J107</f>
        <v>0</v>
      </c>
      <c r="S107" s="0" t="n">
        <f aca="false">C107+K107</f>
        <v>0</v>
      </c>
      <c r="T107" s="0" t="n">
        <f aca="false">D107+L107</f>
        <v>0</v>
      </c>
      <c r="U107" s="0" t="n">
        <f aca="false">E107+M107</f>
        <v>0</v>
      </c>
      <c r="V107" s="0" t="n">
        <f aca="false">F107+N107</f>
        <v>0</v>
      </c>
      <c r="W107" s="0" t="n">
        <f aca="false">G107+O107</f>
        <v>0</v>
      </c>
      <c r="X107" s="0" t="n">
        <f aca="false">H107+P107</f>
        <v>0</v>
      </c>
      <c r="Y107" s="0" t="n">
        <f aca="false">I107+Q107</f>
        <v>0</v>
      </c>
      <c r="Z107" s="0" t="n">
        <f aca="false">MIN(R107,N('Debt Payoff'!E9))</f>
        <v>0</v>
      </c>
      <c r="AA107" s="0" t="n">
        <f aca="false">MIN(S107,N('Debt Payoff'!E10))</f>
        <v>0</v>
      </c>
      <c r="AB107" s="0" t="n">
        <f aca="false">MIN(T107,N('Debt Payoff'!E11))</f>
        <v>0</v>
      </c>
      <c r="AC107" s="0" t="n">
        <f aca="false">MIN(U107,N('Debt Payoff'!E12))</f>
        <v>0</v>
      </c>
      <c r="AD107" s="0" t="n">
        <f aca="false">MIN(V107,N('Debt Payoff'!E13))</f>
        <v>0</v>
      </c>
      <c r="AE107" s="0" t="n">
        <f aca="false">MIN(W107,N('Debt Payoff'!E14))</f>
        <v>0</v>
      </c>
      <c r="AF107" s="0" t="n">
        <f aca="false">MIN(X107,N('Debt Payoff'!E15))</f>
        <v>0</v>
      </c>
      <c r="AG107" s="0" t="n">
        <f aca="false">MIN(Y107,N('Debt Payoff'!E16))</f>
        <v>0</v>
      </c>
      <c r="AH107" s="0" t="n">
        <f aca="false">R107-Z107</f>
        <v>0</v>
      </c>
      <c r="AI107" s="0" t="n">
        <f aca="false">S107-AA107</f>
        <v>0</v>
      </c>
      <c r="AJ107" s="0" t="n">
        <f aca="false">T107-AB107</f>
        <v>0</v>
      </c>
      <c r="AK107" s="0" t="n">
        <f aca="false">U107-AC107</f>
        <v>0</v>
      </c>
      <c r="AL107" s="0" t="n">
        <f aca="false">V107-AD107</f>
        <v>0</v>
      </c>
      <c r="AM107" s="0" t="n">
        <f aca="false">W107-AE107</f>
        <v>0</v>
      </c>
      <c r="AN107" s="0" t="n">
        <f aca="false">X107-AF107</f>
        <v>0</v>
      </c>
      <c r="AO107" s="0" t="n">
        <f aca="false">Y107-AG107</f>
        <v>0</v>
      </c>
      <c r="AP107" s="0" t="n">
        <f aca="false">MAX(0,'Debt Payoff'!$D$17-SUM(Z107:AG107))</f>
        <v>805</v>
      </c>
      <c r="AQ107" s="0" t="n">
        <f aca="false">MIN(AH107,MAX(0,$AP107-SUMPRODUCT(($AH$1:$AO$1&lt;AH$1)*$AH107:$AO107)))</f>
        <v>0</v>
      </c>
      <c r="AR107" s="0" t="n">
        <f aca="false">MIN(AI107,MAX(0,$AP107-SUMPRODUCT(($AH$1:$AO$1&lt;AI$1)*$AH107:$AO107)))</f>
        <v>0</v>
      </c>
      <c r="AS107" s="0" t="n">
        <f aca="false">MIN(AJ107,MAX(0,$AP107-SUMPRODUCT(($AH$1:$AO$1&lt;AJ$1)*$AH107:$AO107)))</f>
        <v>0</v>
      </c>
      <c r="AT107" s="0" t="n">
        <f aca="false">MIN(AK107,MAX(0,$AP107-SUMPRODUCT(($AH$1:$AO$1&lt;AK$1)*$AH107:$AO107)))</f>
        <v>0</v>
      </c>
      <c r="AU107" s="0" t="n">
        <f aca="false">MIN(AL107,MAX(0,$AP107-SUMPRODUCT(($AH$1:$AO$1&lt;AL$1)*$AH107:$AO107)))</f>
        <v>0</v>
      </c>
      <c r="AV107" s="0" t="n">
        <f aca="false">MIN(AM107,MAX(0,$AP107-SUMPRODUCT(($AH$1:$AO$1&lt;AM$1)*$AH107:$AO107)))</f>
        <v>0</v>
      </c>
      <c r="AW107" s="0" t="n">
        <f aca="false">MIN(AN107,MAX(0,$AP107-SUMPRODUCT(($AH$1:$AO$1&lt;AN$1)*$AH107:$AO107)))</f>
        <v>0</v>
      </c>
      <c r="AX107" s="0" t="n">
        <f aca="false">MIN(AO107,MAX(0,$AP107-SUMPRODUCT(($AH$1:$AO$1&lt;AO$1)*$AH107:$AO107)))</f>
        <v>0</v>
      </c>
      <c r="AY107" s="0" t="n">
        <f aca="false">ROUND(AH107-AQ107,2)</f>
        <v>0</v>
      </c>
      <c r="AZ107" s="0" t="n">
        <f aca="false">ROUND(AI107-AR107,2)</f>
        <v>0</v>
      </c>
      <c r="BA107" s="0" t="n">
        <f aca="false">ROUND(AJ107-AS107,2)</f>
        <v>0</v>
      </c>
      <c r="BB107" s="0" t="n">
        <f aca="false">ROUND(AK107-AT107,2)</f>
        <v>0</v>
      </c>
      <c r="BC107" s="0" t="n">
        <f aca="false">ROUND(AL107-AU107,2)</f>
        <v>0</v>
      </c>
      <c r="BD107" s="0" t="n">
        <f aca="false">ROUND(AM107-AV107,2)</f>
        <v>0</v>
      </c>
      <c r="BE107" s="0" t="n">
        <f aca="false">ROUND(AN107-AW107,2)</f>
        <v>0</v>
      </c>
      <c r="BF107" s="0" t="n">
        <f aca="false">ROUND(AO107-AX107,2)</f>
        <v>0</v>
      </c>
      <c r="BG107" s="0" t="n">
        <f aca="false">SUM(AY107:BF107)</f>
        <v>0</v>
      </c>
    </row>
    <row r="108" customFormat="false" ht="15" hidden="false" customHeight="false" outlineLevel="0" collapsed="false">
      <c r="A108" s="0" t="n">
        <v>106</v>
      </c>
      <c r="B108" s="0" t="n">
        <f aca="false">AY107</f>
        <v>0</v>
      </c>
      <c r="C108" s="0" t="n">
        <f aca="false">AZ107</f>
        <v>0</v>
      </c>
      <c r="D108" s="0" t="n">
        <f aca="false">BA107</f>
        <v>0</v>
      </c>
      <c r="E108" s="0" t="n">
        <f aca="false">BB107</f>
        <v>0</v>
      </c>
      <c r="F108" s="0" t="n">
        <f aca="false">BC107</f>
        <v>0</v>
      </c>
      <c r="G108" s="0" t="n">
        <f aca="false">BD107</f>
        <v>0</v>
      </c>
      <c r="H108" s="0" t="n">
        <f aca="false">BE107</f>
        <v>0</v>
      </c>
      <c r="I108" s="0" t="n">
        <f aca="false">BF107</f>
        <v>0</v>
      </c>
      <c r="J108" s="0" t="n">
        <f aca="false">B108*N('Debt Payoff'!D9)/12</f>
        <v>0</v>
      </c>
      <c r="K108" s="0" t="n">
        <f aca="false">C108*N('Debt Payoff'!D10)/12</f>
        <v>0</v>
      </c>
      <c r="L108" s="0" t="n">
        <f aca="false">D108*N('Debt Payoff'!D11)/12</f>
        <v>0</v>
      </c>
      <c r="M108" s="0" t="n">
        <f aca="false">E108*N('Debt Payoff'!D12)/12</f>
        <v>0</v>
      </c>
      <c r="N108" s="0" t="n">
        <f aca="false">F108*N('Debt Payoff'!D13)/12</f>
        <v>0</v>
      </c>
      <c r="O108" s="0" t="n">
        <f aca="false">G108*N('Debt Payoff'!D14)/12</f>
        <v>0</v>
      </c>
      <c r="P108" s="0" t="n">
        <f aca="false">H108*N('Debt Payoff'!D15)/12</f>
        <v>0</v>
      </c>
      <c r="Q108" s="0" t="n">
        <f aca="false">I108*N('Debt Payoff'!D16)/12</f>
        <v>0</v>
      </c>
      <c r="R108" s="0" t="n">
        <f aca="false">B108+J108</f>
        <v>0</v>
      </c>
      <c r="S108" s="0" t="n">
        <f aca="false">C108+K108</f>
        <v>0</v>
      </c>
      <c r="T108" s="0" t="n">
        <f aca="false">D108+L108</f>
        <v>0</v>
      </c>
      <c r="U108" s="0" t="n">
        <f aca="false">E108+M108</f>
        <v>0</v>
      </c>
      <c r="V108" s="0" t="n">
        <f aca="false">F108+N108</f>
        <v>0</v>
      </c>
      <c r="W108" s="0" t="n">
        <f aca="false">G108+O108</f>
        <v>0</v>
      </c>
      <c r="X108" s="0" t="n">
        <f aca="false">H108+P108</f>
        <v>0</v>
      </c>
      <c r="Y108" s="0" t="n">
        <f aca="false">I108+Q108</f>
        <v>0</v>
      </c>
      <c r="Z108" s="0" t="n">
        <f aca="false">MIN(R108,N('Debt Payoff'!E9))</f>
        <v>0</v>
      </c>
      <c r="AA108" s="0" t="n">
        <f aca="false">MIN(S108,N('Debt Payoff'!E10))</f>
        <v>0</v>
      </c>
      <c r="AB108" s="0" t="n">
        <f aca="false">MIN(T108,N('Debt Payoff'!E11))</f>
        <v>0</v>
      </c>
      <c r="AC108" s="0" t="n">
        <f aca="false">MIN(U108,N('Debt Payoff'!E12))</f>
        <v>0</v>
      </c>
      <c r="AD108" s="0" t="n">
        <f aca="false">MIN(V108,N('Debt Payoff'!E13))</f>
        <v>0</v>
      </c>
      <c r="AE108" s="0" t="n">
        <f aca="false">MIN(W108,N('Debt Payoff'!E14))</f>
        <v>0</v>
      </c>
      <c r="AF108" s="0" t="n">
        <f aca="false">MIN(X108,N('Debt Payoff'!E15))</f>
        <v>0</v>
      </c>
      <c r="AG108" s="0" t="n">
        <f aca="false">MIN(Y108,N('Debt Payoff'!E16))</f>
        <v>0</v>
      </c>
      <c r="AH108" s="0" t="n">
        <f aca="false">R108-Z108</f>
        <v>0</v>
      </c>
      <c r="AI108" s="0" t="n">
        <f aca="false">S108-AA108</f>
        <v>0</v>
      </c>
      <c r="AJ108" s="0" t="n">
        <f aca="false">T108-AB108</f>
        <v>0</v>
      </c>
      <c r="AK108" s="0" t="n">
        <f aca="false">U108-AC108</f>
        <v>0</v>
      </c>
      <c r="AL108" s="0" t="n">
        <f aca="false">V108-AD108</f>
        <v>0</v>
      </c>
      <c r="AM108" s="0" t="n">
        <f aca="false">W108-AE108</f>
        <v>0</v>
      </c>
      <c r="AN108" s="0" t="n">
        <f aca="false">X108-AF108</f>
        <v>0</v>
      </c>
      <c r="AO108" s="0" t="n">
        <f aca="false">Y108-AG108</f>
        <v>0</v>
      </c>
      <c r="AP108" s="0" t="n">
        <f aca="false">MAX(0,'Debt Payoff'!$D$17-SUM(Z108:AG108))</f>
        <v>805</v>
      </c>
      <c r="AQ108" s="0" t="n">
        <f aca="false">MIN(AH108,MAX(0,$AP108-SUMPRODUCT(($AH$1:$AO$1&lt;AH$1)*$AH108:$AO108)))</f>
        <v>0</v>
      </c>
      <c r="AR108" s="0" t="n">
        <f aca="false">MIN(AI108,MAX(0,$AP108-SUMPRODUCT(($AH$1:$AO$1&lt;AI$1)*$AH108:$AO108)))</f>
        <v>0</v>
      </c>
      <c r="AS108" s="0" t="n">
        <f aca="false">MIN(AJ108,MAX(0,$AP108-SUMPRODUCT(($AH$1:$AO$1&lt;AJ$1)*$AH108:$AO108)))</f>
        <v>0</v>
      </c>
      <c r="AT108" s="0" t="n">
        <f aca="false">MIN(AK108,MAX(0,$AP108-SUMPRODUCT(($AH$1:$AO$1&lt;AK$1)*$AH108:$AO108)))</f>
        <v>0</v>
      </c>
      <c r="AU108" s="0" t="n">
        <f aca="false">MIN(AL108,MAX(0,$AP108-SUMPRODUCT(($AH$1:$AO$1&lt;AL$1)*$AH108:$AO108)))</f>
        <v>0</v>
      </c>
      <c r="AV108" s="0" t="n">
        <f aca="false">MIN(AM108,MAX(0,$AP108-SUMPRODUCT(($AH$1:$AO$1&lt;AM$1)*$AH108:$AO108)))</f>
        <v>0</v>
      </c>
      <c r="AW108" s="0" t="n">
        <f aca="false">MIN(AN108,MAX(0,$AP108-SUMPRODUCT(($AH$1:$AO$1&lt;AN$1)*$AH108:$AO108)))</f>
        <v>0</v>
      </c>
      <c r="AX108" s="0" t="n">
        <f aca="false">MIN(AO108,MAX(0,$AP108-SUMPRODUCT(($AH$1:$AO$1&lt;AO$1)*$AH108:$AO108)))</f>
        <v>0</v>
      </c>
      <c r="AY108" s="0" t="n">
        <f aca="false">ROUND(AH108-AQ108,2)</f>
        <v>0</v>
      </c>
      <c r="AZ108" s="0" t="n">
        <f aca="false">ROUND(AI108-AR108,2)</f>
        <v>0</v>
      </c>
      <c r="BA108" s="0" t="n">
        <f aca="false">ROUND(AJ108-AS108,2)</f>
        <v>0</v>
      </c>
      <c r="BB108" s="0" t="n">
        <f aca="false">ROUND(AK108-AT108,2)</f>
        <v>0</v>
      </c>
      <c r="BC108" s="0" t="n">
        <f aca="false">ROUND(AL108-AU108,2)</f>
        <v>0</v>
      </c>
      <c r="BD108" s="0" t="n">
        <f aca="false">ROUND(AM108-AV108,2)</f>
        <v>0</v>
      </c>
      <c r="BE108" s="0" t="n">
        <f aca="false">ROUND(AN108-AW108,2)</f>
        <v>0</v>
      </c>
      <c r="BF108" s="0" t="n">
        <f aca="false">ROUND(AO108-AX108,2)</f>
        <v>0</v>
      </c>
      <c r="BG108" s="0" t="n">
        <f aca="false">SUM(AY108:BF108)</f>
        <v>0</v>
      </c>
    </row>
    <row r="109" customFormat="false" ht="15" hidden="false" customHeight="false" outlineLevel="0" collapsed="false">
      <c r="A109" s="0" t="n">
        <v>107</v>
      </c>
      <c r="B109" s="0" t="n">
        <f aca="false">AY108</f>
        <v>0</v>
      </c>
      <c r="C109" s="0" t="n">
        <f aca="false">AZ108</f>
        <v>0</v>
      </c>
      <c r="D109" s="0" t="n">
        <f aca="false">BA108</f>
        <v>0</v>
      </c>
      <c r="E109" s="0" t="n">
        <f aca="false">BB108</f>
        <v>0</v>
      </c>
      <c r="F109" s="0" t="n">
        <f aca="false">BC108</f>
        <v>0</v>
      </c>
      <c r="G109" s="0" t="n">
        <f aca="false">BD108</f>
        <v>0</v>
      </c>
      <c r="H109" s="0" t="n">
        <f aca="false">BE108</f>
        <v>0</v>
      </c>
      <c r="I109" s="0" t="n">
        <f aca="false">BF108</f>
        <v>0</v>
      </c>
      <c r="J109" s="0" t="n">
        <f aca="false">B109*N('Debt Payoff'!D9)/12</f>
        <v>0</v>
      </c>
      <c r="K109" s="0" t="n">
        <f aca="false">C109*N('Debt Payoff'!D10)/12</f>
        <v>0</v>
      </c>
      <c r="L109" s="0" t="n">
        <f aca="false">D109*N('Debt Payoff'!D11)/12</f>
        <v>0</v>
      </c>
      <c r="M109" s="0" t="n">
        <f aca="false">E109*N('Debt Payoff'!D12)/12</f>
        <v>0</v>
      </c>
      <c r="N109" s="0" t="n">
        <f aca="false">F109*N('Debt Payoff'!D13)/12</f>
        <v>0</v>
      </c>
      <c r="O109" s="0" t="n">
        <f aca="false">G109*N('Debt Payoff'!D14)/12</f>
        <v>0</v>
      </c>
      <c r="P109" s="0" t="n">
        <f aca="false">H109*N('Debt Payoff'!D15)/12</f>
        <v>0</v>
      </c>
      <c r="Q109" s="0" t="n">
        <f aca="false">I109*N('Debt Payoff'!D16)/12</f>
        <v>0</v>
      </c>
      <c r="R109" s="0" t="n">
        <f aca="false">B109+J109</f>
        <v>0</v>
      </c>
      <c r="S109" s="0" t="n">
        <f aca="false">C109+K109</f>
        <v>0</v>
      </c>
      <c r="T109" s="0" t="n">
        <f aca="false">D109+L109</f>
        <v>0</v>
      </c>
      <c r="U109" s="0" t="n">
        <f aca="false">E109+M109</f>
        <v>0</v>
      </c>
      <c r="V109" s="0" t="n">
        <f aca="false">F109+N109</f>
        <v>0</v>
      </c>
      <c r="W109" s="0" t="n">
        <f aca="false">G109+O109</f>
        <v>0</v>
      </c>
      <c r="X109" s="0" t="n">
        <f aca="false">H109+P109</f>
        <v>0</v>
      </c>
      <c r="Y109" s="0" t="n">
        <f aca="false">I109+Q109</f>
        <v>0</v>
      </c>
      <c r="Z109" s="0" t="n">
        <f aca="false">MIN(R109,N('Debt Payoff'!E9))</f>
        <v>0</v>
      </c>
      <c r="AA109" s="0" t="n">
        <f aca="false">MIN(S109,N('Debt Payoff'!E10))</f>
        <v>0</v>
      </c>
      <c r="AB109" s="0" t="n">
        <f aca="false">MIN(T109,N('Debt Payoff'!E11))</f>
        <v>0</v>
      </c>
      <c r="AC109" s="0" t="n">
        <f aca="false">MIN(U109,N('Debt Payoff'!E12))</f>
        <v>0</v>
      </c>
      <c r="AD109" s="0" t="n">
        <f aca="false">MIN(V109,N('Debt Payoff'!E13))</f>
        <v>0</v>
      </c>
      <c r="AE109" s="0" t="n">
        <f aca="false">MIN(W109,N('Debt Payoff'!E14))</f>
        <v>0</v>
      </c>
      <c r="AF109" s="0" t="n">
        <f aca="false">MIN(X109,N('Debt Payoff'!E15))</f>
        <v>0</v>
      </c>
      <c r="AG109" s="0" t="n">
        <f aca="false">MIN(Y109,N('Debt Payoff'!E16))</f>
        <v>0</v>
      </c>
      <c r="AH109" s="0" t="n">
        <f aca="false">R109-Z109</f>
        <v>0</v>
      </c>
      <c r="AI109" s="0" t="n">
        <f aca="false">S109-AA109</f>
        <v>0</v>
      </c>
      <c r="AJ109" s="0" t="n">
        <f aca="false">T109-AB109</f>
        <v>0</v>
      </c>
      <c r="AK109" s="0" t="n">
        <f aca="false">U109-AC109</f>
        <v>0</v>
      </c>
      <c r="AL109" s="0" t="n">
        <f aca="false">V109-AD109</f>
        <v>0</v>
      </c>
      <c r="AM109" s="0" t="n">
        <f aca="false">W109-AE109</f>
        <v>0</v>
      </c>
      <c r="AN109" s="0" t="n">
        <f aca="false">X109-AF109</f>
        <v>0</v>
      </c>
      <c r="AO109" s="0" t="n">
        <f aca="false">Y109-AG109</f>
        <v>0</v>
      </c>
      <c r="AP109" s="0" t="n">
        <f aca="false">MAX(0,'Debt Payoff'!$D$17-SUM(Z109:AG109))</f>
        <v>805</v>
      </c>
      <c r="AQ109" s="0" t="n">
        <f aca="false">MIN(AH109,MAX(0,$AP109-SUMPRODUCT(($AH$1:$AO$1&lt;AH$1)*$AH109:$AO109)))</f>
        <v>0</v>
      </c>
      <c r="AR109" s="0" t="n">
        <f aca="false">MIN(AI109,MAX(0,$AP109-SUMPRODUCT(($AH$1:$AO$1&lt;AI$1)*$AH109:$AO109)))</f>
        <v>0</v>
      </c>
      <c r="AS109" s="0" t="n">
        <f aca="false">MIN(AJ109,MAX(0,$AP109-SUMPRODUCT(($AH$1:$AO$1&lt;AJ$1)*$AH109:$AO109)))</f>
        <v>0</v>
      </c>
      <c r="AT109" s="0" t="n">
        <f aca="false">MIN(AK109,MAX(0,$AP109-SUMPRODUCT(($AH$1:$AO$1&lt;AK$1)*$AH109:$AO109)))</f>
        <v>0</v>
      </c>
      <c r="AU109" s="0" t="n">
        <f aca="false">MIN(AL109,MAX(0,$AP109-SUMPRODUCT(($AH$1:$AO$1&lt;AL$1)*$AH109:$AO109)))</f>
        <v>0</v>
      </c>
      <c r="AV109" s="0" t="n">
        <f aca="false">MIN(AM109,MAX(0,$AP109-SUMPRODUCT(($AH$1:$AO$1&lt;AM$1)*$AH109:$AO109)))</f>
        <v>0</v>
      </c>
      <c r="AW109" s="0" t="n">
        <f aca="false">MIN(AN109,MAX(0,$AP109-SUMPRODUCT(($AH$1:$AO$1&lt;AN$1)*$AH109:$AO109)))</f>
        <v>0</v>
      </c>
      <c r="AX109" s="0" t="n">
        <f aca="false">MIN(AO109,MAX(0,$AP109-SUMPRODUCT(($AH$1:$AO$1&lt;AO$1)*$AH109:$AO109)))</f>
        <v>0</v>
      </c>
      <c r="AY109" s="0" t="n">
        <f aca="false">ROUND(AH109-AQ109,2)</f>
        <v>0</v>
      </c>
      <c r="AZ109" s="0" t="n">
        <f aca="false">ROUND(AI109-AR109,2)</f>
        <v>0</v>
      </c>
      <c r="BA109" s="0" t="n">
        <f aca="false">ROUND(AJ109-AS109,2)</f>
        <v>0</v>
      </c>
      <c r="BB109" s="0" t="n">
        <f aca="false">ROUND(AK109-AT109,2)</f>
        <v>0</v>
      </c>
      <c r="BC109" s="0" t="n">
        <f aca="false">ROUND(AL109-AU109,2)</f>
        <v>0</v>
      </c>
      <c r="BD109" s="0" t="n">
        <f aca="false">ROUND(AM109-AV109,2)</f>
        <v>0</v>
      </c>
      <c r="BE109" s="0" t="n">
        <f aca="false">ROUND(AN109-AW109,2)</f>
        <v>0</v>
      </c>
      <c r="BF109" s="0" t="n">
        <f aca="false">ROUND(AO109-AX109,2)</f>
        <v>0</v>
      </c>
      <c r="BG109" s="0" t="n">
        <f aca="false">SUM(AY109:BF109)</f>
        <v>0</v>
      </c>
    </row>
    <row r="110" customFormat="false" ht="15" hidden="false" customHeight="false" outlineLevel="0" collapsed="false">
      <c r="A110" s="0" t="n">
        <v>108</v>
      </c>
      <c r="B110" s="0" t="n">
        <f aca="false">AY109</f>
        <v>0</v>
      </c>
      <c r="C110" s="0" t="n">
        <f aca="false">AZ109</f>
        <v>0</v>
      </c>
      <c r="D110" s="0" t="n">
        <f aca="false">BA109</f>
        <v>0</v>
      </c>
      <c r="E110" s="0" t="n">
        <f aca="false">BB109</f>
        <v>0</v>
      </c>
      <c r="F110" s="0" t="n">
        <f aca="false">BC109</f>
        <v>0</v>
      </c>
      <c r="G110" s="0" t="n">
        <f aca="false">BD109</f>
        <v>0</v>
      </c>
      <c r="H110" s="0" t="n">
        <f aca="false">BE109</f>
        <v>0</v>
      </c>
      <c r="I110" s="0" t="n">
        <f aca="false">BF109</f>
        <v>0</v>
      </c>
      <c r="J110" s="0" t="n">
        <f aca="false">B110*N('Debt Payoff'!D9)/12</f>
        <v>0</v>
      </c>
      <c r="K110" s="0" t="n">
        <f aca="false">C110*N('Debt Payoff'!D10)/12</f>
        <v>0</v>
      </c>
      <c r="L110" s="0" t="n">
        <f aca="false">D110*N('Debt Payoff'!D11)/12</f>
        <v>0</v>
      </c>
      <c r="M110" s="0" t="n">
        <f aca="false">E110*N('Debt Payoff'!D12)/12</f>
        <v>0</v>
      </c>
      <c r="N110" s="0" t="n">
        <f aca="false">F110*N('Debt Payoff'!D13)/12</f>
        <v>0</v>
      </c>
      <c r="O110" s="0" t="n">
        <f aca="false">G110*N('Debt Payoff'!D14)/12</f>
        <v>0</v>
      </c>
      <c r="P110" s="0" t="n">
        <f aca="false">H110*N('Debt Payoff'!D15)/12</f>
        <v>0</v>
      </c>
      <c r="Q110" s="0" t="n">
        <f aca="false">I110*N('Debt Payoff'!D16)/12</f>
        <v>0</v>
      </c>
      <c r="R110" s="0" t="n">
        <f aca="false">B110+J110</f>
        <v>0</v>
      </c>
      <c r="S110" s="0" t="n">
        <f aca="false">C110+K110</f>
        <v>0</v>
      </c>
      <c r="T110" s="0" t="n">
        <f aca="false">D110+L110</f>
        <v>0</v>
      </c>
      <c r="U110" s="0" t="n">
        <f aca="false">E110+M110</f>
        <v>0</v>
      </c>
      <c r="V110" s="0" t="n">
        <f aca="false">F110+N110</f>
        <v>0</v>
      </c>
      <c r="W110" s="0" t="n">
        <f aca="false">G110+O110</f>
        <v>0</v>
      </c>
      <c r="X110" s="0" t="n">
        <f aca="false">H110+P110</f>
        <v>0</v>
      </c>
      <c r="Y110" s="0" t="n">
        <f aca="false">I110+Q110</f>
        <v>0</v>
      </c>
      <c r="Z110" s="0" t="n">
        <f aca="false">MIN(R110,N('Debt Payoff'!E9))</f>
        <v>0</v>
      </c>
      <c r="AA110" s="0" t="n">
        <f aca="false">MIN(S110,N('Debt Payoff'!E10))</f>
        <v>0</v>
      </c>
      <c r="AB110" s="0" t="n">
        <f aca="false">MIN(T110,N('Debt Payoff'!E11))</f>
        <v>0</v>
      </c>
      <c r="AC110" s="0" t="n">
        <f aca="false">MIN(U110,N('Debt Payoff'!E12))</f>
        <v>0</v>
      </c>
      <c r="AD110" s="0" t="n">
        <f aca="false">MIN(V110,N('Debt Payoff'!E13))</f>
        <v>0</v>
      </c>
      <c r="AE110" s="0" t="n">
        <f aca="false">MIN(W110,N('Debt Payoff'!E14))</f>
        <v>0</v>
      </c>
      <c r="AF110" s="0" t="n">
        <f aca="false">MIN(X110,N('Debt Payoff'!E15))</f>
        <v>0</v>
      </c>
      <c r="AG110" s="0" t="n">
        <f aca="false">MIN(Y110,N('Debt Payoff'!E16))</f>
        <v>0</v>
      </c>
      <c r="AH110" s="0" t="n">
        <f aca="false">R110-Z110</f>
        <v>0</v>
      </c>
      <c r="AI110" s="0" t="n">
        <f aca="false">S110-AA110</f>
        <v>0</v>
      </c>
      <c r="AJ110" s="0" t="n">
        <f aca="false">T110-AB110</f>
        <v>0</v>
      </c>
      <c r="AK110" s="0" t="n">
        <f aca="false">U110-AC110</f>
        <v>0</v>
      </c>
      <c r="AL110" s="0" t="n">
        <f aca="false">V110-AD110</f>
        <v>0</v>
      </c>
      <c r="AM110" s="0" t="n">
        <f aca="false">W110-AE110</f>
        <v>0</v>
      </c>
      <c r="AN110" s="0" t="n">
        <f aca="false">X110-AF110</f>
        <v>0</v>
      </c>
      <c r="AO110" s="0" t="n">
        <f aca="false">Y110-AG110</f>
        <v>0</v>
      </c>
      <c r="AP110" s="0" t="n">
        <f aca="false">MAX(0,'Debt Payoff'!$D$17-SUM(Z110:AG110))</f>
        <v>805</v>
      </c>
      <c r="AQ110" s="0" t="n">
        <f aca="false">MIN(AH110,MAX(0,$AP110-SUMPRODUCT(($AH$1:$AO$1&lt;AH$1)*$AH110:$AO110)))</f>
        <v>0</v>
      </c>
      <c r="AR110" s="0" t="n">
        <f aca="false">MIN(AI110,MAX(0,$AP110-SUMPRODUCT(($AH$1:$AO$1&lt;AI$1)*$AH110:$AO110)))</f>
        <v>0</v>
      </c>
      <c r="AS110" s="0" t="n">
        <f aca="false">MIN(AJ110,MAX(0,$AP110-SUMPRODUCT(($AH$1:$AO$1&lt;AJ$1)*$AH110:$AO110)))</f>
        <v>0</v>
      </c>
      <c r="AT110" s="0" t="n">
        <f aca="false">MIN(AK110,MAX(0,$AP110-SUMPRODUCT(($AH$1:$AO$1&lt;AK$1)*$AH110:$AO110)))</f>
        <v>0</v>
      </c>
      <c r="AU110" s="0" t="n">
        <f aca="false">MIN(AL110,MAX(0,$AP110-SUMPRODUCT(($AH$1:$AO$1&lt;AL$1)*$AH110:$AO110)))</f>
        <v>0</v>
      </c>
      <c r="AV110" s="0" t="n">
        <f aca="false">MIN(AM110,MAX(0,$AP110-SUMPRODUCT(($AH$1:$AO$1&lt;AM$1)*$AH110:$AO110)))</f>
        <v>0</v>
      </c>
      <c r="AW110" s="0" t="n">
        <f aca="false">MIN(AN110,MAX(0,$AP110-SUMPRODUCT(($AH$1:$AO$1&lt;AN$1)*$AH110:$AO110)))</f>
        <v>0</v>
      </c>
      <c r="AX110" s="0" t="n">
        <f aca="false">MIN(AO110,MAX(0,$AP110-SUMPRODUCT(($AH$1:$AO$1&lt;AO$1)*$AH110:$AO110)))</f>
        <v>0</v>
      </c>
      <c r="AY110" s="0" t="n">
        <f aca="false">ROUND(AH110-AQ110,2)</f>
        <v>0</v>
      </c>
      <c r="AZ110" s="0" t="n">
        <f aca="false">ROUND(AI110-AR110,2)</f>
        <v>0</v>
      </c>
      <c r="BA110" s="0" t="n">
        <f aca="false">ROUND(AJ110-AS110,2)</f>
        <v>0</v>
      </c>
      <c r="BB110" s="0" t="n">
        <f aca="false">ROUND(AK110-AT110,2)</f>
        <v>0</v>
      </c>
      <c r="BC110" s="0" t="n">
        <f aca="false">ROUND(AL110-AU110,2)</f>
        <v>0</v>
      </c>
      <c r="BD110" s="0" t="n">
        <f aca="false">ROUND(AM110-AV110,2)</f>
        <v>0</v>
      </c>
      <c r="BE110" s="0" t="n">
        <f aca="false">ROUND(AN110-AW110,2)</f>
        <v>0</v>
      </c>
      <c r="BF110" s="0" t="n">
        <f aca="false">ROUND(AO110-AX110,2)</f>
        <v>0</v>
      </c>
      <c r="BG110" s="0" t="n">
        <f aca="false">SUM(AY110:BF110)</f>
        <v>0</v>
      </c>
    </row>
    <row r="111" customFormat="false" ht="15" hidden="false" customHeight="false" outlineLevel="0" collapsed="false">
      <c r="A111" s="0" t="n">
        <v>109</v>
      </c>
      <c r="B111" s="0" t="n">
        <f aca="false">AY110</f>
        <v>0</v>
      </c>
      <c r="C111" s="0" t="n">
        <f aca="false">AZ110</f>
        <v>0</v>
      </c>
      <c r="D111" s="0" t="n">
        <f aca="false">BA110</f>
        <v>0</v>
      </c>
      <c r="E111" s="0" t="n">
        <f aca="false">BB110</f>
        <v>0</v>
      </c>
      <c r="F111" s="0" t="n">
        <f aca="false">BC110</f>
        <v>0</v>
      </c>
      <c r="G111" s="0" t="n">
        <f aca="false">BD110</f>
        <v>0</v>
      </c>
      <c r="H111" s="0" t="n">
        <f aca="false">BE110</f>
        <v>0</v>
      </c>
      <c r="I111" s="0" t="n">
        <f aca="false">BF110</f>
        <v>0</v>
      </c>
      <c r="J111" s="0" t="n">
        <f aca="false">B111*N('Debt Payoff'!D9)/12</f>
        <v>0</v>
      </c>
      <c r="K111" s="0" t="n">
        <f aca="false">C111*N('Debt Payoff'!D10)/12</f>
        <v>0</v>
      </c>
      <c r="L111" s="0" t="n">
        <f aca="false">D111*N('Debt Payoff'!D11)/12</f>
        <v>0</v>
      </c>
      <c r="M111" s="0" t="n">
        <f aca="false">E111*N('Debt Payoff'!D12)/12</f>
        <v>0</v>
      </c>
      <c r="N111" s="0" t="n">
        <f aca="false">F111*N('Debt Payoff'!D13)/12</f>
        <v>0</v>
      </c>
      <c r="O111" s="0" t="n">
        <f aca="false">G111*N('Debt Payoff'!D14)/12</f>
        <v>0</v>
      </c>
      <c r="P111" s="0" t="n">
        <f aca="false">H111*N('Debt Payoff'!D15)/12</f>
        <v>0</v>
      </c>
      <c r="Q111" s="0" t="n">
        <f aca="false">I111*N('Debt Payoff'!D16)/12</f>
        <v>0</v>
      </c>
      <c r="R111" s="0" t="n">
        <f aca="false">B111+J111</f>
        <v>0</v>
      </c>
      <c r="S111" s="0" t="n">
        <f aca="false">C111+K111</f>
        <v>0</v>
      </c>
      <c r="T111" s="0" t="n">
        <f aca="false">D111+L111</f>
        <v>0</v>
      </c>
      <c r="U111" s="0" t="n">
        <f aca="false">E111+M111</f>
        <v>0</v>
      </c>
      <c r="V111" s="0" t="n">
        <f aca="false">F111+N111</f>
        <v>0</v>
      </c>
      <c r="W111" s="0" t="n">
        <f aca="false">G111+O111</f>
        <v>0</v>
      </c>
      <c r="X111" s="0" t="n">
        <f aca="false">H111+P111</f>
        <v>0</v>
      </c>
      <c r="Y111" s="0" t="n">
        <f aca="false">I111+Q111</f>
        <v>0</v>
      </c>
      <c r="Z111" s="0" t="n">
        <f aca="false">MIN(R111,N('Debt Payoff'!E9))</f>
        <v>0</v>
      </c>
      <c r="AA111" s="0" t="n">
        <f aca="false">MIN(S111,N('Debt Payoff'!E10))</f>
        <v>0</v>
      </c>
      <c r="AB111" s="0" t="n">
        <f aca="false">MIN(T111,N('Debt Payoff'!E11))</f>
        <v>0</v>
      </c>
      <c r="AC111" s="0" t="n">
        <f aca="false">MIN(U111,N('Debt Payoff'!E12))</f>
        <v>0</v>
      </c>
      <c r="AD111" s="0" t="n">
        <f aca="false">MIN(V111,N('Debt Payoff'!E13))</f>
        <v>0</v>
      </c>
      <c r="AE111" s="0" t="n">
        <f aca="false">MIN(W111,N('Debt Payoff'!E14))</f>
        <v>0</v>
      </c>
      <c r="AF111" s="0" t="n">
        <f aca="false">MIN(X111,N('Debt Payoff'!E15))</f>
        <v>0</v>
      </c>
      <c r="AG111" s="0" t="n">
        <f aca="false">MIN(Y111,N('Debt Payoff'!E16))</f>
        <v>0</v>
      </c>
      <c r="AH111" s="0" t="n">
        <f aca="false">R111-Z111</f>
        <v>0</v>
      </c>
      <c r="AI111" s="0" t="n">
        <f aca="false">S111-AA111</f>
        <v>0</v>
      </c>
      <c r="AJ111" s="0" t="n">
        <f aca="false">T111-AB111</f>
        <v>0</v>
      </c>
      <c r="AK111" s="0" t="n">
        <f aca="false">U111-AC111</f>
        <v>0</v>
      </c>
      <c r="AL111" s="0" t="n">
        <f aca="false">V111-AD111</f>
        <v>0</v>
      </c>
      <c r="AM111" s="0" t="n">
        <f aca="false">W111-AE111</f>
        <v>0</v>
      </c>
      <c r="AN111" s="0" t="n">
        <f aca="false">X111-AF111</f>
        <v>0</v>
      </c>
      <c r="AO111" s="0" t="n">
        <f aca="false">Y111-AG111</f>
        <v>0</v>
      </c>
      <c r="AP111" s="0" t="n">
        <f aca="false">MAX(0,'Debt Payoff'!$D$17-SUM(Z111:AG111))</f>
        <v>805</v>
      </c>
      <c r="AQ111" s="0" t="n">
        <f aca="false">MIN(AH111,MAX(0,$AP111-SUMPRODUCT(($AH$1:$AO$1&lt;AH$1)*$AH111:$AO111)))</f>
        <v>0</v>
      </c>
      <c r="AR111" s="0" t="n">
        <f aca="false">MIN(AI111,MAX(0,$AP111-SUMPRODUCT(($AH$1:$AO$1&lt;AI$1)*$AH111:$AO111)))</f>
        <v>0</v>
      </c>
      <c r="AS111" s="0" t="n">
        <f aca="false">MIN(AJ111,MAX(0,$AP111-SUMPRODUCT(($AH$1:$AO$1&lt;AJ$1)*$AH111:$AO111)))</f>
        <v>0</v>
      </c>
      <c r="AT111" s="0" t="n">
        <f aca="false">MIN(AK111,MAX(0,$AP111-SUMPRODUCT(($AH$1:$AO$1&lt;AK$1)*$AH111:$AO111)))</f>
        <v>0</v>
      </c>
      <c r="AU111" s="0" t="n">
        <f aca="false">MIN(AL111,MAX(0,$AP111-SUMPRODUCT(($AH$1:$AO$1&lt;AL$1)*$AH111:$AO111)))</f>
        <v>0</v>
      </c>
      <c r="AV111" s="0" t="n">
        <f aca="false">MIN(AM111,MAX(0,$AP111-SUMPRODUCT(($AH$1:$AO$1&lt;AM$1)*$AH111:$AO111)))</f>
        <v>0</v>
      </c>
      <c r="AW111" s="0" t="n">
        <f aca="false">MIN(AN111,MAX(0,$AP111-SUMPRODUCT(($AH$1:$AO$1&lt;AN$1)*$AH111:$AO111)))</f>
        <v>0</v>
      </c>
      <c r="AX111" s="0" t="n">
        <f aca="false">MIN(AO111,MAX(0,$AP111-SUMPRODUCT(($AH$1:$AO$1&lt;AO$1)*$AH111:$AO111)))</f>
        <v>0</v>
      </c>
      <c r="AY111" s="0" t="n">
        <f aca="false">ROUND(AH111-AQ111,2)</f>
        <v>0</v>
      </c>
      <c r="AZ111" s="0" t="n">
        <f aca="false">ROUND(AI111-AR111,2)</f>
        <v>0</v>
      </c>
      <c r="BA111" s="0" t="n">
        <f aca="false">ROUND(AJ111-AS111,2)</f>
        <v>0</v>
      </c>
      <c r="BB111" s="0" t="n">
        <f aca="false">ROUND(AK111-AT111,2)</f>
        <v>0</v>
      </c>
      <c r="BC111" s="0" t="n">
        <f aca="false">ROUND(AL111-AU111,2)</f>
        <v>0</v>
      </c>
      <c r="BD111" s="0" t="n">
        <f aca="false">ROUND(AM111-AV111,2)</f>
        <v>0</v>
      </c>
      <c r="BE111" s="0" t="n">
        <f aca="false">ROUND(AN111-AW111,2)</f>
        <v>0</v>
      </c>
      <c r="BF111" s="0" t="n">
        <f aca="false">ROUND(AO111-AX111,2)</f>
        <v>0</v>
      </c>
      <c r="BG111" s="0" t="n">
        <f aca="false">SUM(AY111:BF111)</f>
        <v>0</v>
      </c>
    </row>
    <row r="112" customFormat="false" ht="15" hidden="false" customHeight="false" outlineLevel="0" collapsed="false">
      <c r="A112" s="0" t="n">
        <v>110</v>
      </c>
      <c r="B112" s="0" t="n">
        <f aca="false">AY111</f>
        <v>0</v>
      </c>
      <c r="C112" s="0" t="n">
        <f aca="false">AZ111</f>
        <v>0</v>
      </c>
      <c r="D112" s="0" t="n">
        <f aca="false">BA111</f>
        <v>0</v>
      </c>
      <c r="E112" s="0" t="n">
        <f aca="false">BB111</f>
        <v>0</v>
      </c>
      <c r="F112" s="0" t="n">
        <f aca="false">BC111</f>
        <v>0</v>
      </c>
      <c r="G112" s="0" t="n">
        <f aca="false">BD111</f>
        <v>0</v>
      </c>
      <c r="H112" s="0" t="n">
        <f aca="false">BE111</f>
        <v>0</v>
      </c>
      <c r="I112" s="0" t="n">
        <f aca="false">BF111</f>
        <v>0</v>
      </c>
      <c r="J112" s="0" t="n">
        <f aca="false">B112*N('Debt Payoff'!D9)/12</f>
        <v>0</v>
      </c>
      <c r="K112" s="0" t="n">
        <f aca="false">C112*N('Debt Payoff'!D10)/12</f>
        <v>0</v>
      </c>
      <c r="L112" s="0" t="n">
        <f aca="false">D112*N('Debt Payoff'!D11)/12</f>
        <v>0</v>
      </c>
      <c r="M112" s="0" t="n">
        <f aca="false">E112*N('Debt Payoff'!D12)/12</f>
        <v>0</v>
      </c>
      <c r="N112" s="0" t="n">
        <f aca="false">F112*N('Debt Payoff'!D13)/12</f>
        <v>0</v>
      </c>
      <c r="O112" s="0" t="n">
        <f aca="false">G112*N('Debt Payoff'!D14)/12</f>
        <v>0</v>
      </c>
      <c r="P112" s="0" t="n">
        <f aca="false">H112*N('Debt Payoff'!D15)/12</f>
        <v>0</v>
      </c>
      <c r="Q112" s="0" t="n">
        <f aca="false">I112*N('Debt Payoff'!D16)/12</f>
        <v>0</v>
      </c>
      <c r="R112" s="0" t="n">
        <f aca="false">B112+J112</f>
        <v>0</v>
      </c>
      <c r="S112" s="0" t="n">
        <f aca="false">C112+K112</f>
        <v>0</v>
      </c>
      <c r="T112" s="0" t="n">
        <f aca="false">D112+L112</f>
        <v>0</v>
      </c>
      <c r="U112" s="0" t="n">
        <f aca="false">E112+M112</f>
        <v>0</v>
      </c>
      <c r="V112" s="0" t="n">
        <f aca="false">F112+N112</f>
        <v>0</v>
      </c>
      <c r="W112" s="0" t="n">
        <f aca="false">G112+O112</f>
        <v>0</v>
      </c>
      <c r="X112" s="0" t="n">
        <f aca="false">H112+P112</f>
        <v>0</v>
      </c>
      <c r="Y112" s="0" t="n">
        <f aca="false">I112+Q112</f>
        <v>0</v>
      </c>
      <c r="Z112" s="0" t="n">
        <f aca="false">MIN(R112,N('Debt Payoff'!E9))</f>
        <v>0</v>
      </c>
      <c r="AA112" s="0" t="n">
        <f aca="false">MIN(S112,N('Debt Payoff'!E10))</f>
        <v>0</v>
      </c>
      <c r="AB112" s="0" t="n">
        <f aca="false">MIN(T112,N('Debt Payoff'!E11))</f>
        <v>0</v>
      </c>
      <c r="AC112" s="0" t="n">
        <f aca="false">MIN(U112,N('Debt Payoff'!E12))</f>
        <v>0</v>
      </c>
      <c r="AD112" s="0" t="n">
        <f aca="false">MIN(V112,N('Debt Payoff'!E13))</f>
        <v>0</v>
      </c>
      <c r="AE112" s="0" t="n">
        <f aca="false">MIN(W112,N('Debt Payoff'!E14))</f>
        <v>0</v>
      </c>
      <c r="AF112" s="0" t="n">
        <f aca="false">MIN(X112,N('Debt Payoff'!E15))</f>
        <v>0</v>
      </c>
      <c r="AG112" s="0" t="n">
        <f aca="false">MIN(Y112,N('Debt Payoff'!E16))</f>
        <v>0</v>
      </c>
      <c r="AH112" s="0" t="n">
        <f aca="false">R112-Z112</f>
        <v>0</v>
      </c>
      <c r="AI112" s="0" t="n">
        <f aca="false">S112-AA112</f>
        <v>0</v>
      </c>
      <c r="AJ112" s="0" t="n">
        <f aca="false">T112-AB112</f>
        <v>0</v>
      </c>
      <c r="AK112" s="0" t="n">
        <f aca="false">U112-AC112</f>
        <v>0</v>
      </c>
      <c r="AL112" s="0" t="n">
        <f aca="false">V112-AD112</f>
        <v>0</v>
      </c>
      <c r="AM112" s="0" t="n">
        <f aca="false">W112-AE112</f>
        <v>0</v>
      </c>
      <c r="AN112" s="0" t="n">
        <f aca="false">X112-AF112</f>
        <v>0</v>
      </c>
      <c r="AO112" s="0" t="n">
        <f aca="false">Y112-AG112</f>
        <v>0</v>
      </c>
      <c r="AP112" s="0" t="n">
        <f aca="false">MAX(0,'Debt Payoff'!$D$17-SUM(Z112:AG112))</f>
        <v>805</v>
      </c>
      <c r="AQ112" s="0" t="n">
        <f aca="false">MIN(AH112,MAX(0,$AP112-SUMPRODUCT(($AH$1:$AO$1&lt;AH$1)*$AH112:$AO112)))</f>
        <v>0</v>
      </c>
      <c r="AR112" s="0" t="n">
        <f aca="false">MIN(AI112,MAX(0,$AP112-SUMPRODUCT(($AH$1:$AO$1&lt;AI$1)*$AH112:$AO112)))</f>
        <v>0</v>
      </c>
      <c r="AS112" s="0" t="n">
        <f aca="false">MIN(AJ112,MAX(0,$AP112-SUMPRODUCT(($AH$1:$AO$1&lt;AJ$1)*$AH112:$AO112)))</f>
        <v>0</v>
      </c>
      <c r="AT112" s="0" t="n">
        <f aca="false">MIN(AK112,MAX(0,$AP112-SUMPRODUCT(($AH$1:$AO$1&lt;AK$1)*$AH112:$AO112)))</f>
        <v>0</v>
      </c>
      <c r="AU112" s="0" t="n">
        <f aca="false">MIN(AL112,MAX(0,$AP112-SUMPRODUCT(($AH$1:$AO$1&lt;AL$1)*$AH112:$AO112)))</f>
        <v>0</v>
      </c>
      <c r="AV112" s="0" t="n">
        <f aca="false">MIN(AM112,MAX(0,$AP112-SUMPRODUCT(($AH$1:$AO$1&lt;AM$1)*$AH112:$AO112)))</f>
        <v>0</v>
      </c>
      <c r="AW112" s="0" t="n">
        <f aca="false">MIN(AN112,MAX(0,$AP112-SUMPRODUCT(($AH$1:$AO$1&lt;AN$1)*$AH112:$AO112)))</f>
        <v>0</v>
      </c>
      <c r="AX112" s="0" t="n">
        <f aca="false">MIN(AO112,MAX(0,$AP112-SUMPRODUCT(($AH$1:$AO$1&lt;AO$1)*$AH112:$AO112)))</f>
        <v>0</v>
      </c>
      <c r="AY112" s="0" t="n">
        <f aca="false">ROUND(AH112-AQ112,2)</f>
        <v>0</v>
      </c>
      <c r="AZ112" s="0" t="n">
        <f aca="false">ROUND(AI112-AR112,2)</f>
        <v>0</v>
      </c>
      <c r="BA112" s="0" t="n">
        <f aca="false">ROUND(AJ112-AS112,2)</f>
        <v>0</v>
      </c>
      <c r="BB112" s="0" t="n">
        <f aca="false">ROUND(AK112-AT112,2)</f>
        <v>0</v>
      </c>
      <c r="BC112" s="0" t="n">
        <f aca="false">ROUND(AL112-AU112,2)</f>
        <v>0</v>
      </c>
      <c r="BD112" s="0" t="n">
        <f aca="false">ROUND(AM112-AV112,2)</f>
        <v>0</v>
      </c>
      <c r="BE112" s="0" t="n">
        <f aca="false">ROUND(AN112-AW112,2)</f>
        <v>0</v>
      </c>
      <c r="BF112" s="0" t="n">
        <f aca="false">ROUND(AO112-AX112,2)</f>
        <v>0</v>
      </c>
      <c r="BG112" s="0" t="n">
        <f aca="false">SUM(AY112:BF112)</f>
        <v>0</v>
      </c>
    </row>
    <row r="113" customFormat="false" ht="15" hidden="false" customHeight="false" outlineLevel="0" collapsed="false">
      <c r="A113" s="0" t="n">
        <v>111</v>
      </c>
      <c r="B113" s="0" t="n">
        <f aca="false">AY112</f>
        <v>0</v>
      </c>
      <c r="C113" s="0" t="n">
        <f aca="false">AZ112</f>
        <v>0</v>
      </c>
      <c r="D113" s="0" t="n">
        <f aca="false">BA112</f>
        <v>0</v>
      </c>
      <c r="E113" s="0" t="n">
        <f aca="false">BB112</f>
        <v>0</v>
      </c>
      <c r="F113" s="0" t="n">
        <f aca="false">BC112</f>
        <v>0</v>
      </c>
      <c r="G113" s="0" t="n">
        <f aca="false">BD112</f>
        <v>0</v>
      </c>
      <c r="H113" s="0" t="n">
        <f aca="false">BE112</f>
        <v>0</v>
      </c>
      <c r="I113" s="0" t="n">
        <f aca="false">BF112</f>
        <v>0</v>
      </c>
      <c r="J113" s="0" t="n">
        <f aca="false">B113*N('Debt Payoff'!D9)/12</f>
        <v>0</v>
      </c>
      <c r="K113" s="0" t="n">
        <f aca="false">C113*N('Debt Payoff'!D10)/12</f>
        <v>0</v>
      </c>
      <c r="L113" s="0" t="n">
        <f aca="false">D113*N('Debt Payoff'!D11)/12</f>
        <v>0</v>
      </c>
      <c r="M113" s="0" t="n">
        <f aca="false">E113*N('Debt Payoff'!D12)/12</f>
        <v>0</v>
      </c>
      <c r="N113" s="0" t="n">
        <f aca="false">F113*N('Debt Payoff'!D13)/12</f>
        <v>0</v>
      </c>
      <c r="O113" s="0" t="n">
        <f aca="false">G113*N('Debt Payoff'!D14)/12</f>
        <v>0</v>
      </c>
      <c r="P113" s="0" t="n">
        <f aca="false">H113*N('Debt Payoff'!D15)/12</f>
        <v>0</v>
      </c>
      <c r="Q113" s="0" t="n">
        <f aca="false">I113*N('Debt Payoff'!D16)/12</f>
        <v>0</v>
      </c>
      <c r="R113" s="0" t="n">
        <f aca="false">B113+J113</f>
        <v>0</v>
      </c>
      <c r="S113" s="0" t="n">
        <f aca="false">C113+K113</f>
        <v>0</v>
      </c>
      <c r="T113" s="0" t="n">
        <f aca="false">D113+L113</f>
        <v>0</v>
      </c>
      <c r="U113" s="0" t="n">
        <f aca="false">E113+M113</f>
        <v>0</v>
      </c>
      <c r="V113" s="0" t="n">
        <f aca="false">F113+N113</f>
        <v>0</v>
      </c>
      <c r="W113" s="0" t="n">
        <f aca="false">G113+O113</f>
        <v>0</v>
      </c>
      <c r="X113" s="0" t="n">
        <f aca="false">H113+P113</f>
        <v>0</v>
      </c>
      <c r="Y113" s="0" t="n">
        <f aca="false">I113+Q113</f>
        <v>0</v>
      </c>
      <c r="Z113" s="0" t="n">
        <f aca="false">MIN(R113,N('Debt Payoff'!E9))</f>
        <v>0</v>
      </c>
      <c r="AA113" s="0" t="n">
        <f aca="false">MIN(S113,N('Debt Payoff'!E10))</f>
        <v>0</v>
      </c>
      <c r="AB113" s="0" t="n">
        <f aca="false">MIN(T113,N('Debt Payoff'!E11))</f>
        <v>0</v>
      </c>
      <c r="AC113" s="0" t="n">
        <f aca="false">MIN(U113,N('Debt Payoff'!E12))</f>
        <v>0</v>
      </c>
      <c r="AD113" s="0" t="n">
        <f aca="false">MIN(V113,N('Debt Payoff'!E13))</f>
        <v>0</v>
      </c>
      <c r="AE113" s="0" t="n">
        <f aca="false">MIN(W113,N('Debt Payoff'!E14))</f>
        <v>0</v>
      </c>
      <c r="AF113" s="0" t="n">
        <f aca="false">MIN(X113,N('Debt Payoff'!E15))</f>
        <v>0</v>
      </c>
      <c r="AG113" s="0" t="n">
        <f aca="false">MIN(Y113,N('Debt Payoff'!E16))</f>
        <v>0</v>
      </c>
      <c r="AH113" s="0" t="n">
        <f aca="false">R113-Z113</f>
        <v>0</v>
      </c>
      <c r="AI113" s="0" t="n">
        <f aca="false">S113-AA113</f>
        <v>0</v>
      </c>
      <c r="AJ113" s="0" t="n">
        <f aca="false">T113-AB113</f>
        <v>0</v>
      </c>
      <c r="AK113" s="0" t="n">
        <f aca="false">U113-AC113</f>
        <v>0</v>
      </c>
      <c r="AL113" s="0" t="n">
        <f aca="false">V113-AD113</f>
        <v>0</v>
      </c>
      <c r="AM113" s="0" t="n">
        <f aca="false">W113-AE113</f>
        <v>0</v>
      </c>
      <c r="AN113" s="0" t="n">
        <f aca="false">X113-AF113</f>
        <v>0</v>
      </c>
      <c r="AO113" s="0" t="n">
        <f aca="false">Y113-AG113</f>
        <v>0</v>
      </c>
      <c r="AP113" s="0" t="n">
        <f aca="false">MAX(0,'Debt Payoff'!$D$17-SUM(Z113:AG113))</f>
        <v>805</v>
      </c>
      <c r="AQ113" s="0" t="n">
        <f aca="false">MIN(AH113,MAX(0,$AP113-SUMPRODUCT(($AH$1:$AO$1&lt;AH$1)*$AH113:$AO113)))</f>
        <v>0</v>
      </c>
      <c r="AR113" s="0" t="n">
        <f aca="false">MIN(AI113,MAX(0,$AP113-SUMPRODUCT(($AH$1:$AO$1&lt;AI$1)*$AH113:$AO113)))</f>
        <v>0</v>
      </c>
      <c r="AS113" s="0" t="n">
        <f aca="false">MIN(AJ113,MAX(0,$AP113-SUMPRODUCT(($AH$1:$AO$1&lt;AJ$1)*$AH113:$AO113)))</f>
        <v>0</v>
      </c>
      <c r="AT113" s="0" t="n">
        <f aca="false">MIN(AK113,MAX(0,$AP113-SUMPRODUCT(($AH$1:$AO$1&lt;AK$1)*$AH113:$AO113)))</f>
        <v>0</v>
      </c>
      <c r="AU113" s="0" t="n">
        <f aca="false">MIN(AL113,MAX(0,$AP113-SUMPRODUCT(($AH$1:$AO$1&lt;AL$1)*$AH113:$AO113)))</f>
        <v>0</v>
      </c>
      <c r="AV113" s="0" t="n">
        <f aca="false">MIN(AM113,MAX(0,$AP113-SUMPRODUCT(($AH$1:$AO$1&lt;AM$1)*$AH113:$AO113)))</f>
        <v>0</v>
      </c>
      <c r="AW113" s="0" t="n">
        <f aca="false">MIN(AN113,MAX(0,$AP113-SUMPRODUCT(($AH$1:$AO$1&lt;AN$1)*$AH113:$AO113)))</f>
        <v>0</v>
      </c>
      <c r="AX113" s="0" t="n">
        <f aca="false">MIN(AO113,MAX(0,$AP113-SUMPRODUCT(($AH$1:$AO$1&lt;AO$1)*$AH113:$AO113)))</f>
        <v>0</v>
      </c>
      <c r="AY113" s="0" t="n">
        <f aca="false">ROUND(AH113-AQ113,2)</f>
        <v>0</v>
      </c>
      <c r="AZ113" s="0" t="n">
        <f aca="false">ROUND(AI113-AR113,2)</f>
        <v>0</v>
      </c>
      <c r="BA113" s="0" t="n">
        <f aca="false">ROUND(AJ113-AS113,2)</f>
        <v>0</v>
      </c>
      <c r="BB113" s="0" t="n">
        <f aca="false">ROUND(AK113-AT113,2)</f>
        <v>0</v>
      </c>
      <c r="BC113" s="0" t="n">
        <f aca="false">ROUND(AL113-AU113,2)</f>
        <v>0</v>
      </c>
      <c r="BD113" s="0" t="n">
        <f aca="false">ROUND(AM113-AV113,2)</f>
        <v>0</v>
      </c>
      <c r="BE113" s="0" t="n">
        <f aca="false">ROUND(AN113-AW113,2)</f>
        <v>0</v>
      </c>
      <c r="BF113" s="0" t="n">
        <f aca="false">ROUND(AO113-AX113,2)</f>
        <v>0</v>
      </c>
      <c r="BG113" s="0" t="n">
        <f aca="false">SUM(AY113:BF113)</f>
        <v>0</v>
      </c>
    </row>
    <row r="114" customFormat="false" ht="15" hidden="false" customHeight="false" outlineLevel="0" collapsed="false">
      <c r="A114" s="0" t="n">
        <v>112</v>
      </c>
      <c r="B114" s="0" t="n">
        <f aca="false">AY113</f>
        <v>0</v>
      </c>
      <c r="C114" s="0" t="n">
        <f aca="false">AZ113</f>
        <v>0</v>
      </c>
      <c r="D114" s="0" t="n">
        <f aca="false">BA113</f>
        <v>0</v>
      </c>
      <c r="E114" s="0" t="n">
        <f aca="false">BB113</f>
        <v>0</v>
      </c>
      <c r="F114" s="0" t="n">
        <f aca="false">BC113</f>
        <v>0</v>
      </c>
      <c r="G114" s="0" t="n">
        <f aca="false">BD113</f>
        <v>0</v>
      </c>
      <c r="H114" s="0" t="n">
        <f aca="false">BE113</f>
        <v>0</v>
      </c>
      <c r="I114" s="0" t="n">
        <f aca="false">BF113</f>
        <v>0</v>
      </c>
      <c r="J114" s="0" t="n">
        <f aca="false">B114*N('Debt Payoff'!D9)/12</f>
        <v>0</v>
      </c>
      <c r="K114" s="0" t="n">
        <f aca="false">C114*N('Debt Payoff'!D10)/12</f>
        <v>0</v>
      </c>
      <c r="L114" s="0" t="n">
        <f aca="false">D114*N('Debt Payoff'!D11)/12</f>
        <v>0</v>
      </c>
      <c r="M114" s="0" t="n">
        <f aca="false">E114*N('Debt Payoff'!D12)/12</f>
        <v>0</v>
      </c>
      <c r="N114" s="0" t="n">
        <f aca="false">F114*N('Debt Payoff'!D13)/12</f>
        <v>0</v>
      </c>
      <c r="O114" s="0" t="n">
        <f aca="false">G114*N('Debt Payoff'!D14)/12</f>
        <v>0</v>
      </c>
      <c r="P114" s="0" t="n">
        <f aca="false">H114*N('Debt Payoff'!D15)/12</f>
        <v>0</v>
      </c>
      <c r="Q114" s="0" t="n">
        <f aca="false">I114*N('Debt Payoff'!D16)/12</f>
        <v>0</v>
      </c>
      <c r="R114" s="0" t="n">
        <f aca="false">B114+J114</f>
        <v>0</v>
      </c>
      <c r="S114" s="0" t="n">
        <f aca="false">C114+K114</f>
        <v>0</v>
      </c>
      <c r="T114" s="0" t="n">
        <f aca="false">D114+L114</f>
        <v>0</v>
      </c>
      <c r="U114" s="0" t="n">
        <f aca="false">E114+M114</f>
        <v>0</v>
      </c>
      <c r="V114" s="0" t="n">
        <f aca="false">F114+N114</f>
        <v>0</v>
      </c>
      <c r="W114" s="0" t="n">
        <f aca="false">G114+O114</f>
        <v>0</v>
      </c>
      <c r="X114" s="0" t="n">
        <f aca="false">H114+P114</f>
        <v>0</v>
      </c>
      <c r="Y114" s="0" t="n">
        <f aca="false">I114+Q114</f>
        <v>0</v>
      </c>
      <c r="Z114" s="0" t="n">
        <f aca="false">MIN(R114,N('Debt Payoff'!E9))</f>
        <v>0</v>
      </c>
      <c r="AA114" s="0" t="n">
        <f aca="false">MIN(S114,N('Debt Payoff'!E10))</f>
        <v>0</v>
      </c>
      <c r="AB114" s="0" t="n">
        <f aca="false">MIN(T114,N('Debt Payoff'!E11))</f>
        <v>0</v>
      </c>
      <c r="AC114" s="0" t="n">
        <f aca="false">MIN(U114,N('Debt Payoff'!E12))</f>
        <v>0</v>
      </c>
      <c r="AD114" s="0" t="n">
        <f aca="false">MIN(V114,N('Debt Payoff'!E13))</f>
        <v>0</v>
      </c>
      <c r="AE114" s="0" t="n">
        <f aca="false">MIN(W114,N('Debt Payoff'!E14))</f>
        <v>0</v>
      </c>
      <c r="AF114" s="0" t="n">
        <f aca="false">MIN(X114,N('Debt Payoff'!E15))</f>
        <v>0</v>
      </c>
      <c r="AG114" s="0" t="n">
        <f aca="false">MIN(Y114,N('Debt Payoff'!E16))</f>
        <v>0</v>
      </c>
      <c r="AH114" s="0" t="n">
        <f aca="false">R114-Z114</f>
        <v>0</v>
      </c>
      <c r="AI114" s="0" t="n">
        <f aca="false">S114-AA114</f>
        <v>0</v>
      </c>
      <c r="AJ114" s="0" t="n">
        <f aca="false">T114-AB114</f>
        <v>0</v>
      </c>
      <c r="AK114" s="0" t="n">
        <f aca="false">U114-AC114</f>
        <v>0</v>
      </c>
      <c r="AL114" s="0" t="n">
        <f aca="false">V114-AD114</f>
        <v>0</v>
      </c>
      <c r="AM114" s="0" t="n">
        <f aca="false">W114-AE114</f>
        <v>0</v>
      </c>
      <c r="AN114" s="0" t="n">
        <f aca="false">X114-AF114</f>
        <v>0</v>
      </c>
      <c r="AO114" s="0" t="n">
        <f aca="false">Y114-AG114</f>
        <v>0</v>
      </c>
      <c r="AP114" s="0" t="n">
        <f aca="false">MAX(0,'Debt Payoff'!$D$17-SUM(Z114:AG114))</f>
        <v>805</v>
      </c>
      <c r="AQ114" s="0" t="n">
        <f aca="false">MIN(AH114,MAX(0,$AP114-SUMPRODUCT(($AH$1:$AO$1&lt;AH$1)*$AH114:$AO114)))</f>
        <v>0</v>
      </c>
      <c r="AR114" s="0" t="n">
        <f aca="false">MIN(AI114,MAX(0,$AP114-SUMPRODUCT(($AH$1:$AO$1&lt;AI$1)*$AH114:$AO114)))</f>
        <v>0</v>
      </c>
      <c r="AS114" s="0" t="n">
        <f aca="false">MIN(AJ114,MAX(0,$AP114-SUMPRODUCT(($AH$1:$AO$1&lt;AJ$1)*$AH114:$AO114)))</f>
        <v>0</v>
      </c>
      <c r="AT114" s="0" t="n">
        <f aca="false">MIN(AK114,MAX(0,$AP114-SUMPRODUCT(($AH$1:$AO$1&lt;AK$1)*$AH114:$AO114)))</f>
        <v>0</v>
      </c>
      <c r="AU114" s="0" t="n">
        <f aca="false">MIN(AL114,MAX(0,$AP114-SUMPRODUCT(($AH$1:$AO$1&lt;AL$1)*$AH114:$AO114)))</f>
        <v>0</v>
      </c>
      <c r="AV114" s="0" t="n">
        <f aca="false">MIN(AM114,MAX(0,$AP114-SUMPRODUCT(($AH$1:$AO$1&lt;AM$1)*$AH114:$AO114)))</f>
        <v>0</v>
      </c>
      <c r="AW114" s="0" t="n">
        <f aca="false">MIN(AN114,MAX(0,$AP114-SUMPRODUCT(($AH$1:$AO$1&lt;AN$1)*$AH114:$AO114)))</f>
        <v>0</v>
      </c>
      <c r="AX114" s="0" t="n">
        <f aca="false">MIN(AO114,MAX(0,$AP114-SUMPRODUCT(($AH$1:$AO$1&lt;AO$1)*$AH114:$AO114)))</f>
        <v>0</v>
      </c>
      <c r="AY114" s="0" t="n">
        <f aca="false">ROUND(AH114-AQ114,2)</f>
        <v>0</v>
      </c>
      <c r="AZ114" s="0" t="n">
        <f aca="false">ROUND(AI114-AR114,2)</f>
        <v>0</v>
      </c>
      <c r="BA114" s="0" t="n">
        <f aca="false">ROUND(AJ114-AS114,2)</f>
        <v>0</v>
      </c>
      <c r="BB114" s="0" t="n">
        <f aca="false">ROUND(AK114-AT114,2)</f>
        <v>0</v>
      </c>
      <c r="BC114" s="0" t="n">
        <f aca="false">ROUND(AL114-AU114,2)</f>
        <v>0</v>
      </c>
      <c r="BD114" s="0" t="n">
        <f aca="false">ROUND(AM114-AV114,2)</f>
        <v>0</v>
      </c>
      <c r="BE114" s="0" t="n">
        <f aca="false">ROUND(AN114-AW114,2)</f>
        <v>0</v>
      </c>
      <c r="BF114" s="0" t="n">
        <f aca="false">ROUND(AO114-AX114,2)</f>
        <v>0</v>
      </c>
      <c r="BG114" s="0" t="n">
        <f aca="false">SUM(AY114:BF114)</f>
        <v>0</v>
      </c>
    </row>
    <row r="115" customFormat="false" ht="15" hidden="false" customHeight="false" outlineLevel="0" collapsed="false">
      <c r="A115" s="0" t="n">
        <v>113</v>
      </c>
      <c r="B115" s="0" t="n">
        <f aca="false">AY114</f>
        <v>0</v>
      </c>
      <c r="C115" s="0" t="n">
        <f aca="false">AZ114</f>
        <v>0</v>
      </c>
      <c r="D115" s="0" t="n">
        <f aca="false">BA114</f>
        <v>0</v>
      </c>
      <c r="E115" s="0" t="n">
        <f aca="false">BB114</f>
        <v>0</v>
      </c>
      <c r="F115" s="0" t="n">
        <f aca="false">BC114</f>
        <v>0</v>
      </c>
      <c r="G115" s="0" t="n">
        <f aca="false">BD114</f>
        <v>0</v>
      </c>
      <c r="H115" s="0" t="n">
        <f aca="false">BE114</f>
        <v>0</v>
      </c>
      <c r="I115" s="0" t="n">
        <f aca="false">BF114</f>
        <v>0</v>
      </c>
      <c r="J115" s="0" t="n">
        <f aca="false">B115*N('Debt Payoff'!D9)/12</f>
        <v>0</v>
      </c>
      <c r="K115" s="0" t="n">
        <f aca="false">C115*N('Debt Payoff'!D10)/12</f>
        <v>0</v>
      </c>
      <c r="L115" s="0" t="n">
        <f aca="false">D115*N('Debt Payoff'!D11)/12</f>
        <v>0</v>
      </c>
      <c r="M115" s="0" t="n">
        <f aca="false">E115*N('Debt Payoff'!D12)/12</f>
        <v>0</v>
      </c>
      <c r="N115" s="0" t="n">
        <f aca="false">F115*N('Debt Payoff'!D13)/12</f>
        <v>0</v>
      </c>
      <c r="O115" s="0" t="n">
        <f aca="false">G115*N('Debt Payoff'!D14)/12</f>
        <v>0</v>
      </c>
      <c r="P115" s="0" t="n">
        <f aca="false">H115*N('Debt Payoff'!D15)/12</f>
        <v>0</v>
      </c>
      <c r="Q115" s="0" t="n">
        <f aca="false">I115*N('Debt Payoff'!D16)/12</f>
        <v>0</v>
      </c>
      <c r="R115" s="0" t="n">
        <f aca="false">B115+J115</f>
        <v>0</v>
      </c>
      <c r="S115" s="0" t="n">
        <f aca="false">C115+K115</f>
        <v>0</v>
      </c>
      <c r="T115" s="0" t="n">
        <f aca="false">D115+L115</f>
        <v>0</v>
      </c>
      <c r="U115" s="0" t="n">
        <f aca="false">E115+M115</f>
        <v>0</v>
      </c>
      <c r="V115" s="0" t="n">
        <f aca="false">F115+N115</f>
        <v>0</v>
      </c>
      <c r="W115" s="0" t="n">
        <f aca="false">G115+O115</f>
        <v>0</v>
      </c>
      <c r="X115" s="0" t="n">
        <f aca="false">H115+P115</f>
        <v>0</v>
      </c>
      <c r="Y115" s="0" t="n">
        <f aca="false">I115+Q115</f>
        <v>0</v>
      </c>
      <c r="Z115" s="0" t="n">
        <f aca="false">MIN(R115,N('Debt Payoff'!E9))</f>
        <v>0</v>
      </c>
      <c r="AA115" s="0" t="n">
        <f aca="false">MIN(S115,N('Debt Payoff'!E10))</f>
        <v>0</v>
      </c>
      <c r="AB115" s="0" t="n">
        <f aca="false">MIN(T115,N('Debt Payoff'!E11))</f>
        <v>0</v>
      </c>
      <c r="AC115" s="0" t="n">
        <f aca="false">MIN(U115,N('Debt Payoff'!E12))</f>
        <v>0</v>
      </c>
      <c r="AD115" s="0" t="n">
        <f aca="false">MIN(V115,N('Debt Payoff'!E13))</f>
        <v>0</v>
      </c>
      <c r="AE115" s="0" t="n">
        <f aca="false">MIN(W115,N('Debt Payoff'!E14))</f>
        <v>0</v>
      </c>
      <c r="AF115" s="0" t="n">
        <f aca="false">MIN(X115,N('Debt Payoff'!E15))</f>
        <v>0</v>
      </c>
      <c r="AG115" s="0" t="n">
        <f aca="false">MIN(Y115,N('Debt Payoff'!E16))</f>
        <v>0</v>
      </c>
      <c r="AH115" s="0" t="n">
        <f aca="false">R115-Z115</f>
        <v>0</v>
      </c>
      <c r="AI115" s="0" t="n">
        <f aca="false">S115-AA115</f>
        <v>0</v>
      </c>
      <c r="AJ115" s="0" t="n">
        <f aca="false">T115-AB115</f>
        <v>0</v>
      </c>
      <c r="AK115" s="0" t="n">
        <f aca="false">U115-AC115</f>
        <v>0</v>
      </c>
      <c r="AL115" s="0" t="n">
        <f aca="false">V115-AD115</f>
        <v>0</v>
      </c>
      <c r="AM115" s="0" t="n">
        <f aca="false">W115-AE115</f>
        <v>0</v>
      </c>
      <c r="AN115" s="0" t="n">
        <f aca="false">X115-AF115</f>
        <v>0</v>
      </c>
      <c r="AO115" s="0" t="n">
        <f aca="false">Y115-AG115</f>
        <v>0</v>
      </c>
      <c r="AP115" s="0" t="n">
        <f aca="false">MAX(0,'Debt Payoff'!$D$17-SUM(Z115:AG115))</f>
        <v>805</v>
      </c>
      <c r="AQ115" s="0" t="n">
        <f aca="false">MIN(AH115,MAX(0,$AP115-SUMPRODUCT(($AH$1:$AO$1&lt;AH$1)*$AH115:$AO115)))</f>
        <v>0</v>
      </c>
      <c r="AR115" s="0" t="n">
        <f aca="false">MIN(AI115,MAX(0,$AP115-SUMPRODUCT(($AH$1:$AO$1&lt;AI$1)*$AH115:$AO115)))</f>
        <v>0</v>
      </c>
      <c r="AS115" s="0" t="n">
        <f aca="false">MIN(AJ115,MAX(0,$AP115-SUMPRODUCT(($AH$1:$AO$1&lt;AJ$1)*$AH115:$AO115)))</f>
        <v>0</v>
      </c>
      <c r="AT115" s="0" t="n">
        <f aca="false">MIN(AK115,MAX(0,$AP115-SUMPRODUCT(($AH$1:$AO$1&lt;AK$1)*$AH115:$AO115)))</f>
        <v>0</v>
      </c>
      <c r="AU115" s="0" t="n">
        <f aca="false">MIN(AL115,MAX(0,$AP115-SUMPRODUCT(($AH$1:$AO$1&lt;AL$1)*$AH115:$AO115)))</f>
        <v>0</v>
      </c>
      <c r="AV115" s="0" t="n">
        <f aca="false">MIN(AM115,MAX(0,$AP115-SUMPRODUCT(($AH$1:$AO$1&lt;AM$1)*$AH115:$AO115)))</f>
        <v>0</v>
      </c>
      <c r="AW115" s="0" t="n">
        <f aca="false">MIN(AN115,MAX(0,$AP115-SUMPRODUCT(($AH$1:$AO$1&lt;AN$1)*$AH115:$AO115)))</f>
        <v>0</v>
      </c>
      <c r="AX115" s="0" t="n">
        <f aca="false">MIN(AO115,MAX(0,$AP115-SUMPRODUCT(($AH$1:$AO$1&lt;AO$1)*$AH115:$AO115)))</f>
        <v>0</v>
      </c>
      <c r="AY115" s="0" t="n">
        <f aca="false">ROUND(AH115-AQ115,2)</f>
        <v>0</v>
      </c>
      <c r="AZ115" s="0" t="n">
        <f aca="false">ROUND(AI115-AR115,2)</f>
        <v>0</v>
      </c>
      <c r="BA115" s="0" t="n">
        <f aca="false">ROUND(AJ115-AS115,2)</f>
        <v>0</v>
      </c>
      <c r="BB115" s="0" t="n">
        <f aca="false">ROUND(AK115-AT115,2)</f>
        <v>0</v>
      </c>
      <c r="BC115" s="0" t="n">
        <f aca="false">ROUND(AL115-AU115,2)</f>
        <v>0</v>
      </c>
      <c r="BD115" s="0" t="n">
        <f aca="false">ROUND(AM115-AV115,2)</f>
        <v>0</v>
      </c>
      <c r="BE115" s="0" t="n">
        <f aca="false">ROUND(AN115-AW115,2)</f>
        <v>0</v>
      </c>
      <c r="BF115" s="0" t="n">
        <f aca="false">ROUND(AO115-AX115,2)</f>
        <v>0</v>
      </c>
      <c r="BG115" s="0" t="n">
        <f aca="false">SUM(AY115:BF115)</f>
        <v>0</v>
      </c>
    </row>
    <row r="116" customFormat="false" ht="15" hidden="false" customHeight="false" outlineLevel="0" collapsed="false">
      <c r="A116" s="0" t="n">
        <v>114</v>
      </c>
      <c r="B116" s="0" t="n">
        <f aca="false">AY115</f>
        <v>0</v>
      </c>
      <c r="C116" s="0" t="n">
        <f aca="false">AZ115</f>
        <v>0</v>
      </c>
      <c r="D116" s="0" t="n">
        <f aca="false">BA115</f>
        <v>0</v>
      </c>
      <c r="E116" s="0" t="n">
        <f aca="false">BB115</f>
        <v>0</v>
      </c>
      <c r="F116" s="0" t="n">
        <f aca="false">BC115</f>
        <v>0</v>
      </c>
      <c r="G116" s="0" t="n">
        <f aca="false">BD115</f>
        <v>0</v>
      </c>
      <c r="H116" s="0" t="n">
        <f aca="false">BE115</f>
        <v>0</v>
      </c>
      <c r="I116" s="0" t="n">
        <f aca="false">BF115</f>
        <v>0</v>
      </c>
      <c r="J116" s="0" t="n">
        <f aca="false">B116*N('Debt Payoff'!D9)/12</f>
        <v>0</v>
      </c>
      <c r="K116" s="0" t="n">
        <f aca="false">C116*N('Debt Payoff'!D10)/12</f>
        <v>0</v>
      </c>
      <c r="L116" s="0" t="n">
        <f aca="false">D116*N('Debt Payoff'!D11)/12</f>
        <v>0</v>
      </c>
      <c r="M116" s="0" t="n">
        <f aca="false">E116*N('Debt Payoff'!D12)/12</f>
        <v>0</v>
      </c>
      <c r="N116" s="0" t="n">
        <f aca="false">F116*N('Debt Payoff'!D13)/12</f>
        <v>0</v>
      </c>
      <c r="O116" s="0" t="n">
        <f aca="false">G116*N('Debt Payoff'!D14)/12</f>
        <v>0</v>
      </c>
      <c r="P116" s="0" t="n">
        <f aca="false">H116*N('Debt Payoff'!D15)/12</f>
        <v>0</v>
      </c>
      <c r="Q116" s="0" t="n">
        <f aca="false">I116*N('Debt Payoff'!D16)/12</f>
        <v>0</v>
      </c>
      <c r="R116" s="0" t="n">
        <f aca="false">B116+J116</f>
        <v>0</v>
      </c>
      <c r="S116" s="0" t="n">
        <f aca="false">C116+K116</f>
        <v>0</v>
      </c>
      <c r="T116" s="0" t="n">
        <f aca="false">D116+L116</f>
        <v>0</v>
      </c>
      <c r="U116" s="0" t="n">
        <f aca="false">E116+M116</f>
        <v>0</v>
      </c>
      <c r="V116" s="0" t="n">
        <f aca="false">F116+N116</f>
        <v>0</v>
      </c>
      <c r="W116" s="0" t="n">
        <f aca="false">G116+O116</f>
        <v>0</v>
      </c>
      <c r="X116" s="0" t="n">
        <f aca="false">H116+P116</f>
        <v>0</v>
      </c>
      <c r="Y116" s="0" t="n">
        <f aca="false">I116+Q116</f>
        <v>0</v>
      </c>
      <c r="Z116" s="0" t="n">
        <f aca="false">MIN(R116,N('Debt Payoff'!E9))</f>
        <v>0</v>
      </c>
      <c r="AA116" s="0" t="n">
        <f aca="false">MIN(S116,N('Debt Payoff'!E10))</f>
        <v>0</v>
      </c>
      <c r="AB116" s="0" t="n">
        <f aca="false">MIN(T116,N('Debt Payoff'!E11))</f>
        <v>0</v>
      </c>
      <c r="AC116" s="0" t="n">
        <f aca="false">MIN(U116,N('Debt Payoff'!E12))</f>
        <v>0</v>
      </c>
      <c r="AD116" s="0" t="n">
        <f aca="false">MIN(V116,N('Debt Payoff'!E13))</f>
        <v>0</v>
      </c>
      <c r="AE116" s="0" t="n">
        <f aca="false">MIN(W116,N('Debt Payoff'!E14))</f>
        <v>0</v>
      </c>
      <c r="AF116" s="0" t="n">
        <f aca="false">MIN(X116,N('Debt Payoff'!E15))</f>
        <v>0</v>
      </c>
      <c r="AG116" s="0" t="n">
        <f aca="false">MIN(Y116,N('Debt Payoff'!E16))</f>
        <v>0</v>
      </c>
      <c r="AH116" s="0" t="n">
        <f aca="false">R116-Z116</f>
        <v>0</v>
      </c>
      <c r="AI116" s="0" t="n">
        <f aca="false">S116-AA116</f>
        <v>0</v>
      </c>
      <c r="AJ116" s="0" t="n">
        <f aca="false">T116-AB116</f>
        <v>0</v>
      </c>
      <c r="AK116" s="0" t="n">
        <f aca="false">U116-AC116</f>
        <v>0</v>
      </c>
      <c r="AL116" s="0" t="n">
        <f aca="false">V116-AD116</f>
        <v>0</v>
      </c>
      <c r="AM116" s="0" t="n">
        <f aca="false">W116-AE116</f>
        <v>0</v>
      </c>
      <c r="AN116" s="0" t="n">
        <f aca="false">X116-AF116</f>
        <v>0</v>
      </c>
      <c r="AO116" s="0" t="n">
        <f aca="false">Y116-AG116</f>
        <v>0</v>
      </c>
      <c r="AP116" s="0" t="n">
        <f aca="false">MAX(0,'Debt Payoff'!$D$17-SUM(Z116:AG116))</f>
        <v>805</v>
      </c>
      <c r="AQ116" s="0" t="n">
        <f aca="false">MIN(AH116,MAX(0,$AP116-SUMPRODUCT(($AH$1:$AO$1&lt;AH$1)*$AH116:$AO116)))</f>
        <v>0</v>
      </c>
      <c r="AR116" s="0" t="n">
        <f aca="false">MIN(AI116,MAX(0,$AP116-SUMPRODUCT(($AH$1:$AO$1&lt;AI$1)*$AH116:$AO116)))</f>
        <v>0</v>
      </c>
      <c r="AS116" s="0" t="n">
        <f aca="false">MIN(AJ116,MAX(0,$AP116-SUMPRODUCT(($AH$1:$AO$1&lt;AJ$1)*$AH116:$AO116)))</f>
        <v>0</v>
      </c>
      <c r="AT116" s="0" t="n">
        <f aca="false">MIN(AK116,MAX(0,$AP116-SUMPRODUCT(($AH$1:$AO$1&lt;AK$1)*$AH116:$AO116)))</f>
        <v>0</v>
      </c>
      <c r="AU116" s="0" t="n">
        <f aca="false">MIN(AL116,MAX(0,$AP116-SUMPRODUCT(($AH$1:$AO$1&lt;AL$1)*$AH116:$AO116)))</f>
        <v>0</v>
      </c>
      <c r="AV116" s="0" t="n">
        <f aca="false">MIN(AM116,MAX(0,$AP116-SUMPRODUCT(($AH$1:$AO$1&lt;AM$1)*$AH116:$AO116)))</f>
        <v>0</v>
      </c>
      <c r="AW116" s="0" t="n">
        <f aca="false">MIN(AN116,MAX(0,$AP116-SUMPRODUCT(($AH$1:$AO$1&lt;AN$1)*$AH116:$AO116)))</f>
        <v>0</v>
      </c>
      <c r="AX116" s="0" t="n">
        <f aca="false">MIN(AO116,MAX(0,$AP116-SUMPRODUCT(($AH$1:$AO$1&lt;AO$1)*$AH116:$AO116)))</f>
        <v>0</v>
      </c>
      <c r="AY116" s="0" t="n">
        <f aca="false">ROUND(AH116-AQ116,2)</f>
        <v>0</v>
      </c>
      <c r="AZ116" s="0" t="n">
        <f aca="false">ROUND(AI116-AR116,2)</f>
        <v>0</v>
      </c>
      <c r="BA116" s="0" t="n">
        <f aca="false">ROUND(AJ116-AS116,2)</f>
        <v>0</v>
      </c>
      <c r="BB116" s="0" t="n">
        <f aca="false">ROUND(AK116-AT116,2)</f>
        <v>0</v>
      </c>
      <c r="BC116" s="0" t="n">
        <f aca="false">ROUND(AL116-AU116,2)</f>
        <v>0</v>
      </c>
      <c r="BD116" s="0" t="n">
        <f aca="false">ROUND(AM116-AV116,2)</f>
        <v>0</v>
      </c>
      <c r="BE116" s="0" t="n">
        <f aca="false">ROUND(AN116-AW116,2)</f>
        <v>0</v>
      </c>
      <c r="BF116" s="0" t="n">
        <f aca="false">ROUND(AO116-AX116,2)</f>
        <v>0</v>
      </c>
      <c r="BG116" s="0" t="n">
        <f aca="false">SUM(AY116:BF116)</f>
        <v>0</v>
      </c>
    </row>
    <row r="117" customFormat="false" ht="15" hidden="false" customHeight="false" outlineLevel="0" collapsed="false">
      <c r="A117" s="0" t="n">
        <v>115</v>
      </c>
      <c r="B117" s="0" t="n">
        <f aca="false">AY116</f>
        <v>0</v>
      </c>
      <c r="C117" s="0" t="n">
        <f aca="false">AZ116</f>
        <v>0</v>
      </c>
      <c r="D117" s="0" t="n">
        <f aca="false">BA116</f>
        <v>0</v>
      </c>
      <c r="E117" s="0" t="n">
        <f aca="false">BB116</f>
        <v>0</v>
      </c>
      <c r="F117" s="0" t="n">
        <f aca="false">BC116</f>
        <v>0</v>
      </c>
      <c r="G117" s="0" t="n">
        <f aca="false">BD116</f>
        <v>0</v>
      </c>
      <c r="H117" s="0" t="n">
        <f aca="false">BE116</f>
        <v>0</v>
      </c>
      <c r="I117" s="0" t="n">
        <f aca="false">BF116</f>
        <v>0</v>
      </c>
      <c r="J117" s="0" t="n">
        <f aca="false">B117*N('Debt Payoff'!D9)/12</f>
        <v>0</v>
      </c>
      <c r="K117" s="0" t="n">
        <f aca="false">C117*N('Debt Payoff'!D10)/12</f>
        <v>0</v>
      </c>
      <c r="L117" s="0" t="n">
        <f aca="false">D117*N('Debt Payoff'!D11)/12</f>
        <v>0</v>
      </c>
      <c r="M117" s="0" t="n">
        <f aca="false">E117*N('Debt Payoff'!D12)/12</f>
        <v>0</v>
      </c>
      <c r="N117" s="0" t="n">
        <f aca="false">F117*N('Debt Payoff'!D13)/12</f>
        <v>0</v>
      </c>
      <c r="O117" s="0" t="n">
        <f aca="false">G117*N('Debt Payoff'!D14)/12</f>
        <v>0</v>
      </c>
      <c r="P117" s="0" t="n">
        <f aca="false">H117*N('Debt Payoff'!D15)/12</f>
        <v>0</v>
      </c>
      <c r="Q117" s="0" t="n">
        <f aca="false">I117*N('Debt Payoff'!D16)/12</f>
        <v>0</v>
      </c>
      <c r="R117" s="0" t="n">
        <f aca="false">B117+J117</f>
        <v>0</v>
      </c>
      <c r="S117" s="0" t="n">
        <f aca="false">C117+K117</f>
        <v>0</v>
      </c>
      <c r="T117" s="0" t="n">
        <f aca="false">D117+L117</f>
        <v>0</v>
      </c>
      <c r="U117" s="0" t="n">
        <f aca="false">E117+M117</f>
        <v>0</v>
      </c>
      <c r="V117" s="0" t="n">
        <f aca="false">F117+N117</f>
        <v>0</v>
      </c>
      <c r="W117" s="0" t="n">
        <f aca="false">G117+O117</f>
        <v>0</v>
      </c>
      <c r="X117" s="0" t="n">
        <f aca="false">H117+P117</f>
        <v>0</v>
      </c>
      <c r="Y117" s="0" t="n">
        <f aca="false">I117+Q117</f>
        <v>0</v>
      </c>
      <c r="Z117" s="0" t="n">
        <f aca="false">MIN(R117,N('Debt Payoff'!E9))</f>
        <v>0</v>
      </c>
      <c r="AA117" s="0" t="n">
        <f aca="false">MIN(S117,N('Debt Payoff'!E10))</f>
        <v>0</v>
      </c>
      <c r="AB117" s="0" t="n">
        <f aca="false">MIN(T117,N('Debt Payoff'!E11))</f>
        <v>0</v>
      </c>
      <c r="AC117" s="0" t="n">
        <f aca="false">MIN(U117,N('Debt Payoff'!E12))</f>
        <v>0</v>
      </c>
      <c r="AD117" s="0" t="n">
        <f aca="false">MIN(V117,N('Debt Payoff'!E13))</f>
        <v>0</v>
      </c>
      <c r="AE117" s="0" t="n">
        <f aca="false">MIN(W117,N('Debt Payoff'!E14))</f>
        <v>0</v>
      </c>
      <c r="AF117" s="0" t="n">
        <f aca="false">MIN(X117,N('Debt Payoff'!E15))</f>
        <v>0</v>
      </c>
      <c r="AG117" s="0" t="n">
        <f aca="false">MIN(Y117,N('Debt Payoff'!E16))</f>
        <v>0</v>
      </c>
      <c r="AH117" s="0" t="n">
        <f aca="false">R117-Z117</f>
        <v>0</v>
      </c>
      <c r="AI117" s="0" t="n">
        <f aca="false">S117-AA117</f>
        <v>0</v>
      </c>
      <c r="AJ117" s="0" t="n">
        <f aca="false">T117-AB117</f>
        <v>0</v>
      </c>
      <c r="AK117" s="0" t="n">
        <f aca="false">U117-AC117</f>
        <v>0</v>
      </c>
      <c r="AL117" s="0" t="n">
        <f aca="false">V117-AD117</f>
        <v>0</v>
      </c>
      <c r="AM117" s="0" t="n">
        <f aca="false">W117-AE117</f>
        <v>0</v>
      </c>
      <c r="AN117" s="0" t="n">
        <f aca="false">X117-AF117</f>
        <v>0</v>
      </c>
      <c r="AO117" s="0" t="n">
        <f aca="false">Y117-AG117</f>
        <v>0</v>
      </c>
      <c r="AP117" s="0" t="n">
        <f aca="false">MAX(0,'Debt Payoff'!$D$17-SUM(Z117:AG117))</f>
        <v>805</v>
      </c>
      <c r="AQ117" s="0" t="n">
        <f aca="false">MIN(AH117,MAX(0,$AP117-SUMPRODUCT(($AH$1:$AO$1&lt;AH$1)*$AH117:$AO117)))</f>
        <v>0</v>
      </c>
      <c r="AR117" s="0" t="n">
        <f aca="false">MIN(AI117,MAX(0,$AP117-SUMPRODUCT(($AH$1:$AO$1&lt;AI$1)*$AH117:$AO117)))</f>
        <v>0</v>
      </c>
      <c r="AS117" s="0" t="n">
        <f aca="false">MIN(AJ117,MAX(0,$AP117-SUMPRODUCT(($AH$1:$AO$1&lt;AJ$1)*$AH117:$AO117)))</f>
        <v>0</v>
      </c>
      <c r="AT117" s="0" t="n">
        <f aca="false">MIN(AK117,MAX(0,$AP117-SUMPRODUCT(($AH$1:$AO$1&lt;AK$1)*$AH117:$AO117)))</f>
        <v>0</v>
      </c>
      <c r="AU117" s="0" t="n">
        <f aca="false">MIN(AL117,MAX(0,$AP117-SUMPRODUCT(($AH$1:$AO$1&lt;AL$1)*$AH117:$AO117)))</f>
        <v>0</v>
      </c>
      <c r="AV117" s="0" t="n">
        <f aca="false">MIN(AM117,MAX(0,$AP117-SUMPRODUCT(($AH$1:$AO$1&lt;AM$1)*$AH117:$AO117)))</f>
        <v>0</v>
      </c>
      <c r="AW117" s="0" t="n">
        <f aca="false">MIN(AN117,MAX(0,$AP117-SUMPRODUCT(($AH$1:$AO$1&lt;AN$1)*$AH117:$AO117)))</f>
        <v>0</v>
      </c>
      <c r="AX117" s="0" t="n">
        <f aca="false">MIN(AO117,MAX(0,$AP117-SUMPRODUCT(($AH$1:$AO$1&lt;AO$1)*$AH117:$AO117)))</f>
        <v>0</v>
      </c>
      <c r="AY117" s="0" t="n">
        <f aca="false">ROUND(AH117-AQ117,2)</f>
        <v>0</v>
      </c>
      <c r="AZ117" s="0" t="n">
        <f aca="false">ROUND(AI117-AR117,2)</f>
        <v>0</v>
      </c>
      <c r="BA117" s="0" t="n">
        <f aca="false">ROUND(AJ117-AS117,2)</f>
        <v>0</v>
      </c>
      <c r="BB117" s="0" t="n">
        <f aca="false">ROUND(AK117-AT117,2)</f>
        <v>0</v>
      </c>
      <c r="BC117" s="0" t="n">
        <f aca="false">ROUND(AL117-AU117,2)</f>
        <v>0</v>
      </c>
      <c r="BD117" s="0" t="n">
        <f aca="false">ROUND(AM117-AV117,2)</f>
        <v>0</v>
      </c>
      <c r="BE117" s="0" t="n">
        <f aca="false">ROUND(AN117-AW117,2)</f>
        <v>0</v>
      </c>
      <c r="BF117" s="0" t="n">
        <f aca="false">ROUND(AO117-AX117,2)</f>
        <v>0</v>
      </c>
      <c r="BG117" s="0" t="n">
        <f aca="false">SUM(AY117:BF117)</f>
        <v>0</v>
      </c>
    </row>
    <row r="118" customFormat="false" ht="15" hidden="false" customHeight="false" outlineLevel="0" collapsed="false">
      <c r="A118" s="0" t="n">
        <v>116</v>
      </c>
      <c r="B118" s="0" t="n">
        <f aca="false">AY117</f>
        <v>0</v>
      </c>
      <c r="C118" s="0" t="n">
        <f aca="false">AZ117</f>
        <v>0</v>
      </c>
      <c r="D118" s="0" t="n">
        <f aca="false">BA117</f>
        <v>0</v>
      </c>
      <c r="E118" s="0" t="n">
        <f aca="false">BB117</f>
        <v>0</v>
      </c>
      <c r="F118" s="0" t="n">
        <f aca="false">BC117</f>
        <v>0</v>
      </c>
      <c r="G118" s="0" t="n">
        <f aca="false">BD117</f>
        <v>0</v>
      </c>
      <c r="H118" s="0" t="n">
        <f aca="false">BE117</f>
        <v>0</v>
      </c>
      <c r="I118" s="0" t="n">
        <f aca="false">BF117</f>
        <v>0</v>
      </c>
      <c r="J118" s="0" t="n">
        <f aca="false">B118*N('Debt Payoff'!D9)/12</f>
        <v>0</v>
      </c>
      <c r="K118" s="0" t="n">
        <f aca="false">C118*N('Debt Payoff'!D10)/12</f>
        <v>0</v>
      </c>
      <c r="L118" s="0" t="n">
        <f aca="false">D118*N('Debt Payoff'!D11)/12</f>
        <v>0</v>
      </c>
      <c r="M118" s="0" t="n">
        <f aca="false">E118*N('Debt Payoff'!D12)/12</f>
        <v>0</v>
      </c>
      <c r="N118" s="0" t="n">
        <f aca="false">F118*N('Debt Payoff'!D13)/12</f>
        <v>0</v>
      </c>
      <c r="O118" s="0" t="n">
        <f aca="false">G118*N('Debt Payoff'!D14)/12</f>
        <v>0</v>
      </c>
      <c r="P118" s="0" t="n">
        <f aca="false">H118*N('Debt Payoff'!D15)/12</f>
        <v>0</v>
      </c>
      <c r="Q118" s="0" t="n">
        <f aca="false">I118*N('Debt Payoff'!D16)/12</f>
        <v>0</v>
      </c>
      <c r="R118" s="0" t="n">
        <f aca="false">B118+J118</f>
        <v>0</v>
      </c>
      <c r="S118" s="0" t="n">
        <f aca="false">C118+K118</f>
        <v>0</v>
      </c>
      <c r="T118" s="0" t="n">
        <f aca="false">D118+L118</f>
        <v>0</v>
      </c>
      <c r="U118" s="0" t="n">
        <f aca="false">E118+M118</f>
        <v>0</v>
      </c>
      <c r="V118" s="0" t="n">
        <f aca="false">F118+N118</f>
        <v>0</v>
      </c>
      <c r="W118" s="0" t="n">
        <f aca="false">G118+O118</f>
        <v>0</v>
      </c>
      <c r="X118" s="0" t="n">
        <f aca="false">H118+P118</f>
        <v>0</v>
      </c>
      <c r="Y118" s="0" t="n">
        <f aca="false">I118+Q118</f>
        <v>0</v>
      </c>
      <c r="Z118" s="0" t="n">
        <f aca="false">MIN(R118,N('Debt Payoff'!E9))</f>
        <v>0</v>
      </c>
      <c r="AA118" s="0" t="n">
        <f aca="false">MIN(S118,N('Debt Payoff'!E10))</f>
        <v>0</v>
      </c>
      <c r="AB118" s="0" t="n">
        <f aca="false">MIN(T118,N('Debt Payoff'!E11))</f>
        <v>0</v>
      </c>
      <c r="AC118" s="0" t="n">
        <f aca="false">MIN(U118,N('Debt Payoff'!E12))</f>
        <v>0</v>
      </c>
      <c r="AD118" s="0" t="n">
        <f aca="false">MIN(V118,N('Debt Payoff'!E13))</f>
        <v>0</v>
      </c>
      <c r="AE118" s="0" t="n">
        <f aca="false">MIN(W118,N('Debt Payoff'!E14))</f>
        <v>0</v>
      </c>
      <c r="AF118" s="0" t="n">
        <f aca="false">MIN(X118,N('Debt Payoff'!E15))</f>
        <v>0</v>
      </c>
      <c r="AG118" s="0" t="n">
        <f aca="false">MIN(Y118,N('Debt Payoff'!E16))</f>
        <v>0</v>
      </c>
      <c r="AH118" s="0" t="n">
        <f aca="false">R118-Z118</f>
        <v>0</v>
      </c>
      <c r="AI118" s="0" t="n">
        <f aca="false">S118-AA118</f>
        <v>0</v>
      </c>
      <c r="AJ118" s="0" t="n">
        <f aca="false">T118-AB118</f>
        <v>0</v>
      </c>
      <c r="AK118" s="0" t="n">
        <f aca="false">U118-AC118</f>
        <v>0</v>
      </c>
      <c r="AL118" s="0" t="n">
        <f aca="false">V118-AD118</f>
        <v>0</v>
      </c>
      <c r="AM118" s="0" t="n">
        <f aca="false">W118-AE118</f>
        <v>0</v>
      </c>
      <c r="AN118" s="0" t="n">
        <f aca="false">X118-AF118</f>
        <v>0</v>
      </c>
      <c r="AO118" s="0" t="n">
        <f aca="false">Y118-AG118</f>
        <v>0</v>
      </c>
      <c r="AP118" s="0" t="n">
        <f aca="false">MAX(0,'Debt Payoff'!$D$17-SUM(Z118:AG118))</f>
        <v>805</v>
      </c>
      <c r="AQ118" s="0" t="n">
        <f aca="false">MIN(AH118,MAX(0,$AP118-SUMPRODUCT(($AH$1:$AO$1&lt;AH$1)*$AH118:$AO118)))</f>
        <v>0</v>
      </c>
      <c r="AR118" s="0" t="n">
        <f aca="false">MIN(AI118,MAX(0,$AP118-SUMPRODUCT(($AH$1:$AO$1&lt;AI$1)*$AH118:$AO118)))</f>
        <v>0</v>
      </c>
      <c r="AS118" s="0" t="n">
        <f aca="false">MIN(AJ118,MAX(0,$AP118-SUMPRODUCT(($AH$1:$AO$1&lt;AJ$1)*$AH118:$AO118)))</f>
        <v>0</v>
      </c>
      <c r="AT118" s="0" t="n">
        <f aca="false">MIN(AK118,MAX(0,$AP118-SUMPRODUCT(($AH$1:$AO$1&lt;AK$1)*$AH118:$AO118)))</f>
        <v>0</v>
      </c>
      <c r="AU118" s="0" t="n">
        <f aca="false">MIN(AL118,MAX(0,$AP118-SUMPRODUCT(($AH$1:$AO$1&lt;AL$1)*$AH118:$AO118)))</f>
        <v>0</v>
      </c>
      <c r="AV118" s="0" t="n">
        <f aca="false">MIN(AM118,MAX(0,$AP118-SUMPRODUCT(($AH$1:$AO$1&lt;AM$1)*$AH118:$AO118)))</f>
        <v>0</v>
      </c>
      <c r="AW118" s="0" t="n">
        <f aca="false">MIN(AN118,MAX(0,$AP118-SUMPRODUCT(($AH$1:$AO$1&lt;AN$1)*$AH118:$AO118)))</f>
        <v>0</v>
      </c>
      <c r="AX118" s="0" t="n">
        <f aca="false">MIN(AO118,MAX(0,$AP118-SUMPRODUCT(($AH$1:$AO$1&lt;AO$1)*$AH118:$AO118)))</f>
        <v>0</v>
      </c>
      <c r="AY118" s="0" t="n">
        <f aca="false">ROUND(AH118-AQ118,2)</f>
        <v>0</v>
      </c>
      <c r="AZ118" s="0" t="n">
        <f aca="false">ROUND(AI118-AR118,2)</f>
        <v>0</v>
      </c>
      <c r="BA118" s="0" t="n">
        <f aca="false">ROUND(AJ118-AS118,2)</f>
        <v>0</v>
      </c>
      <c r="BB118" s="0" t="n">
        <f aca="false">ROUND(AK118-AT118,2)</f>
        <v>0</v>
      </c>
      <c r="BC118" s="0" t="n">
        <f aca="false">ROUND(AL118-AU118,2)</f>
        <v>0</v>
      </c>
      <c r="BD118" s="0" t="n">
        <f aca="false">ROUND(AM118-AV118,2)</f>
        <v>0</v>
      </c>
      <c r="BE118" s="0" t="n">
        <f aca="false">ROUND(AN118-AW118,2)</f>
        <v>0</v>
      </c>
      <c r="BF118" s="0" t="n">
        <f aca="false">ROUND(AO118-AX118,2)</f>
        <v>0</v>
      </c>
      <c r="BG118" s="0" t="n">
        <f aca="false">SUM(AY118:BF118)</f>
        <v>0</v>
      </c>
    </row>
    <row r="119" customFormat="false" ht="15" hidden="false" customHeight="false" outlineLevel="0" collapsed="false">
      <c r="A119" s="0" t="n">
        <v>117</v>
      </c>
      <c r="B119" s="0" t="n">
        <f aca="false">AY118</f>
        <v>0</v>
      </c>
      <c r="C119" s="0" t="n">
        <f aca="false">AZ118</f>
        <v>0</v>
      </c>
      <c r="D119" s="0" t="n">
        <f aca="false">BA118</f>
        <v>0</v>
      </c>
      <c r="E119" s="0" t="n">
        <f aca="false">BB118</f>
        <v>0</v>
      </c>
      <c r="F119" s="0" t="n">
        <f aca="false">BC118</f>
        <v>0</v>
      </c>
      <c r="G119" s="0" t="n">
        <f aca="false">BD118</f>
        <v>0</v>
      </c>
      <c r="H119" s="0" t="n">
        <f aca="false">BE118</f>
        <v>0</v>
      </c>
      <c r="I119" s="0" t="n">
        <f aca="false">BF118</f>
        <v>0</v>
      </c>
      <c r="J119" s="0" t="n">
        <f aca="false">B119*N('Debt Payoff'!D9)/12</f>
        <v>0</v>
      </c>
      <c r="K119" s="0" t="n">
        <f aca="false">C119*N('Debt Payoff'!D10)/12</f>
        <v>0</v>
      </c>
      <c r="L119" s="0" t="n">
        <f aca="false">D119*N('Debt Payoff'!D11)/12</f>
        <v>0</v>
      </c>
      <c r="M119" s="0" t="n">
        <f aca="false">E119*N('Debt Payoff'!D12)/12</f>
        <v>0</v>
      </c>
      <c r="N119" s="0" t="n">
        <f aca="false">F119*N('Debt Payoff'!D13)/12</f>
        <v>0</v>
      </c>
      <c r="O119" s="0" t="n">
        <f aca="false">G119*N('Debt Payoff'!D14)/12</f>
        <v>0</v>
      </c>
      <c r="P119" s="0" t="n">
        <f aca="false">H119*N('Debt Payoff'!D15)/12</f>
        <v>0</v>
      </c>
      <c r="Q119" s="0" t="n">
        <f aca="false">I119*N('Debt Payoff'!D16)/12</f>
        <v>0</v>
      </c>
      <c r="R119" s="0" t="n">
        <f aca="false">B119+J119</f>
        <v>0</v>
      </c>
      <c r="S119" s="0" t="n">
        <f aca="false">C119+K119</f>
        <v>0</v>
      </c>
      <c r="T119" s="0" t="n">
        <f aca="false">D119+L119</f>
        <v>0</v>
      </c>
      <c r="U119" s="0" t="n">
        <f aca="false">E119+M119</f>
        <v>0</v>
      </c>
      <c r="V119" s="0" t="n">
        <f aca="false">F119+N119</f>
        <v>0</v>
      </c>
      <c r="W119" s="0" t="n">
        <f aca="false">G119+O119</f>
        <v>0</v>
      </c>
      <c r="X119" s="0" t="n">
        <f aca="false">H119+P119</f>
        <v>0</v>
      </c>
      <c r="Y119" s="0" t="n">
        <f aca="false">I119+Q119</f>
        <v>0</v>
      </c>
      <c r="Z119" s="0" t="n">
        <f aca="false">MIN(R119,N('Debt Payoff'!E9))</f>
        <v>0</v>
      </c>
      <c r="AA119" s="0" t="n">
        <f aca="false">MIN(S119,N('Debt Payoff'!E10))</f>
        <v>0</v>
      </c>
      <c r="AB119" s="0" t="n">
        <f aca="false">MIN(T119,N('Debt Payoff'!E11))</f>
        <v>0</v>
      </c>
      <c r="AC119" s="0" t="n">
        <f aca="false">MIN(U119,N('Debt Payoff'!E12))</f>
        <v>0</v>
      </c>
      <c r="AD119" s="0" t="n">
        <f aca="false">MIN(V119,N('Debt Payoff'!E13))</f>
        <v>0</v>
      </c>
      <c r="AE119" s="0" t="n">
        <f aca="false">MIN(W119,N('Debt Payoff'!E14))</f>
        <v>0</v>
      </c>
      <c r="AF119" s="0" t="n">
        <f aca="false">MIN(X119,N('Debt Payoff'!E15))</f>
        <v>0</v>
      </c>
      <c r="AG119" s="0" t="n">
        <f aca="false">MIN(Y119,N('Debt Payoff'!E16))</f>
        <v>0</v>
      </c>
      <c r="AH119" s="0" t="n">
        <f aca="false">R119-Z119</f>
        <v>0</v>
      </c>
      <c r="AI119" s="0" t="n">
        <f aca="false">S119-AA119</f>
        <v>0</v>
      </c>
      <c r="AJ119" s="0" t="n">
        <f aca="false">T119-AB119</f>
        <v>0</v>
      </c>
      <c r="AK119" s="0" t="n">
        <f aca="false">U119-AC119</f>
        <v>0</v>
      </c>
      <c r="AL119" s="0" t="n">
        <f aca="false">V119-AD119</f>
        <v>0</v>
      </c>
      <c r="AM119" s="0" t="n">
        <f aca="false">W119-AE119</f>
        <v>0</v>
      </c>
      <c r="AN119" s="0" t="n">
        <f aca="false">X119-AF119</f>
        <v>0</v>
      </c>
      <c r="AO119" s="0" t="n">
        <f aca="false">Y119-AG119</f>
        <v>0</v>
      </c>
      <c r="AP119" s="0" t="n">
        <f aca="false">MAX(0,'Debt Payoff'!$D$17-SUM(Z119:AG119))</f>
        <v>805</v>
      </c>
      <c r="AQ119" s="0" t="n">
        <f aca="false">MIN(AH119,MAX(0,$AP119-SUMPRODUCT(($AH$1:$AO$1&lt;AH$1)*$AH119:$AO119)))</f>
        <v>0</v>
      </c>
      <c r="AR119" s="0" t="n">
        <f aca="false">MIN(AI119,MAX(0,$AP119-SUMPRODUCT(($AH$1:$AO$1&lt;AI$1)*$AH119:$AO119)))</f>
        <v>0</v>
      </c>
      <c r="AS119" s="0" t="n">
        <f aca="false">MIN(AJ119,MAX(0,$AP119-SUMPRODUCT(($AH$1:$AO$1&lt;AJ$1)*$AH119:$AO119)))</f>
        <v>0</v>
      </c>
      <c r="AT119" s="0" t="n">
        <f aca="false">MIN(AK119,MAX(0,$AP119-SUMPRODUCT(($AH$1:$AO$1&lt;AK$1)*$AH119:$AO119)))</f>
        <v>0</v>
      </c>
      <c r="AU119" s="0" t="n">
        <f aca="false">MIN(AL119,MAX(0,$AP119-SUMPRODUCT(($AH$1:$AO$1&lt;AL$1)*$AH119:$AO119)))</f>
        <v>0</v>
      </c>
      <c r="AV119" s="0" t="n">
        <f aca="false">MIN(AM119,MAX(0,$AP119-SUMPRODUCT(($AH$1:$AO$1&lt;AM$1)*$AH119:$AO119)))</f>
        <v>0</v>
      </c>
      <c r="AW119" s="0" t="n">
        <f aca="false">MIN(AN119,MAX(0,$AP119-SUMPRODUCT(($AH$1:$AO$1&lt;AN$1)*$AH119:$AO119)))</f>
        <v>0</v>
      </c>
      <c r="AX119" s="0" t="n">
        <f aca="false">MIN(AO119,MAX(0,$AP119-SUMPRODUCT(($AH$1:$AO$1&lt;AO$1)*$AH119:$AO119)))</f>
        <v>0</v>
      </c>
      <c r="AY119" s="0" t="n">
        <f aca="false">ROUND(AH119-AQ119,2)</f>
        <v>0</v>
      </c>
      <c r="AZ119" s="0" t="n">
        <f aca="false">ROUND(AI119-AR119,2)</f>
        <v>0</v>
      </c>
      <c r="BA119" s="0" t="n">
        <f aca="false">ROUND(AJ119-AS119,2)</f>
        <v>0</v>
      </c>
      <c r="BB119" s="0" t="n">
        <f aca="false">ROUND(AK119-AT119,2)</f>
        <v>0</v>
      </c>
      <c r="BC119" s="0" t="n">
        <f aca="false">ROUND(AL119-AU119,2)</f>
        <v>0</v>
      </c>
      <c r="BD119" s="0" t="n">
        <f aca="false">ROUND(AM119-AV119,2)</f>
        <v>0</v>
      </c>
      <c r="BE119" s="0" t="n">
        <f aca="false">ROUND(AN119-AW119,2)</f>
        <v>0</v>
      </c>
      <c r="BF119" s="0" t="n">
        <f aca="false">ROUND(AO119-AX119,2)</f>
        <v>0</v>
      </c>
      <c r="BG119" s="0" t="n">
        <f aca="false">SUM(AY119:BF119)</f>
        <v>0</v>
      </c>
    </row>
    <row r="120" customFormat="false" ht="15" hidden="false" customHeight="false" outlineLevel="0" collapsed="false">
      <c r="A120" s="0" t="n">
        <v>118</v>
      </c>
      <c r="B120" s="0" t="n">
        <f aca="false">AY119</f>
        <v>0</v>
      </c>
      <c r="C120" s="0" t="n">
        <f aca="false">AZ119</f>
        <v>0</v>
      </c>
      <c r="D120" s="0" t="n">
        <f aca="false">BA119</f>
        <v>0</v>
      </c>
      <c r="E120" s="0" t="n">
        <f aca="false">BB119</f>
        <v>0</v>
      </c>
      <c r="F120" s="0" t="n">
        <f aca="false">BC119</f>
        <v>0</v>
      </c>
      <c r="G120" s="0" t="n">
        <f aca="false">BD119</f>
        <v>0</v>
      </c>
      <c r="H120" s="0" t="n">
        <f aca="false">BE119</f>
        <v>0</v>
      </c>
      <c r="I120" s="0" t="n">
        <f aca="false">BF119</f>
        <v>0</v>
      </c>
      <c r="J120" s="0" t="n">
        <f aca="false">B120*N('Debt Payoff'!D9)/12</f>
        <v>0</v>
      </c>
      <c r="K120" s="0" t="n">
        <f aca="false">C120*N('Debt Payoff'!D10)/12</f>
        <v>0</v>
      </c>
      <c r="L120" s="0" t="n">
        <f aca="false">D120*N('Debt Payoff'!D11)/12</f>
        <v>0</v>
      </c>
      <c r="M120" s="0" t="n">
        <f aca="false">E120*N('Debt Payoff'!D12)/12</f>
        <v>0</v>
      </c>
      <c r="N120" s="0" t="n">
        <f aca="false">F120*N('Debt Payoff'!D13)/12</f>
        <v>0</v>
      </c>
      <c r="O120" s="0" t="n">
        <f aca="false">G120*N('Debt Payoff'!D14)/12</f>
        <v>0</v>
      </c>
      <c r="P120" s="0" t="n">
        <f aca="false">H120*N('Debt Payoff'!D15)/12</f>
        <v>0</v>
      </c>
      <c r="Q120" s="0" t="n">
        <f aca="false">I120*N('Debt Payoff'!D16)/12</f>
        <v>0</v>
      </c>
      <c r="R120" s="0" t="n">
        <f aca="false">B120+J120</f>
        <v>0</v>
      </c>
      <c r="S120" s="0" t="n">
        <f aca="false">C120+K120</f>
        <v>0</v>
      </c>
      <c r="T120" s="0" t="n">
        <f aca="false">D120+L120</f>
        <v>0</v>
      </c>
      <c r="U120" s="0" t="n">
        <f aca="false">E120+M120</f>
        <v>0</v>
      </c>
      <c r="V120" s="0" t="n">
        <f aca="false">F120+N120</f>
        <v>0</v>
      </c>
      <c r="W120" s="0" t="n">
        <f aca="false">G120+O120</f>
        <v>0</v>
      </c>
      <c r="X120" s="0" t="n">
        <f aca="false">H120+P120</f>
        <v>0</v>
      </c>
      <c r="Y120" s="0" t="n">
        <f aca="false">I120+Q120</f>
        <v>0</v>
      </c>
      <c r="Z120" s="0" t="n">
        <f aca="false">MIN(R120,N('Debt Payoff'!E9))</f>
        <v>0</v>
      </c>
      <c r="AA120" s="0" t="n">
        <f aca="false">MIN(S120,N('Debt Payoff'!E10))</f>
        <v>0</v>
      </c>
      <c r="AB120" s="0" t="n">
        <f aca="false">MIN(T120,N('Debt Payoff'!E11))</f>
        <v>0</v>
      </c>
      <c r="AC120" s="0" t="n">
        <f aca="false">MIN(U120,N('Debt Payoff'!E12))</f>
        <v>0</v>
      </c>
      <c r="AD120" s="0" t="n">
        <f aca="false">MIN(V120,N('Debt Payoff'!E13))</f>
        <v>0</v>
      </c>
      <c r="AE120" s="0" t="n">
        <f aca="false">MIN(W120,N('Debt Payoff'!E14))</f>
        <v>0</v>
      </c>
      <c r="AF120" s="0" t="n">
        <f aca="false">MIN(X120,N('Debt Payoff'!E15))</f>
        <v>0</v>
      </c>
      <c r="AG120" s="0" t="n">
        <f aca="false">MIN(Y120,N('Debt Payoff'!E16))</f>
        <v>0</v>
      </c>
      <c r="AH120" s="0" t="n">
        <f aca="false">R120-Z120</f>
        <v>0</v>
      </c>
      <c r="AI120" s="0" t="n">
        <f aca="false">S120-AA120</f>
        <v>0</v>
      </c>
      <c r="AJ120" s="0" t="n">
        <f aca="false">T120-AB120</f>
        <v>0</v>
      </c>
      <c r="AK120" s="0" t="n">
        <f aca="false">U120-AC120</f>
        <v>0</v>
      </c>
      <c r="AL120" s="0" t="n">
        <f aca="false">V120-AD120</f>
        <v>0</v>
      </c>
      <c r="AM120" s="0" t="n">
        <f aca="false">W120-AE120</f>
        <v>0</v>
      </c>
      <c r="AN120" s="0" t="n">
        <f aca="false">X120-AF120</f>
        <v>0</v>
      </c>
      <c r="AO120" s="0" t="n">
        <f aca="false">Y120-AG120</f>
        <v>0</v>
      </c>
      <c r="AP120" s="0" t="n">
        <f aca="false">MAX(0,'Debt Payoff'!$D$17-SUM(Z120:AG120))</f>
        <v>805</v>
      </c>
      <c r="AQ120" s="0" t="n">
        <f aca="false">MIN(AH120,MAX(0,$AP120-SUMPRODUCT(($AH$1:$AO$1&lt;AH$1)*$AH120:$AO120)))</f>
        <v>0</v>
      </c>
      <c r="AR120" s="0" t="n">
        <f aca="false">MIN(AI120,MAX(0,$AP120-SUMPRODUCT(($AH$1:$AO$1&lt;AI$1)*$AH120:$AO120)))</f>
        <v>0</v>
      </c>
      <c r="AS120" s="0" t="n">
        <f aca="false">MIN(AJ120,MAX(0,$AP120-SUMPRODUCT(($AH$1:$AO$1&lt;AJ$1)*$AH120:$AO120)))</f>
        <v>0</v>
      </c>
      <c r="AT120" s="0" t="n">
        <f aca="false">MIN(AK120,MAX(0,$AP120-SUMPRODUCT(($AH$1:$AO$1&lt;AK$1)*$AH120:$AO120)))</f>
        <v>0</v>
      </c>
      <c r="AU120" s="0" t="n">
        <f aca="false">MIN(AL120,MAX(0,$AP120-SUMPRODUCT(($AH$1:$AO$1&lt;AL$1)*$AH120:$AO120)))</f>
        <v>0</v>
      </c>
      <c r="AV120" s="0" t="n">
        <f aca="false">MIN(AM120,MAX(0,$AP120-SUMPRODUCT(($AH$1:$AO$1&lt;AM$1)*$AH120:$AO120)))</f>
        <v>0</v>
      </c>
      <c r="AW120" s="0" t="n">
        <f aca="false">MIN(AN120,MAX(0,$AP120-SUMPRODUCT(($AH$1:$AO$1&lt;AN$1)*$AH120:$AO120)))</f>
        <v>0</v>
      </c>
      <c r="AX120" s="0" t="n">
        <f aca="false">MIN(AO120,MAX(0,$AP120-SUMPRODUCT(($AH$1:$AO$1&lt;AO$1)*$AH120:$AO120)))</f>
        <v>0</v>
      </c>
      <c r="AY120" s="0" t="n">
        <f aca="false">ROUND(AH120-AQ120,2)</f>
        <v>0</v>
      </c>
      <c r="AZ120" s="0" t="n">
        <f aca="false">ROUND(AI120-AR120,2)</f>
        <v>0</v>
      </c>
      <c r="BA120" s="0" t="n">
        <f aca="false">ROUND(AJ120-AS120,2)</f>
        <v>0</v>
      </c>
      <c r="BB120" s="0" t="n">
        <f aca="false">ROUND(AK120-AT120,2)</f>
        <v>0</v>
      </c>
      <c r="BC120" s="0" t="n">
        <f aca="false">ROUND(AL120-AU120,2)</f>
        <v>0</v>
      </c>
      <c r="BD120" s="0" t="n">
        <f aca="false">ROUND(AM120-AV120,2)</f>
        <v>0</v>
      </c>
      <c r="BE120" s="0" t="n">
        <f aca="false">ROUND(AN120-AW120,2)</f>
        <v>0</v>
      </c>
      <c r="BF120" s="0" t="n">
        <f aca="false">ROUND(AO120-AX120,2)</f>
        <v>0</v>
      </c>
      <c r="BG120" s="0" t="n">
        <f aca="false">SUM(AY120:BF120)</f>
        <v>0</v>
      </c>
    </row>
    <row r="121" customFormat="false" ht="15" hidden="false" customHeight="false" outlineLevel="0" collapsed="false">
      <c r="A121" s="0" t="n">
        <v>119</v>
      </c>
      <c r="B121" s="0" t="n">
        <f aca="false">AY120</f>
        <v>0</v>
      </c>
      <c r="C121" s="0" t="n">
        <f aca="false">AZ120</f>
        <v>0</v>
      </c>
      <c r="D121" s="0" t="n">
        <f aca="false">BA120</f>
        <v>0</v>
      </c>
      <c r="E121" s="0" t="n">
        <f aca="false">BB120</f>
        <v>0</v>
      </c>
      <c r="F121" s="0" t="n">
        <f aca="false">BC120</f>
        <v>0</v>
      </c>
      <c r="G121" s="0" t="n">
        <f aca="false">BD120</f>
        <v>0</v>
      </c>
      <c r="H121" s="0" t="n">
        <f aca="false">BE120</f>
        <v>0</v>
      </c>
      <c r="I121" s="0" t="n">
        <f aca="false">BF120</f>
        <v>0</v>
      </c>
      <c r="J121" s="0" t="n">
        <f aca="false">B121*N('Debt Payoff'!D9)/12</f>
        <v>0</v>
      </c>
      <c r="K121" s="0" t="n">
        <f aca="false">C121*N('Debt Payoff'!D10)/12</f>
        <v>0</v>
      </c>
      <c r="L121" s="0" t="n">
        <f aca="false">D121*N('Debt Payoff'!D11)/12</f>
        <v>0</v>
      </c>
      <c r="M121" s="0" t="n">
        <f aca="false">E121*N('Debt Payoff'!D12)/12</f>
        <v>0</v>
      </c>
      <c r="N121" s="0" t="n">
        <f aca="false">F121*N('Debt Payoff'!D13)/12</f>
        <v>0</v>
      </c>
      <c r="O121" s="0" t="n">
        <f aca="false">G121*N('Debt Payoff'!D14)/12</f>
        <v>0</v>
      </c>
      <c r="P121" s="0" t="n">
        <f aca="false">H121*N('Debt Payoff'!D15)/12</f>
        <v>0</v>
      </c>
      <c r="Q121" s="0" t="n">
        <f aca="false">I121*N('Debt Payoff'!D16)/12</f>
        <v>0</v>
      </c>
      <c r="R121" s="0" t="n">
        <f aca="false">B121+J121</f>
        <v>0</v>
      </c>
      <c r="S121" s="0" t="n">
        <f aca="false">C121+K121</f>
        <v>0</v>
      </c>
      <c r="T121" s="0" t="n">
        <f aca="false">D121+L121</f>
        <v>0</v>
      </c>
      <c r="U121" s="0" t="n">
        <f aca="false">E121+M121</f>
        <v>0</v>
      </c>
      <c r="V121" s="0" t="n">
        <f aca="false">F121+N121</f>
        <v>0</v>
      </c>
      <c r="W121" s="0" t="n">
        <f aca="false">G121+O121</f>
        <v>0</v>
      </c>
      <c r="X121" s="0" t="n">
        <f aca="false">H121+P121</f>
        <v>0</v>
      </c>
      <c r="Y121" s="0" t="n">
        <f aca="false">I121+Q121</f>
        <v>0</v>
      </c>
      <c r="Z121" s="0" t="n">
        <f aca="false">MIN(R121,N('Debt Payoff'!E9))</f>
        <v>0</v>
      </c>
      <c r="AA121" s="0" t="n">
        <f aca="false">MIN(S121,N('Debt Payoff'!E10))</f>
        <v>0</v>
      </c>
      <c r="AB121" s="0" t="n">
        <f aca="false">MIN(T121,N('Debt Payoff'!E11))</f>
        <v>0</v>
      </c>
      <c r="AC121" s="0" t="n">
        <f aca="false">MIN(U121,N('Debt Payoff'!E12))</f>
        <v>0</v>
      </c>
      <c r="AD121" s="0" t="n">
        <f aca="false">MIN(V121,N('Debt Payoff'!E13))</f>
        <v>0</v>
      </c>
      <c r="AE121" s="0" t="n">
        <f aca="false">MIN(W121,N('Debt Payoff'!E14))</f>
        <v>0</v>
      </c>
      <c r="AF121" s="0" t="n">
        <f aca="false">MIN(X121,N('Debt Payoff'!E15))</f>
        <v>0</v>
      </c>
      <c r="AG121" s="0" t="n">
        <f aca="false">MIN(Y121,N('Debt Payoff'!E16))</f>
        <v>0</v>
      </c>
      <c r="AH121" s="0" t="n">
        <f aca="false">R121-Z121</f>
        <v>0</v>
      </c>
      <c r="AI121" s="0" t="n">
        <f aca="false">S121-AA121</f>
        <v>0</v>
      </c>
      <c r="AJ121" s="0" t="n">
        <f aca="false">T121-AB121</f>
        <v>0</v>
      </c>
      <c r="AK121" s="0" t="n">
        <f aca="false">U121-AC121</f>
        <v>0</v>
      </c>
      <c r="AL121" s="0" t="n">
        <f aca="false">V121-AD121</f>
        <v>0</v>
      </c>
      <c r="AM121" s="0" t="n">
        <f aca="false">W121-AE121</f>
        <v>0</v>
      </c>
      <c r="AN121" s="0" t="n">
        <f aca="false">X121-AF121</f>
        <v>0</v>
      </c>
      <c r="AO121" s="0" t="n">
        <f aca="false">Y121-AG121</f>
        <v>0</v>
      </c>
      <c r="AP121" s="0" t="n">
        <f aca="false">MAX(0,'Debt Payoff'!$D$17-SUM(Z121:AG121))</f>
        <v>805</v>
      </c>
      <c r="AQ121" s="0" t="n">
        <f aca="false">MIN(AH121,MAX(0,$AP121-SUMPRODUCT(($AH$1:$AO$1&lt;AH$1)*$AH121:$AO121)))</f>
        <v>0</v>
      </c>
      <c r="AR121" s="0" t="n">
        <f aca="false">MIN(AI121,MAX(0,$AP121-SUMPRODUCT(($AH$1:$AO$1&lt;AI$1)*$AH121:$AO121)))</f>
        <v>0</v>
      </c>
      <c r="AS121" s="0" t="n">
        <f aca="false">MIN(AJ121,MAX(0,$AP121-SUMPRODUCT(($AH$1:$AO$1&lt;AJ$1)*$AH121:$AO121)))</f>
        <v>0</v>
      </c>
      <c r="AT121" s="0" t="n">
        <f aca="false">MIN(AK121,MAX(0,$AP121-SUMPRODUCT(($AH$1:$AO$1&lt;AK$1)*$AH121:$AO121)))</f>
        <v>0</v>
      </c>
      <c r="AU121" s="0" t="n">
        <f aca="false">MIN(AL121,MAX(0,$AP121-SUMPRODUCT(($AH$1:$AO$1&lt;AL$1)*$AH121:$AO121)))</f>
        <v>0</v>
      </c>
      <c r="AV121" s="0" t="n">
        <f aca="false">MIN(AM121,MAX(0,$AP121-SUMPRODUCT(($AH$1:$AO$1&lt;AM$1)*$AH121:$AO121)))</f>
        <v>0</v>
      </c>
      <c r="AW121" s="0" t="n">
        <f aca="false">MIN(AN121,MAX(0,$AP121-SUMPRODUCT(($AH$1:$AO$1&lt;AN$1)*$AH121:$AO121)))</f>
        <v>0</v>
      </c>
      <c r="AX121" s="0" t="n">
        <f aca="false">MIN(AO121,MAX(0,$AP121-SUMPRODUCT(($AH$1:$AO$1&lt;AO$1)*$AH121:$AO121)))</f>
        <v>0</v>
      </c>
      <c r="AY121" s="0" t="n">
        <f aca="false">ROUND(AH121-AQ121,2)</f>
        <v>0</v>
      </c>
      <c r="AZ121" s="0" t="n">
        <f aca="false">ROUND(AI121-AR121,2)</f>
        <v>0</v>
      </c>
      <c r="BA121" s="0" t="n">
        <f aca="false">ROUND(AJ121-AS121,2)</f>
        <v>0</v>
      </c>
      <c r="BB121" s="0" t="n">
        <f aca="false">ROUND(AK121-AT121,2)</f>
        <v>0</v>
      </c>
      <c r="BC121" s="0" t="n">
        <f aca="false">ROUND(AL121-AU121,2)</f>
        <v>0</v>
      </c>
      <c r="BD121" s="0" t="n">
        <f aca="false">ROUND(AM121-AV121,2)</f>
        <v>0</v>
      </c>
      <c r="BE121" s="0" t="n">
        <f aca="false">ROUND(AN121-AW121,2)</f>
        <v>0</v>
      </c>
      <c r="BF121" s="0" t="n">
        <f aca="false">ROUND(AO121-AX121,2)</f>
        <v>0</v>
      </c>
      <c r="BG121" s="0" t="n">
        <f aca="false">SUM(AY121:BF121)</f>
        <v>0</v>
      </c>
    </row>
    <row r="122" customFormat="false" ht="15" hidden="false" customHeight="false" outlineLevel="0" collapsed="false">
      <c r="A122" s="0" t="n">
        <v>120</v>
      </c>
      <c r="B122" s="0" t="n">
        <f aca="false">AY121</f>
        <v>0</v>
      </c>
      <c r="C122" s="0" t="n">
        <f aca="false">AZ121</f>
        <v>0</v>
      </c>
      <c r="D122" s="0" t="n">
        <f aca="false">BA121</f>
        <v>0</v>
      </c>
      <c r="E122" s="0" t="n">
        <f aca="false">BB121</f>
        <v>0</v>
      </c>
      <c r="F122" s="0" t="n">
        <f aca="false">BC121</f>
        <v>0</v>
      </c>
      <c r="G122" s="0" t="n">
        <f aca="false">BD121</f>
        <v>0</v>
      </c>
      <c r="H122" s="0" t="n">
        <f aca="false">BE121</f>
        <v>0</v>
      </c>
      <c r="I122" s="0" t="n">
        <f aca="false">BF121</f>
        <v>0</v>
      </c>
      <c r="J122" s="0" t="n">
        <f aca="false">B122*N('Debt Payoff'!D9)/12</f>
        <v>0</v>
      </c>
      <c r="K122" s="0" t="n">
        <f aca="false">C122*N('Debt Payoff'!D10)/12</f>
        <v>0</v>
      </c>
      <c r="L122" s="0" t="n">
        <f aca="false">D122*N('Debt Payoff'!D11)/12</f>
        <v>0</v>
      </c>
      <c r="M122" s="0" t="n">
        <f aca="false">E122*N('Debt Payoff'!D12)/12</f>
        <v>0</v>
      </c>
      <c r="N122" s="0" t="n">
        <f aca="false">F122*N('Debt Payoff'!D13)/12</f>
        <v>0</v>
      </c>
      <c r="O122" s="0" t="n">
        <f aca="false">G122*N('Debt Payoff'!D14)/12</f>
        <v>0</v>
      </c>
      <c r="P122" s="0" t="n">
        <f aca="false">H122*N('Debt Payoff'!D15)/12</f>
        <v>0</v>
      </c>
      <c r="Q122" s="0" t="n">
        <f aca="false">I122*N('Debt Payoff'!D16)/12</f>
        <v>0</v>
      </c>
      <c r="R122" s="0" t="n">
        <f aca="false">B122+J122</f>
        <v>0</v>
      </c>
      <c r="S122" s="0" t="n">
        <f aca="false">C122+K122</f>
        <v>0</v>
      </c>
      <c r="T122" s="0" t="n">
        <f aca="false">D122+L122</f>
        <v>0</v>
      </c>
      <c r="U122" s="0" t="n">
        <f aca="false">E122+M122</f>
        <v>0</v>
      </c>
      <c r="V122" s="0" t="n">
        <f aca="false">F122+N122</f>
        <v>0</v>
      </c>
      <c r="W122" s="0" t="n">
        <f aca="false">G122+O122</f>
        <v>0</v>
      </c>
      <c r="X122" s="0" t="n">
        <f aca="false">H122+P122</f>
        <v>0</v>
      </c>
      <c r="Y122" s="0" t="n">
        <f aca="false">I122+Q122</f>
        <v>0</v>
      </c>
      <c r="Z122" s="0" t="n">
        <f aca="false">MIN(R122,N('Debt Payoff'!E9))</f>
        <v>0</v>
      </c>
      <c r="AA122" s="0" t="n">
        <f aca="false">MIN(S122,N('Debt Payoff'!E10))</f>
        <v>0</v>
      </c>
      <c r="AB122" s="0" t="n">
        <f aca="false">MIN(T122,N('Debt Payoff'!E11))</f>
        <v>0</v>
      </c>
      <c r="AC122" s="0" t="n">
        <f aca="false">MIN(U122,N('Debt Payoff'!E12))</f>
        <v>0</v>
      </c>
      <c r="AD122" s="0" t="n">
        <f aca="false">MIN(V122,N('Debt Payoff'!E13))</f>
        <v>0</v>
      </c>
      <c r="AE122" s="0" t="n">
        <f aca="false">MIN(W122,N('Debt Payoff'!E14))</f>
        <v>0</v>
      </c>
      <c r="AF122" s="0" t="n">
        <f aca="false">MIN(X122,N('Debt Payoff'!E15))</f>
        <v>0</v>
      </c>
      <c r="AG122" s="0" t="n">
        <f aca="false">MIN(Y122,N('Debt Payoff'!E16))</f>
        <v>0</v>
      </c>
      <c r="AH122" s="0" t="n">
        <f aca="false">R122-Z122</f>
        <v>0</v>
      </c>
      <c r="AI122" s="0" t="n">
        <f aca="false">S122-AA122</f>
        <v>0</v>
      </c>
      <c r="AJ122" s="0" t="n">
        <f aca="false">T122-AB122</f>
        <v>0</v>
      </c>
      <c r="AK122" s="0" t="n">
        <f aca="false">U122-AC122</f>
        <v>0</v>
      </c>
      <c r="AL122" s="0" t="n">
        <f aca="false">V122-AD122</f>
        <v>0</v>
      </c>
      <c r="AM122" s="0" t="n">
        <f aca="false">W122-AE122</f>
        <v>0</v>
      </c>
      <c r="AN122" s="0" t="n">
        <f aca="false">X122-AF122</f>
        <v>0</v>
      </c>
      <c r="AO122" s="0" t="n">
        <f aca="false">Y122-AG122</f>
        <v>0</v>
      </c>
      <c r="AP122" s="0" t="n">
        <f aca="false">MAX(0,'Debt Payoff'!$D$17-SUM(Z122:AG122))</f>
        <v>805</v>
      </c>
      <c r="AQ122" s="0" t="n">
        <f aca="false">MIN(AH122,MAX(0,$AP122-SUMPRODUCT(($AH$1:$AO$1&lt;AH$1)*$AH122:$AO122)))</f>
        <v>0</v>
      </c>
      <c r="AR122" s="0" t="n">
        <f aca="false">MIN(AI122,MAX(0,$AP122-SUMPRODUCT(($AH$1:$AO$1&lt;AI$1)*$AH122:$AO122)))</f>
        <v>0</v>
      </c>
      <c r="AS122" s="0" t="n">
        <f aca="false">MIN(AJ122,MAX(0,$AP122-SUMPRODUCT(($AH$1:$AO$1&lt;AJ$1)*$AH122:$AO122)))</f>
        <v>0</v>
      </c>
      <c r="AT122" s="0" t="n">
        <f aca="false">MIN(AK122,MAX(0,$AP122-SUMPRODUCT(($AH$1:$AO$1&lt;AK$1)*$AH122:$AO122)))</f>
        <v>0</v>
      </c>
      <c r="AU122" s="0" t="n">
        <f aca="false">MIN(AL122,MAX(0,$AP122-SUMPRODUCT(($AH$1:$AO$1&lt;AL$1)*$AH122:$AO122)))</f>
        <v>0</v>
      </c>
      <c r="AV122" s="0" t="n">
        <f aca="false">MIN(AM122,MAX(0,$AP122-SUMPRODUCT(($AH$1:$AO$1&lt;AM$1)*$AH122:$AO122)))</f>
        <v>0</v>
      </c>
      <c r="AW122" s="0" t="n">
        <f aca="false">MIN(AN122,MAX(0,$AP122-SUMPRODUCT(($AH$1:$AO$1&lt;AN$1)*$AH122:$AO122)))</f>
        <v>0</v>
      </c>
      <c r="AX122" s="0" t="n">
        <f aca="false">MIN(AO122,MAX(0,$AP122-SUMPRODUCT(($AH$1:$AO$1&lt;AO$1)*$AH122:$AO122)))</f>
        <v>0</v>
      </c>
      <c r="AY122" s="0" t="n">
        <f aca="false">ROUND(AH122-AQ122,2)</f>
        <v>0</v>
      </c>
      <c r="AZ122" s="0" t="n">
        <f aca="false">ROUND(AI122-AR122,2)</f>
        <v>0</v>
      </c>
      <c r="BA122" s="0" t="n">
        <f aca="false">ROUND(AJ122-AS122,2)</f>
        <v>0</v>
      </c>
      <c r="BB122" s="0" t="n">
        <f aca="false">ROUND(AK122-AT122,2)</f>
        <v>0</v>
      </c>
      <c r="BC122" s="0" t="n">
        <f aca="false">ROUND(AL122-AU122,2)</f>
        <v>0</v>
      </c>
      <c r="BD122" s="0" t="n">
        <f aca="false">ROUND(AM122-AV122,2)</f>
        <v>0</v>
      </c>
      <c r="BE122" s="0" t="n">
        <f aca="false">ROUND(AN122-AW122,2)</f>
        <v>0</v>
      </c>
      <c r="BF122" s="0" t="n">
        <f aca="false">ROUND(AO122-AX122,2)</f>
        <v>0</v>
      </c>
      <c r="BG122" s="0" t="n">
        <f aca="false">SUM(AY122:BF122)</f>
        <v>0</v>
      </c>
    </row>
    <row r="123" customFormat="false" ht="15" hidden="false" customHeight="false" outlineLevel="0" collapsed="false">
      <c r="A123" s="0" t="n">
        <v>121</v>
      </c>
      <c r="B123" s="0" t="n">
        <f aca="false">AY122</f>
        <v>0</v>
      </c>
      <c r="C123" s="0" t="n">
        <f aca="false">AZ122</f>
        <v>0</v>
      </c>
      <c r="D123" s="0" t="n">
        <f aca="false">BA122</f>
        <v>0</v>
      </c>
      <c r="E123" s="0" t="n">
        <f aca="false">BB122</f>
        <v>0</v>
      </c>
      <c r="F123" s="0" t="n">
        <f aca="false">BC122</f>
        <v>0</v>
      </c>
      <c r="G123" s="0" t="n">
        <f aca="false">BD122</f>
        <v>0</v>
      </c>
      <c r="H123" s="0" t="n">
        <f aca="false">BE122</f>
        <v>0</v>
      </c>
      <c r="I123" s="0" t="n">
        <f aca="false">BF122</f>
        <v>0</v>
      </c>
      <c r="J123" s="0" t="n">
        <f aca="false">B123*N('Debt Payoff'!D9)/12</f>
        <v>0</v>
      </c>
      <c r="K123" s="0" t="n">
        <f aca="false">C123*N('Debt Payoff'!D10)/12</f>
        <v>0</v>
      </c>
      <c r="L123" s="0" t="n">
        <f aca="false">D123*N('Debt Payoff'!D11)/12</f>
        <v>0</v>
      </c>
      <c r="M123" s="0" t="n">
        <f aca="false">E123*N('Debt Payoff'!D12)/12</f>
        <v>0</v>
      </c>
      <c r="N123" s="0" t="n">
        <f aca="false">F123*N('Debt Payoff'!D13)/12</f>
        <v>0</v>
      </c>
      <c r="O123" s="0" t="n">
        <f aca="false">G123*N('Debt Payoff'!D14)/12</f>
        <v>0</v>
      </c>
      <c r="P123" s="0" t="n">
        <f aca="false">H123*N('Debt Payoff'!D15)/12</f>
        <v>0</v>
      </c>
      <c r="Q123" s="0" t="n">
        <f aca="false">I123*N('Debt Payoff'!D16)/12</f>
        <v>0</v>
      </c>
      <c r="R123" s="0" t="n">
        <f aca="false">B123+J123</f>
        <v>0</v>
      </c>
      <c r="S123" s="0" t="n">
        <f aca="false">C123+K123</f>
        <v>0</v>
      </c>
      <c r="T123" s="0" t="n">
        <f aca="false">D123+L123</f>
        <v>0</v>
      </c>
      <c r="U123" s="0" t="n">
        <f aca="false">E123+M123</f>
        <v>0</v>
      </c>
      <c r="V123" s="0" t="n">
        <f aca="false">F123+N123</f>
        <v>0</v>
      </c>
      <c r="W123" s="0" t="n">
        <f aca="false">G123+O123</f>
        <v>0</v>
      </c>
      <c r="X123" s="0" t="n">
        <f aca="false">H123+P123</f>
        <v>0</v>
      </c>
      <c r="Y123" s="0" t="n">
        <f aca="false">I123+Q123</f>
        <v>0</v>
      </c>
      <c r="Z123" s="0" t="n">
        <f aca="false">MIN(R123,N('Debt Payoff'!E9))</f>
        <v>0</v>
      </c>
      <c r="AA123" s="0" t="n">
        <f aca="false">MIN(S123,N('Debt Payoff'!E10))</f>
        <v>0</v>
      </c>
      <c r="AB123" s="0" t="n">
        <f aca="false">MIN(T123,N('Debt Payoff'!E11))</f>
        <v>0</v>
      </c>
      <c r="AC123" s="0" t="n">
        <f aca="false">MIN(U123,N('Debt Payoff'!E12))</f>
        <v>0</v>
      </c>
      <c r="AD123" s="0" t="n">
        <f aca="false">MIN(V123,N('Debt Payoff'!E13))</f>
        <v>0</v>
      </c>
      <c r="AE123" s="0" t="n">
        <f aca="false">MIN(W123,N('Debt Payoff'!E14))</f>
        <v>0</v>
      </c>
      <c r="AF123" s="0" t="n">
        <f aca="false">MIN(X123,N('Debt Payoff'!E15))</f>
        <v>0</v>
      </c>
      <c r="AG123" s="0" t="n">
        <f aca="false">MIN(Y123,N('Debt Payoff'!E16))</f>
        <v>0</v>
      </c>
      <c r="AH123" s="0" t="n">
        <f aca="false">R123-Z123</f>
        <v>0</v>
      </c>
      <c r="AI123" s="0" t="n">
        <f aca="false">S123-AA123</f>
        <v>0</v>
      </c>
      <c r="AJ123" s="0" t="n">
        <f aca="false">T123-AB123</f>
        <v>0</v>
      </c>
      <c r="AK123" s="0" t="n">
        <f aca="false">U123-AC123</f>
        <v>0</v>
      </c>
      <c r="AL123" s="0" t="n">
        <f aca="false">V123-AD123</f>
        <v>0</v>
      </c>
      <c r="AM123" s="0" t="n">
        <f aca="false">W123-AE123</f>
        <v>0</v>
      </c>
      <c r="AN123" s="0" t="n">
        <f aca="false">X123-AF123</f>
        <v>0</v>
      </c>
      <c r="AO123" s="0" t="n">
        <f aca="false">Y123-AG123</f>
        <v>0</v>
      </c>
      <c r="AP123" s="0" t="n">
        <f aca="false">MAX(0,'Debt Payoff'!$D$17-SUM(Z123:AG123))</f>
        <v>805</v>
      </c>
      <c r="AQ123" s="0" t="n">
        <f aca="false">MIN(AH123,MAX(0,$AP123-SUMPRODUCT(($AH$1:$AO$1&lt;AH$1)*$AH123:$AO123)))</f>
        <v>0</v>
      </c>
      <c r="AR123" s="0" t="n">
        <f aca="false">MIN(AI123,MAX(0,$AP123-SUMPRODUCT(($AH$1:$AO$1&lt;AI$1)*$AH123:$AO123)))</f>
        <v>0</v>
      </c>
      <c r="AS123" s="0" t="n">
        <f aca="false">MIN(AJ123,MAX(0,$AP123-SUMPRODUCT(($AH$1:$AO$1&lt;AJ$1)*$AH123:$AO123)))</f>
        <v>0</v>
      </c>
      <c r="AT123" s="0" t="n">
        <f aca="false">MIN(AK123,MAX(0,$AP123-SUMPRODUCT(($AH$1:$AO$1&lt;AK$1)*$AH123:$AO123)))</f>
        <v>0</v>
      </c>
      <c r="AU123" s="0" t="n">
        <f aca="false">MIN(AL123,MAX(0,$AP123-SUMPRODUCT(($AH$1:$AO$1&lt;AL$1)*$AH123:$AO123)))</f>
        <v>0</v>
      </c>
      <c r="AV123" s="0" t="n">
        <f aca="false">MIN(AM123,MAX(0,$AP123-SUMPRODUCT(($AH$1:$AO$1&lt;AM$1)*$AH123:$AO123)))</f>
        <v>0</v>
      </c>
      <c r="AW123" s="0" t="n">
        <f aca="false">MIN(AN123,MAX(0,$AP123-SUMPRODUCT(($AH$1:$AO$1&lt;AN$1)*$AH123:$AO123)))</f>
        <v>0</v>
      </c>
      <c r="AX123" s="0" t="n">
        <f aca="false">MIN(AO123,MAX(0,$AP123-SUMPRODUCT(($AH$1:$AO$1&lt;AO$1)*$AH123:$AO123)))</f>
        <v>0</v>
      </c>
      <c r="AY123" s="0" t="n">
        <f aca="false">ROUND(AH123-AQ123,2)</f>
        <v>0</v>
      </c>
      <c r="AZ123" s="0" t="n">
        <f aca="false">ROUND(AI123-AR123,2)</f>
        <v>0</v>
      </c>
      <c r="BA123" s="0" t="n">
        <f aca="false">ROUND(AJ123-AS123,2)</f>
        <v>0</v>
      </c>
      <c r="BB123" s="0" t="n">
        <f aca="false">ROUND(AK123-AT123,2)</f>
        <v>0</v>
      </c>
      <c r="BC123" s="0" t="n">
        <f aca="false">ROUND(AL123-AU123,2)</f>
        <v>0</v>
      </c>
      <c r="BD123" s="0" t="n">
        <f aca="false">ROUND(AM123-AV123,2)</f>
        <v>0</v>
      </c>
      <c r="BE123" s="0" t="n">
        <f aca="false">ROUND(AN123-AW123,2)</f>
        <v>0</v>
      </c>
      <c r="BF123" s="0" t="n">
        <f aca="false">ROUND(AO123-AX123,2)</f>
        <v>0</v>
      </c>
      <c r="BG123" s="0" t="n">
        <f aca="false">SUM(AY123:BF123)</f>
        <v>0</v>
      </c>
    </row>
    <row r="124" customFormat="false" ht="15" hidden="false" customHeight="false" outlineLevel="0" collapsed="false">
      <c r="A124" s="0" t="n">
        <v>122</v>
      </c>
      <c r="B124" s="0" t="n">
        <f aca="false">AY123</f>
        <v>0</v>
      </c>
      <c r="C124" s="0" t="n">
        <f aca="false">AZ123</f>
        <v>0</v>
      </c>
      <c r="D124" s="0" t="n">
        <f aca="false">BA123</f>
        <v>0</v>
      </c>
      <c r="E124" s="0" t="n">
        <f aca="false">BB123</f>
        <v>0</v>
      </c>
      <c r="F124" s="0" t="n">
        <f aca="false">BC123</f>
        <v>0</v>
      </c>
      <c r="G124" s="0" t="n">
        <f aca="false">BD123</f>
        <v>0</v>
      </c>
      <c r="H124" s="0" t="n">
        <f aca="false">BE123</f>
        <v>0</v>
      </c>
      <c r="I124" s="0" t="n">
        <f aca="false">BF123</f>
        <v>0</v>
      </c>
      <c r="J124" s="0" t="n">
        <f aca="false">B124*N('Debt Payoff'!D9)/12</f>
        <v>0</v>
      </c>
      <c r="K124" s="0" t="n">
        <f aca="false">C124*N('Debt Payoff'!D10)/12</f>
        <v>0</v>
      </c>
      <c r="L124" s="0" t="n">
        <f aca="false">D124*N('Debt Payoff'!D11)/12</f>
        <v>0</v>
      </c>
      <c r="M124" s="0" t="n">
        <f aca="false">E124*N('Debt Payoff'!D12)/12</f>
        <v>0</v>
      </c>
      <c r="N124" s="0" t="n">
        <f aca="false">F124*N('Debt Payoff'!D13)/12</f>
        <v>0</v>
      </c>
      <c r="O124" s="0" t="n">
        <f aca="false">G124*N('Debt Payoff'!D14)/12</f>
        <v>0</v>
      </c>
      <c r="P124" s="0" t="n">
        <f aca="false">H124*N('Debt Payoff'!D15)/12</f>
        <v>0</v>
      </c>
      <c r="Q124" s="0" t="n">
        <f aca="false">I124*N('Debt Payoff'!D16)/12</f>
        <v>0</v>
      </c>
      <c r="R124" s="0" t="n">
        <f aca="false">B124+J124</f>
        <v>0</v>
      </c>
      <c r="S124" s="0" t="n">
        <f aca="false">C124+K124</f>
        <v>0</v>
      </c>
      <c r="T124" s="0" t="n">
        <f aca="false">D124+L124</f>
        <v>0</v>
      </c>
      <c r="U124" s="0" t="n">
        <f aca="false">E124+M124</f>
        <v>0</v>
      </c>
      <c r="V124" s="0" t="n">
        <f aca="false">F124+N124</f>
        <v>0</v>
      </c>
      <c r="W124" s="0" t="n">
        <f aca="false">G124+O124</f>
        <v>0</v>
      </c>
      <c r="X124" s="0" t="n">
        <f aca="false">H124+P124</f>
        <v>0</v>
      </c>
      <c r="Y124" s="0" t="n">
        <f aca="false">I124+Q124</f>
        <v>0</v>
      </c>
      <c r="Z124" s="0" t="n">
        <f aca="false">MIN(R124,N('Debt Payoff'!E9))</f>
        <v>0</v>
      </c>
      <c r="AA124" s="0" t="n">
        <f aca="false">MIN(S124,N('Debt Payoff'!E10))</f>
        <v>0</v>
      </c>
      <c r="AB124" s="0" t="n">
        <f aca="false">MIN(T124,N('Debt Payoff'!E11))</f>
        <v>0</v>
      </c>
      <c r="AC124" s="0" t="n">
        <f aca="false">MIN(U124,N('Debt Payoff'!E12))</f>
        <v>0</v>
      </c>
      <c r="AD124" s="0" t="n">
        <f aca="false">MIN(V124,N('Debt Payoff'!E13))</f>
        <v>0</v>
      </c>
      <c r="AE124" s="0" t="n">
        <f aca="false">MIN(W124,N('Debt Payoff'!E14))</f>
        <v>0</v>
      </c>
      <c r="AF124" s="0" t="n">
        <f aca="false">MIN(X124,N('Debt Payoff'!E15))</f>
        <v>0</v>
      </c>
      <c r="AG124" s="0" t="n">
        <f aca="false">MIN(Y124,N('Debt Payoff'!E16))</f>
        <v>0</v>
      </c>
      <c r="AH124" s="0" t="n">
        <f aca="false">R124-Z124</f>
        <v>0</v>
      </c>
      <c r="AI124" s="0" t="n">
        <f aca="false">S124-AA124</f>
        <v>0</v>
      </c>
      <c r="AJ124" s="0" t="n">
        <f aca="false">T124-AB124</f>
        <v>0</v>
      </c>
      <c r="AK124" s="0" t="n">
        <f aca="false">U124-AC124</f>
        <v>0</v>
      </c>
      <c r="AL124" s="0" t="n">
        <f aca="false">V124-AD124</f>
        <v>0</v>
      </c>
      <c r="AM124" s="0" t="n">
        <f aca="false">W124-AE124</f>
        <v>0</v>
      </c>
      <c r="AN124" s="0" t="n">
        <f aca="false">X124-AF124</f>
        <v>0</v>
      </c>
      <c r="AO124" s="0" t="n">
        <f aca="false">Y124-AG124</f>
        <v>0</v>
      </c>
      <c r="AP124" s="0" t="n">
        <f aca="false">MAX(0,'Debt Payoff'!$D$17-SUM(Z124:AG124))</f>
        <v>805</v>
      </c>
      <c r="AQ124" s="0" t="n">
        <f aca="false">MIN(AH124,MAX(0,$AP124-SUMPRODUCT(($AH$1:$AO$1&lt;AH$1)*$AH124:$AO124)))</f>
        <v>0</v>
      </c>
      <c r="AR124" s="0" t="n">
        <f aca="false">MIN(AI124,MAX(0,$AP124-SUMPRODUCT(($AH$1:$AO$1&lt;AI$1)*$AH124:$AO124)))</f>
        <v>0</v>
      </c>
      <c r="AS124" s="0" t="n">
        <f aca="false">MIN(AJ124,MAX(0,$AP124-SUMPRODUCT(($AH$1:$AO$1&lt;AJ$1)*$AH124:$AO124)))</f>
        <v>0</v>
      </c>
      <c r="AT124" s="0" t="n">
        <f aca="false">MIN(AK124,MAX(0,$AP124-SUMPRODUCT(($AH$1:$AO$1&lt;AK$1)*$AH124:$AO124)))</f>
        <v>0</v>
      </c>
      <c r="AU124" s="0" t="n">
        <f aca="false">MIN(AL124,MAX(0,$AP124-SUMPRODUCT(($AH$1:$AO$1&lt;AL$1)*$AH124:$AO124)))</f>
        <v>0</v>
      </c>
      <c r="AV124" s="0" t="n">
        <f aca="false">MIN(AM124,MAX(0,$AP124-SUMPRODUCT(($AH$1:$AO$1&lt;AM$1)*$AH124:$AO124)))</f>
        <v>0</v>
      </c>
      <c r="AW124" s="0" t="n">
        <f aca="false">MIN(AN124,MAX(0,$AP124-SUMPRODUCT(($AH$1:$AO$1&lt;AN$1)*$AH124:$AO124)))</f>
        <v>0</v>
      </c>
      <c r="AX124" s="0" t="n">
        <f aca="false">MIN(AO124,MAX(0,$AP124-SUMPRODUCT(($AH$1:$AO$1&lt;AO$1)*$AH124:$AO124)))</f>
        <v>0</v>
      </c>
      <c r="AY124" s="0" t="n">
        <f aca="false">ROUND(AH124-AQ124,2)</f>
        <v>0</v>
      </c>
      <c r="AZ124" s="0" t="n">
        <f aca="false">ROUND(AI124-AR124,2)</f>
        <v>0</v>
      </c>
      <c r="BA124" s="0" t="n">
        <f aca="false">ROUND(AJ124-AS124,2)</f>
        <v>0</v>
      </c>
      <c r="BB124" s="0" t="n">
        <f aca="false">ROUND(AK124-AT124,2)</f>
        <v>0</v>
      </c>
      <c r="BC124" s="0" t="n">
        <f aca="false">ROUND(AL124-AU124,2)</f>
        <v>0</v>
      </c>
      <c r="BD124" s="0" t="n">
        <f aca="false">ROUND(AM124-AV124,2)</f>
        <v>0</v>
      </c>
      <c r="BE124" s="0" t="n">
        <f aca="false">ROUND(AN124-AW124,2)</f>
        <v>0</v>
      </c>
      <c r="BF124" s="0" t="n">
        <f aca="false">ROUND(AO124-AX124,2)</f>
        <v>0</v>
      </c>
      <c r="BG124" s="0" t="n">
        <f aca="false">SUM(AY124:BF124)</f>
        <v>0</v>
      </c>
    </row>
    <row r="125" customFormat="false" ht="15" hidden="false" customHeight="false" outlineLevel="0" collapsed="false">
      <c r="A125" s="0" t="n">
        <v>123</v>
      </c>
      <c r="B125" s="0" t="n">
        <f aca="false">AY124</f>
        <v>0</v>
      </c>
      <c r="C125" s="0" t="n">
        <f aca="false">AZ124</f>
        <v>0</v>
      </c>
      <c r="D125" s="0" t="n">
        <f aca="false">BA124</f>
        <v>0</v>
      </c>
      <c r="E125" s="0" t="n">
        <f aca="false">BB124</f>
        <v>0</v>
      </c>
      <c r="F125" s="0" t="n">
        <f aca="false">BC124</f>
        <v>0</v>
      </c>
      <c r="G125" s="0" t="n">
        <f aca="false">BD124</f>
        <v>0</v>
      </c>
      <c r="H125" s="0" t="n">
        <f aca="false">BE124</f>
        <v>0</v>
      </c>
      <c r="I125" s="0" t="n">
        <f aca="false">BF124</f>
        <v>0</v>
      </c>
      <c r="J125" s="0" t="n">
        <f aca="false">B125*N('Debt Payoff'!D9)/12</f>
        <v>0</v>
      </c>
      <c r="K125" s="0" t="n">
        <f aca="false">C125*N('Debt Payoff'!D10)/12</f>
        <v>0</v>
      </c>
      <c r="L125" s="0" t="n">
        <f aca="false">D125*N('Debt Payoff'!D11)/12</f>
        <v>0</v>
      </c>
      <c r="M125" s="0" t="n">
        <f aca="false">E125*N('Debt Payoff'!D12)/12</f>
        <v>0</v>
      </c>
      <c r="N125" s="0" t="n">
        <f aca="false">F125*N('Debt Payoff'!D13)/12</f>
        <v>0</v>
      </c>
      <c r="O125" s="0" t="n">
        <f aca="false">G125*N('Debt Payoff'!D14)/12</f>
        <v>0</v>
      </c>
      <c r="P125" s="0" t="n">
        <f aca="false">H125*N('Debt Payoff'!D15)/12</f>
        <v>0</v>
      </c>
      <c r="Q125" s="0" t="n">
        <f aca="false">I125*N('Debt Payoff'!D16)/12</f>
        <v>0</v>
      </c>
      <c r="R125" s="0" t="n">
        <f aca="false">B125+J125</f>
        <v>0</v>
      </c>
      <c r="S125" s="0" t="n">
        <f aca="false">C125+K125</f>
        <v>0</v>
      </c>
      <c r="T125" s="0" t="n">
        <f aca="false">D125+L125</f>
        <v>0</v>
      </c>
      <c r="U125" s="0" t="n">
        <f aca="false">E125+M125</f>
        <v>0</v>
      </c>
      <c r="V125" s="0" t="n">
        <f aca="false">F125+N125</f>
        <v>0</v>
      </c>
      <c r="W125" s="0" t="n">
        <f aca="false">G125+O125</f>
        <v>0</v>
      </c>
      <c r="X125" s="0" t="n">
        <f aca="false">H125+P125</f>
        <v>0</v>
      </c>
      <c r="Y125" s="0" t="n">
        <f aca="false">I125+Q125</f>
        <v>0</v>
      </c>
      <c r="Z125" s="0" t="n">
        <f aca="false">MIN(R125,N('Debt Payoff'!E9))</f>
        <v>0</v>
      </c>
      <c r="AA125" s="0" t="n">
        <f aca="false">MIN(S125,N('Debt Payoff'!E10))</f>
        <v>0</v>
      </c>
      <c r="AB125" s="0" t="n">
        <f aca="false">MIN(T125,N('Debt Payoff'!E11))</f>
        <v>0</v>
      </c>
      <c r="AC125" s="0" t="n">
        <f aca="false">MIN(U125,N('Debt Payoff'!E12))</f>
        <v>0</v>
      </c>
      <c r="AD125" s="0" t="n">
        <f aca="false">MIN(V125,N('Debt Payoff'!E13))</f>
        <v>0</v>
      </c>
      <c r="AE125" s="0" t="n">
        <f aca="false">MIN(W125,N('Debt Payoff'!E14))</f>
        <v>0</v>
      </c>
      <c r="AF125" s="0" t="n">
        <f aca="false">MIN(X125,N('Debt Payoff'!E15))</f>
        <v>0</v>
      </c>
      <c r="AG125" s="0" t="n">
        <f aca="false">MIN(Y125,N('Debt Payoff'!E16))</f>
        <v>0</v>
      </c>
      <c r="AH125" s="0" t="n">
        <f aca="false">R125-Z125</f>
        <v>0</v>
      </c>
      <c r="AI125" s="0" t="n">
        <f aca="false">S125-AA125</f>
        <v>0</v>
      </c>
      <c r="AJ125" s="0" t="n">
        <f aca="false">T125-AB125</f>
        <v>0</v>
      </c>
      <c r="AK125" s="0" t="n">
        <f aca="false">U125-AC125</f>
        <v>0</v>
      </c>
      <c r="AL125" s="0" t="n">
        <f aca="false">V125-AD125</f>
        <v>0</v>
      </c>
      <c r="AM125" s="0" t="n">
        <f aca="false">W125-AE125</f>
        <v>0</v>
      </c>
      <c r="AN125" s="0" t="n">
        <f aca="false">X125-AF125</f>
        <v>0</v>
      </c>
      <c r="AO125" s="0" t="n">
        <f aca="false">Y125-AG125</f>
        <v>0</v>
      </c>
      <c r="AP125" s="0" t="n">
        <f aca="false">MAX(0,'Debt Payoff'!$D$17-SUM(Z125:AG125))</f>
        <v>805</v>
      </c>
      <c r="AQ125" s="0" t="n">
        <f aca="false">MIN(AH125,MAX(0,$AP125-SUMPRODUCT(($AH$1:$AO$1&lt;AH$1)*$AH125:$AO125)))</f>
        <v>0</v>
      </c>
      <c r="AR125" s="0" t="n">
        <f aca="false">MIN(AI125,MAX(0,$AP125-SUMPRODUCT(($AH$1:$AO$1&lt;AI$1)*$AH125:$AO125)))</f>
        <v>0</v>
      </c>
      <c r="AS125" s="0" t="n">
        <f aca="false">MIN(AJ125,MAX(0,$AP125-SUMPRODUCT(($AH$1:$AO$1&lt;AJ$1)*$AH125:$AO125)))</f>
        <v>0</v>
      </c>
      <c r="AT125" s="0" t="n">
        <f aca="false">MIN(AK125,MAX(0,$AP125-SUMPRODUCT(($AH$1:$AO$1&lt;AK$1)*$AH125:$AO125)))</f>
        <v>0</v>
      </c>
      <c r="AU125" s="0" t="n">
        <f aca="false">MIN(AL125,MAX(0,$AP125-SUMPRODUCT(($AH$1:$AO$1&lt;AL$1)*$AH125:$AO125)))</f>
        <v>0</v>
      </c>
      <c r="AV125" s="0" t="n">
        <f aca="false">MIN(AM125,MAX(0,$AP125-SUMPRODUCT(($AH$1:$AO$1&lt;AM$1)*$AH125:$AO125)))</f>
        <v>0</v>
      </c>
      <c r="AW125" s="0" t="n">
        <f aca="false">MIN(AN125,MAX(0,$AP125-SUMPRODUCT(($AH$1:$AO$1&lt;AN$1)*$AH125:$AO125)))</f>
        <v>0</v>
      </c>
      <c r="AX125" s="0" t="n">
        <f aca="false">MIN(AO125,MAX(0,$AP125-SUMPRODUCT(($AH$1:$AO$1&lt;AO$1)*$AH125:$AO125)))</f>
        <v>0</v>
      </c>
      <c r="AY125" s="0" t="n">
        <f aca="false">ROUND(AH125-AQ125,2)</f>
        <v>0</v>
      </c>
      <c r="AZ125" s="0" t="n">
        <f aca="false">ROUND(AI125-AR125,2)</f>
        <v>0</v>
      </c>
      <c r="BA125" s="0" t="n">
        <f aca="false">ROUND(AJ125-AS125,2)</f>
        <v>0</v>
      </c>
      <c r="BB125" s="0" t="n">
        <f aca="false">ROUND(AK125-AT125,2)</f>
        <v>0</v>
      </c>
      <c r="BC125" s="0" t="n">
        <f aca="false">ROUND(AL125-AU125,2)</f>
        <v>0</v>
      </c>
      <c r="BD125" s="0" t="n">
        <f aca="false">ROUND(AM125-AV125,2)</f>
        <v>0</v>
      </c>
      <c r="BE125" s="0" t="n">
        <f aca="false">ROUND(AN125-AW125,2)</f>
        <v>0</v>
      </c>
      <c r="BF125" s="0" t="n">
        <f aca="false">ROUND(AO125-AX125,2)</f>
        <v>0</v>
      </c>
      <c r="BG125" s="0" t="n">
        <f aca="false">SUM(AY125:BF125)</f>
        <v>0</v>
      </c>
    </row>
    <row r="126" customFormat="false" ht="15" hidden="false" customHeight="false" outlineLevel="0" collapsed="false">
      <c r="A126" s="0" t="n">
        <v>124</v>
      </c>
      <c r="B126" s="0" t="n">
        <f aca="false">AY125</f>
        <v>0</v>
      </c>
      <c r="C126" s="0" t="n">
        <f aca="false">AZ125</f>
        <v>0</v>
      </c>
      <c r="D126" s="0" t="n">
        <f aca="false">BA125</f>
        <v>0</v>
      </c>
      <c r="E126" s="0" t="n">
        <f aca="false">BB125</f>
        <v>0</v>
      </c>
      <c r="F126" s="0" t="n">
        <f aca="false">BC125</f>
        <v>0</v>
      </c>
      <c r="G126" s="0" t="n">
        <f aca="false">BD125</f>
        <v>0</v>
      </c>
      <c r="H126" s="0" t="n">
        <f aca="false">BE125</f>
        <v>0</v>
      </c>
      <c r="I126" s="0" t="n">
        <f aca="false">BF125</f>
        <v>0</v>
      </c>
      <c r="J126" s="0" t="n">
        <f aca="false">B126*N('Debt Payoff'!D9)/12</f>
        <v>0</v>
      </c>
      <c r="K126" s="0" t="n">
        <f aca="false">C126*N('Debt Payoff'!D10)/12</f>
        <v>0</v>
      </c>
      <c r="L126" s="0" t="n">
        <f aca="false">D126*N('Debt Payoff'!D11)/12</f>
        <v>0</v>
      </c>
      <c r="M126" s="0" t="n">
        <f aca="false">E126*N('Debt Payoff'!D12)/12</f>
        <v>0</v>
      </c>
      <c r="N126" s="0" t="n">
        <f aca="false">F126*N('Debt Payoff'!D13)/12</f>
        <v>0</v>
      </c>
      <c r="O126" s="0" t="n">
        <f aca="false">G126*N('Debt Payoff'!D14)/12</f>
        <v>0</v>
      </c>
      <c r="P126" s="0" t="n">
        <f aca="false">H126*N('Debt Payoff'!D15)/12</f>
        <v>0</v>
      </c>
      <c r="Q126" s="0" t="n">
        <f aca="false">I126*N('Debt Payoff'!D16)/12</f>
        <v>0</v>
      </c>
      <c r="R126" s="0" t="n">
        <f aca="false">B126+J126</f>
        <v>0</v>
      </c>
      <c r="S126" s="0" t="n">
        <f aca="false">C126+K126</f>
        <v>0</v>
      </c>
      <c r="T126" s="0" t="n">
        <f aca="false">D126+L126</f>
        <v>0</v>
      </c>
      <c r="U126" s="0" t="n">
        <f aca="false">E126+M126</f>
        <v>0</v>
      </c>
      <c r="V126" s="0" t="n">
        <f aca="false">F126+N126</f>
        <v>0</v>
      </c>
      <c r="W126" s="0" t="n">
        <f aca="false">G126+O126</f>
        <v>0</v>
      </c>
      <c r="X126" s="0" t="n">
        <f aca="false">H126+P126</f>
        <v>0</v>
      </c>
      <c r="Y126" s="0" t="n">
        <f aca="false">I126+Q126</f>
        <v>0</v>
      </c>
      <c r="Z126" s="0" t="n">
        <f aca="false">MIN(R126,N('Debt Payoff'!E9))</f>
        <v>0</v>
      </c>
      <c r="AA126" s="0" t="n">
        <f aca="false">MIN(S126,N('Debt Payoff'!E10))</f>
        <v>0</v>
      </c>
      <c r="AB126" s="0" t="n">
        <f aca="false">MIN(T126,N('Debt Payoff'!E11))</f>
        <v>0</v>
      </c>
      <c r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>MIN(W126,N('Debt Payoff'!E14))</f>
        <v>0</v>
      </c>
      <c r="AF126" s="0" t="n">
        <f aca="false">MIN(X126,N('Debt Payoff'!E15))</f>
        <v>0</v>
      </c>
      <c r="AG126" s="0" t="n">
        <f aca="false">MIN(Y126,N('Debt Payoff'!E16))</f>
        <v>0</v>
      </c>
      <c r="AH126" s="0" t="n">
        <f aca="false">R126-Z126</f>
        <v>0</v>
      </c>
      <c r="AI126" s="0" t="n">
        <f aca="false">S126-AA126</f>
        <v>0</v>
      </c>
      <c r="AJ126" s="0" t="n">
        <f aca="false">T126-AB126</f>
        <v>0</v>
      </c>
      <c r="AK126" s="0" t="n">
        <f aca="false">U126-AC126</f>
        <v>0</v>
      </c>
      <c r="AL126" s="0" t="n">
        <f aca="false">V126-AD126</f>
        <v>0</v>
      </c>
      <c r="AM126" s="0" t="n">
        <f aca="false">W126-AE126</f>
        <v>0</v>
      </c>
      <c r="AN126" s="0" t="n">
        <f aca="false">X126-AF126</f>
        <v>0</v>
      </c>
      <c r="AO126" s="0" t="n">
        <f aca="false">Y126-AG126</f>
        <v>0</v>
      </c>
      <c r="AP126" s="0" t="n">
        <f aca="false">MAX(0,'Debt Payoff'!$D$17-SUM(Z126:AG126))</f>
        <v>805</v>
      </c>
      <c r="AQ126" s="0" t="n">
        <f aca="false">MIN(AH126,MAX(0,$AP126-SUMPRODUCT(($AH$1:$AO$1&lt;AH$1)*$AH126:$AO126)))</f>
        <v>0</v>
      </c>
      <c r="AR126" s="0" t="n">
        <f aca="false">MIN(AI126,MAX(0,$AP126-SUMPRODUCT(($AH$1:$AO$1&lt;AI$1)*$AH126:$AO126)))</f>
        <v>0</v>
      </c>
      <c r="AS126" s="0" t="n">
        <f aca="false">MIN(AJ126,MAX(0,$AP126-SUMPRODUCT(($AH$1:$AO$1&lt;AJ$1)*$AH126:$AO126)))</f>
        <v>0</v>
      </c>
      <c r="AT126" s="0" t="n">
        <f aca="false">MIN(AK126,MAX(0,$AP126-SUMPRODUCT(($AH$1:$AO$1&lt;AK$1)*$AH126:$AO126)))</f>
        <v>0</v>
      </c>
      <c r="AU126" s="0" t="n">
        <f aca="false">MIN(AL126,MAX(0,$AP126-SUMPRODUCT(($AH$1:$AO$1&lt;AL$1)*$AH126:$AO126)))</f>
        <v>0</v>
      </c>
      <c r="AV126" s="0" t="n">
        <f aca="false">MIN(AM126,MAX(0,$AP126-SUMPRODUCT(($AH$1:$AO$1&lt;AM$1)*$AH126:$AO126)))</f>
        <v>0</v>
      </c>
      <c r="AW126" s="0" t="n">
        <f aca="false">MIN(AN126,MAX(0,$AP126-SUMPRODUCT(($AH$1:$AO$1&lt;AN$1)*$AH126:$AO126)))</f>
        <v>0</v>
      </c>
      <c r="AX126" s="0" t="n">
        <f aca="false">MIN(AO126,MAX(0,$AP126-SUMPRODUCT(($AH$1:$AO$1&lt;AO$1)*$AH126:$AO126)))</f>
        <v>0</v>
      </c>
      <c r="AY126" s="0" t="n">
        <f aca="false">ROUND(AH126-AQ126,2)</f>
        <v>0</v>
      </c>
      <c r="AZ126" s="0" t="n">
        <f aca="false">ROUND(AI126-AR126,2)</f>
        <v>0</v>
      </c>
      <c r="BA126" s="0" t="n">
        <f aca="false">ROUND(AJ126-AS126,2)</f>
        <v>0</v>
      </c>
      <c r="BB126" s="0" t="n">
        <f aca="false">ROUND(AK126-AT126,2)</f>
        <v>0</v>
      </c>
      <c r="BC126" s="0" t="n">
        <f aca="false">ROUND(AL126-AU126,2)</f>
        <v>0</v>
      </c>
      <c r="BD126" s="0" t="n">
        <f aca="false">ROUND(AM126-AV126,2)</f>
        <v>0</v>
      </c>
      <c r="BE126" s="0" t="n">
        <f aca="false">ROUND(AN126-AW126,2)</f>
        <v>0</v>
      </c>
      <c r="BF126" s="0" t="n">
        <f aca="false">ROUND(AO126-AX126,2)</f>
        <v>0</v>
      </c>
      <c r="BG126" s="0" t="n">
        <f aca="false">SUM(AY126:BF126)</f>
        <v>0</v>
      </c>
    </row>
    <row r="127" customFormat="false" ht="15" hidden="false" customHeight="false" outlineLevel="0" collapsed="false">
      <c r="A127" s="0" t="n">
        <v>125</v>
      </c>
      <c r="B127" s="0" t="n">
        <f aca="false">AY126</f>
        <v>0</v>
      </c>
      <c r="C127" s="0" t="n">
        <f aca="false">AZ126</f>
        <v>0</v>
      </c>
      <c r="D127" s="0" t="n">
        <f aca="false">BA126</f>
        <v>0</v>
      </c>
      <c r="E127" s="0" t="n">
        <f aca="false">BB126</f>
        <v>0</v>
      </c>
      <c r="F127" s="0" t="n">
        <f aca="false">BC126</f>
        <v>0</v>
      </c>
      <c r="G127" s="0" t="n">
        <f aca="false">BD126</f>
        <v>0</v>
      </c>
      <c r="H127" s="0" t="n">
        <f aca="false">BE126</f>
        <v>0</v>
      </c>
      <c r="I127" s="0" t="n">
        <f aca="false">BF126</f>
        <v>0</v>
      </c>
      <c r="J127" s="0" t="n">
        <f aca="false">B127*N('Debt Payoff'!D9)/12</f>
        <v>0</v>
      </c>
      <c r="K127" s="0" t="n">
        <f aca="false">C127*N('Debt Payoff'!D10)/12</f>
        <v>0</v>
      </c>
      <c r="L127" s="0" t="n">
        <f aca="false">D127*N('Debt Payoff'!D11)/12</f>
        <v>0</v>
      </c>
      <c r="M127" s="0" t="n">
        <f aca="false">E127*N('Debt Payoff'!D12)/12</f>
        <v>0</v>
      </c>
      <c r="N127" s="0" t="n">
        <f aca="false">F127*N('Debt Payoff'!D13)/12</f>
        <v>0</v>
      </c>
      <c r="O127" s="0" t="n">
        <f aca="false">G127*N('Debt Payoff'!D14)/12</f>
        <v>0</v>
      </c>
      <c r="P127" s="0" t="n">
        <f aca="false">H127*N('Debt Payoff'!D15)/12</f>
        <v>0</v>
      </c>
      <c r="Q127" s="0" t="n">
        <f aca="false">I127*N('Debt Payoff'!D16)/12</f>
        <v>0</v>
      </c>
      <c r="R127" s="0" t="n">
        <f aca="false">B127+J127</f>
        <v>0</v>
      </c>
      <c r="S127" s="0" t="n">
        <f aca="false">C127+K127</f>
        <v>0</v>
      </c>
      <c r="T127" s="0" t="n">
        <f aca="false">D127+L127</f>
        <v>0</v>
      </c>
      <c r="U127" s="0" t="n">
        <f aca="false">E127+M127</f>
        <v>0</v>
      </c>
      <c r="V127" s="0" t="n">
        <f aca="false">F127+N127</f>
        <v>0</v>
      </c>
      <c r="W127" s="0" t="n">
        <f aca="false">G127+O127</f>
        <v>0</v>
      </c>
      <c r="X127" s="0" t="n">
        <f aca="false">H127+P127</f>
        <v>0</v>
      </c>
      <c r="Y127" s="0" t="n">
        <f aca="false">I127+Q127</f>
        <v>0</v>
      </c>
      <c r="Z127" s="0" t="n">
        <f aca="false">MIN(R127,N('Debt Payoff'!E9))</f>
        <v>0</v>
      </c>
      <c r="AA127" s="0" t="n">
        <f aca="false">MIN(S127,N('Debt Payoff'!E10))</f>
        <v>0</v>
      </c>
      <c r="AB127" s="0" t="n">
        <f aca="false">MIN(T127,N('Debt Payoff'!E11))</f>
        <v>0</v>
      </c>
      <c r="AC127" s="0" t="n">
        <f aca="false">MIN(U127,N('Debt Payoff'!E12))</f>
        <v>0</v>
      </c>
      <c r="AD127" s="0" t="n">
        <f aca="false">MIN(V127,N('Debt Payoff'!E13))</f>
        <v>0</v>
      </c>
      <c r="AE127" s="0" t="n">
        <f aca="false">MIN(W127,N('Debt Payoff'!E14))</f>
        <v>0</v>
      </c>
      <c r="AF127" s="0" t="n">
        <f aca="false">MIN(X127,N('Debt Payoff'!E15))</f>
        <v>0</v>
      </c>
      <c r="AG127" s="0" t="n">
        <f aca="false">MIN(Y127,N('Debt Payoff'!E16))</f>
        <v>0</v>
      </c>
      <c r="AH127" s="0" t="n">
        <f aca="false">R127-Z127</f>
        <v>0</v>
      </c>
      <c r="AI127" s="0" t="n">
        <f aca="false">S127-AA127</f>
        <v>0</v>
      </c>
      <c r="AJ127" s="0" t="n">
        <f aca="false">T127-AB127</f>
        <v>0</v>
      </c>
      <c r="AK127" s="0" t="n">
        <f aca="false">U127-AC127</f>
        <v>0</v>
      </c>
      <c r="AL127" s="0" t="n">
        <f aca="false">V127-AD127</f>
        <v>0</v>
      </c>
      <c r="AM127" s="0" t="n">
        <f aca="false">W127-AE127</f>
        <v>0</v>
      </c>
      <c r="AN127" s="0" t="n">
        <f aca="false">X127-AF127</f>
        <v>0</v>
      </c>
      <c r="AO127" s="0" t="n">
        <f aca="false">Y127-AG127</f>
        <v>0</v>
      </c>
      <c r="AP127" s="0" t="n">
        <f aca="false">MAX(0,'Debt Payoff'!$D$17-SUM(Z127:AG127))</f>
        <v>805</v>
      </c>
      <c r="AQ127" s="0" t="n">
        <f aca="false">MIN(AH127,MAX(0,$AP127-SUMPRODUCT(($AH$1:$AO$1&lt;AH$1)*$AH127:$AO127)))</f>
        <v>0</v>
      </c>
      <c r="AR127" s="0" t="n">
        <f aca="false">MIN(AI127,MAX(0,$AP127-SUMPRODUCT(($AH$1:$AO$1&lt;AI$1)*$AH127:$AO127)))</f>
        <v>0</v>
      </c>
      <c r="AS127" s="0" t="n">
        <f aca="false">MIN(AJ127,MAX(0,$AP127-SUMPRODUCT(($AH$1:$AO$1&lt;AJ$1)*$AH127:$AO127)))</f>
        <v>0</v>
      </c>
      <c r="AT127" s="0" t="n">
        <f aca="false">MIN(AK127,MAX(0,$AP127-SUMPRODUCT(($AH$1:$AO$1&lt;AK$1)*$AH127:$AO127)))</f>
        <v>0</v>
      </c>
      <c r="AU127" s="0" t="n">
        <f aca="false">MIN(AL127,MAX(0,$AP127-SUMPRODUCT(($AH$1:$AO$1&lt;AL$1)*$AH127:$AO127)))</f>
        <v>0</v>
      </c>
      <c r="AV127" s="0" t="n">
        <f aca="false">MIN(AM127,MAX(0,$AP127-SUMPRODUCT(($AH$1:$AO$1&lt;AM$1)*$AH127:$AO127)))</f>
        <v>0</v>
      </c>
      <c r="AW127" s="0" t="n">
        <f aca="false">MIN(AN127,MAX(0,$AP127-SUMPRODUCT(($AH$1:$AO$1&lt;AN$1)*$AH127:$AO127)))</f>
        <v>0</v>
      </c>
      <c r="AX127" s="0" t="n">
        <f aca="false">MIN(AO127,MAX(0,$AP127-SUMPRODUCT(($AH$1:$AO$1&lt;AO$1)*$AH127:$AO127)))</f>
        <v>0</v>
      </c>
      <c r="AY127" s="0" t="n">
        <f aca="false">ROUND(AH127-AQ127,2)</f>
        <v>0</v>
      </c>
      <c r="AZ127" s="0" t="n">
        <f aca="false">ROUND(AI127-AR127,2)</f>
        <v>0</v>
      </c>
      <c r="BA127" s="0" t="n">
        <f aca="false">ROUND(AJ127-AS127,2)</f>
        <v>0</v>
      </c>
      <c r="BB127" s="0" t="n">
        <f aca="false">ROUND(AK127-AT127,2)</f>
        <v>0</v>
      </c>
      <c r="BC127" s="0" t="n">
        <f aca="false">ROUND(AL127-AU127,2)</f>
        <v>0</v>
      </c>
      <c r="BD127" s="0" t="n">
        <f aca="false">ROUND(AM127-AV127,2)</f>
        <v>0</v>
      </c>
      <c r="BE127" s="0" t="n">
        <f aca="false">ROUND(AN127-AW127,2)</f>
        <v>0</v>
      </c>
      <c r="BF127" s="0" t="n">
        <f aca="false">ROUND(AO127-AX127,2)</f>
        <v>0</v>
      </c>
      <c r="BG127" s="0" t="n">
        <f aca="false">SUM(AY127:BF127)</f>
        <v>0</v>
      </c>
    </row>
    <row r="128" customFormat="false" ht="15" hidden="false" customHeight="false" outlineLevel="0" collapsed="false">
      <c r="A128" s="0" t="n">
        <v>126</v>
      </c>
      <c r="B128" s="0" t="n">
        <f aca="false">AY127</f>
        <v>0</v>
      </c>
      <c r="C128" s="0" t="n">
        <f aca="false">AZ127</f>
        <v>0</v>
      </c>
      <c r="D128" s="0" t="n">
        <f aca="false">BA127</f>
        <v>0</v>
      </c>
      <c r="E128" s="0" t="n">
        <f aca="false">BB127</f>
        <v>0</v>
      </c>
      <c r="F128" s="0" t="n">
        <f aca="false">BC127</f>
        <v>0</v>
      </c>
      <c r="G128" s="0" t="n">
        <f aca="false">BD127</f>
        <v>0</v>
      </c>
      <c r="H128" s="0" t="n">
        <f aca="false">BE127</f>
        <v>0</v>
      </c>
      <c r="I128" s="0" t="n">
        <f aca="false">BF127</f>
        <v>0</v>
      </c>
      <c r="J128" s="0" t="n">
        <f aca="false">B128*N('Debt Payoff'!D9)/12</f>
        <v>0</v>
      </c>
      <c r="K128" s="0" t="n">
        <f aca="false">C128*N('Debt Payoff'!D10)/12</f>
        <v>0</v>
      </c>
      <c r="L128" s="0" t="n">
        <f aca="false">D128*N('Debt Payoff'!D11)/12</f>
        <v>0</v>
      </c>
      <c r="M128" s="0" t="n">
        <f aca="false">E128*N('Debt Payoff'!D12)/12</f>
        <v>0</v>
      </c>
      <c r="N128" s="0" t="n">
        <f aca="false">F128*N('Debt Payoff'!D13)/12</f>
        <v>0</v>
      </c>
      <c r="O128" s="0" t="n">
        <f aca="false">G128*N('Debt Payoff'!D14)/12</f>
        <v>0</v>
      </c>
      <c r="P128" s="0" t="n">
        <f aca="false">H128*N('Debt Payoff'!D15)/12</f>
        <v>0</v>
      </c>
      <c r="Q128" s="0" t="n">
        <f aca="false">I128*N('Debt Payoff'!D16)/12</f>
        <v>0</v>
      </c>
      <c r="R128" s="0" t="n">
        <f aca="false">B128+J128</f>
        <v>0</v>
      </c>
      <c r="S128" s="0" t="n">
        <f aca="false">C128+K128</f>
        <v>0</v>
      </c>
      <c r="T128" s="0" t="n">
        <f aca="false">D128+L128</f>
        <v>0</v>
      </c>
      <c r="U128" s="0" t="n">
        <f aca="false">E128+M128</f>
        <v>0</v>
      </c>
      <c r="V128" s="0" t="n">
        <f aca="false">F128+N128</f>
        <v>0</v>
      </c>
      <c r="W128" s="0" t="n">
        <f aca="false">G128+O128</f>
        <v>0</v>
      </c>
      <c r="X128" s="0" t="n">
        <f aca="false">H128+P128</f>
        <v>0</v>
      </c>
      <c r="Y128" s="0" t="n">
        <f aca="false">I128+Q128</f>
        <v>0</v>
      </c>
      <c r="Z128" s="0" t="n">
        <f aca="false">MIN(R128,N('Debt Payoff'!E9))</f>
        <v>0</v>
      </c>
      <c r="AA128" s="0" t="n">
        <f aca="false">MIN(S128,N('Debt Payoff'!E10))</f>
        <v>0</v>
      </c>
      <c r="AB128" s="0" t="n">
        <f aca="false">MIN(T128,N('Debt Payoff'!E11))</f>
        <v>0</v>
      </c>
      <c r="AC128" s="0" t="n">
        <f aca="false">MIN(U128,N('Debt Payoff'!E12))</f>
        <v>0</v>
      </c>
      <c r="AD128" s="0" t="n">
        <f aca="false">MIN(V128,N('Debt Payoff'!E13))</f>
        <v>0</v>
      </c>
      <c r="AE128" s="0" t="n">
        <f aca="false">MIN(W128,N('Debt Payoff'!E14))</f>
        <v>0</v>
      </c>
      <c r="AF128" s="0" t="n">
        <f aca="false">MIN(X128,N('Debt Payoff'!E15))</f>
        <v>0</v>
      </c>
      <c r="AG128" s="0" t="n">
        <f aca="false">MIN(Y128,N('Debt Payoff'!E16))</f>
        <v>0</v>
      </c>
      <c r="AH128" s="0" t="n">
        <f aca="false">R128-Z128</f>
        <v>0</v>
      </c>
      <c r="AI128" s="0" t="n">
        <f aca="false">S128-AA128</f>
        <v>0</v>
      </c>
      <c r="AJ128" s="0" t="n">
        <f aca="false">T128-AB128</f>
        <v>0</v>
      </c>
      <c r="AK128" s="0" t="n">
        <f aca="false">U128-AC128</f>
        <v>0</v>
      </c>
      <c r="AL128" s="0" t="n">
        <f aca="false">V128-AD128</f>
        <v>0</v>
      </c>
      <c r="AM128" s="0" t="n">
        <f aca="false">W128-AE128</f>
        <v>0</v>
      </c>
      <c r="AN128" s="0" t="n">
        <f aca="false">X128-AF128</f>
        <v>0</v>
      </c>
      <c r="AO128" s="0" t="n">
        <f aca="false">Y128-AG128</f>
        <v>0</v>
      </c>
      <c r="AP128" s="0" t="n">
        <f aca="false">MAX(0,'Debt Payoff'!$D$17-SUM(Z128:AG128))</f>
        <v>805</v>
      </c>
      <c r="AQ128" s="0" t="n">
        <f aca="false">MIN(AH128,MAX(0,$AP128-SUMPRODUCT(($AH$1:$AO$1&lt;AH$1)*$AH128:$AO128)))</f>
        <v>0</v>
      </c>
      <c r="AR128" s="0" t="n">
        <f aca="false">MIN(AI128,MAX(0,$AP128-SUMPRODUCT(($AH$1:$AO$1&lt;AI$1)*$AH128:$AO128)))</f>
        <v>0</v>
      </c>
      <c r="AS128" s="0" t="n">
        <f aca="false">MIN(AJ128,MAX(0,$AP128-SUMPRODUCT(($AH$1:$AO$1&lt;AJ$1)*$AH128:$AO128)))</f>
        <v>0</v>
      </c>
      <c r="AT128" s="0" t="n">
        <f aca="false">MIN(AK128,MAX(0,$AP128-SUMPRODUCT(($AH$1:$AO$1&lt;AK$1)*$AH128:$AO128)))</f>
        <v>0</v>
      </c>
      <c r="AU128" s="0" t="n">
        <f aca="false">MIN(AL128,MAX(0,$AP128-SUMPRODUCT(($AH$1:$AO$1&lt;AL$1)*$AH128:$AO128)))</f>
        <v>0</v>
      </c>
      <c r="AV128" s="0" t="n">
        <f aca="false">MIN(AM128,MAX(0,$AP128-SUMPRODUCT(($AH$1:$AO$1&lt;AM$1)*$AH128:$AO128)))</f>
        <v>0</v>
      </c>
      <c r="AW128" s="0" t="n">
        <f aca="false">MIN(AN128,MAX(0,$AP128-SUMPRODUCT(($AH$1:$AO$1&lt;AN$1)*$AH128:$AO128)))</f>
        <v>0</v>
      </c>
      <c r="AX128" s="0" t="n">
        <f aca="false">MIN(AO128,MAX(0,$AP128-SUMPRODUCT(($AH$1:$AO$1&lt;AO$1)*$AH128:$AO128)))</f>
        <v>0</v>
      </c>
      <c r="AY128" s="0" t="n">
        <f aca="false">ROUND(AH128-AQ128,2)</f>
        <v>0</v>
      </c>
      <c r="AZ128" s="0" t="n">
        <f aca="false">ROUND(AI128-AR128,2)</f>
        <v>0</v>
      </c>
      <c r="BA128" s="0" t="n">
        <f aca="false">ROUND(AJ128-AS128,2)</f>
        <v>0</v>
      </c>
      <c r="BB128" s="0" t="n">
        <f aca="false">ROUND(AK128-AT128,2)</f>
        <v>0</v>
      </c>
      <c r="BC128" s="0" t="n">
        <f aca="false">ROUND(AL128-AU128,2)</f>
        <v>0</v>
      </c>
      <c r="BD128" s="0" t="n">
        <f aca="false">ROUND(AM128-AV128,2)</f>
        <v>0</v>
      </c>
      <c r="BE128" s="0" t="n">
        <f aca="false">ROUND(AN128-AW128,2)</f>
        <v>0</v>
      </c>
      <c r="BF128" s="0" t="n">
        <f aca="false">ROUND(AO128-AX128,2)</f>
        <v>0</v>
      </c>
      <c r="BG128" s="0" t="n">
        <f aca="false">SUM(AY128:BF128)</f>
        <v>0</v>
      </c>
    </row>
    <row r="129" customFormat="false" ht="15" hidden="false" customHeight="false" outlineLevel="0" collapsed="false">
      <c r="A129" s="0" t="n">
        <v>127</v>
      </c>
      <c r="B129" s="0" t="n">
        <f aca="false">AY128</f>
        <v>0</v>
      </c>
      <c r="C129" s="0" t="n">
        <f aca="false">AZ128</f>
        <v>0</v>
      </c>
      <c r="D129" s="0" t="n">
        <f aca="false">BA128</f>
        <v>0</v>
      </c>
      <c r="E129" s="0" t="n">
        <f aca="false">BB128</f>
        <v>0</v>
      </c>
      <c r="F129" s="0" t="n">
        <f aca="false">BC128</f>
        <v>0</v>
      </c>
      <c r="G129" s="0" t="n">
        <f aca="false">BD128</f>
        <v>0</v>
      </c>
      <c r="H129" s="0" t="n">
        <f aca="false">BE128</f>
        <v>0</v>
      </c>
      <c r="I129" s="0" t="n">
        <f aca="false">BF128</f>
        <v>0</v>
      </c>
      <c r="J129" s="0" t="n">
        <f aca="false">B129*N('Debt Payoff'!D9)/12</f>
        <v>0</v>
      </c>
      <c r="K129" s="0" t="n">
        <f aca="false">C129*N('Debt Payoff'!D10)/12</f>
        <v>0</v>
      </c>
      <c r="L129" s="0" t="n">
        <f aca="false">D129*N('Debt Payoff'!D11)/12</f>
        <v>0</v>
      </c>
      <c r="M129" s="0" t="n">
        <f aca="false">E129*N('Debt Payoff'!D12)/12</f>
        <v>0</v>
      </c>
      <c r="N129" s="0" t="n">
        <f aca="false">F129*N('Debt Payoff'!D13)/12</f>
        <v>0</v>
      </c>
      <c r="O129" s="0" t="n">
        <f aca="false">G129*N('Debt Payoff'!D14)/12</f>
        <v>0</v>
      </c>
      <c r="P129" s="0" t="n">
        <f aca="false">H129*N('Debt Payoff'!D15)/12</f>
        <v>0</v>
      </c>
      <c r="Q129" s="0" t="n">
        <f aca="false">I129*N('Debt Payoff'!D16)/12</f>
        <v>0</v>
      </c>
      <c r="R129" s="0" t="n">
        <f aca="false">B129+J129</f>
        <v>0</v>
      </c>
      <c r="S129" s="0" t="n">
        <f aca="false">C129+K129</f>
        <v>0</v>
      </c>
      <c r="T129" s="0" t="n">
        <f aca="false">D129+L129</f>
        <v>0</v>
      </c>
      <c r="U129" s="0" t="n">
        <f aca="false">E129+M129</f>
        <v>0</v>
      </c>
      <c r="V129" s="0" t="n">
        <f aca="false">F129+N129</f>
        <v>0</v>
      </c>
      <c r="W129" s="0" t="n">
        <f aca="false">G129+O129</f>
        <v>0</v>
      </c>
      <c r="X129" s="0" t="n">
        <f aca="false">H129+P129</f>
        <v>0</v>
      </c>
      <c r="Y129" s="0" t="n">
        <f aca="false">I129+Q129</f>
        <v>0</v>
      </c>
      <c r="Z129" s="0" t="n">
        <f aca="false">MIN(R129,N('Debt Payoff'!E9))</f>
        <v>0</v>
      </c>
      <c r="AA129" s="0" t="n">
        <f aca="false">MIN(S129,N('Debt Payoff'!E10))</f>
        <v>0</v>
      </c>
      <c r="AB129" s="0" t="n">
        <f aca="false">MIN(T129,N('Debt Payoff'!E11))</f>
        <v>0</v>
      </c>
      <c r="AC129" s="0" t="n">
        <f aca="false">MIN(U129,N('Debt Payoff'!E12))</f>
        <v>0</v>
      </c>
      <c r="AD129" s="0" t="n">
        <f aca="false">MIN(V129,N('Debt Payoff'!E13))</f>
        <v>0</v>
      </c>
      <c r="AE129" s="0" t="n">
        <f aca="false">MIN(W129,N('Debt Payoff'!E14))</f>
        <v>0</v>
      </c>
      <c r="AF129" s="0" t="n">
        <f aca="false">MIN(X129,N('Debt Payoff'!E15))</f>
        <v>0</v>
      </c>
      <c r="AG129" s="0" t="n">
        <f aca="false">MIN(Y129,N('Debt Payoff'!E16))</f>
        <v>0</v>
      </c>
      <c r="AH129" s="0" t="n">
        <f aca="false">R129-Z129</f>
        <v>0</v>
      </c>
      <c r="AI129" s="0" t="n">
        <f aca="false">S129-AA129</f>
        <v>0</v>
      </c>
      <c r="AJ129" s="0" t="n">
        <f aca="false">T129-AB129</f>
        <v>0</v>
      </c>
      <c r="AK129" s="0" t="n">
        <f aca="false">U129-AC129</f>
        <v>0</v>
      </c>
      <c r="AL129" s="0" t="n">
        <f aca="false">V129-AD129</f>
        <v>0</v>
      </c>
      <c r="AM129" s="0" t="n">
        <f aca="false">W129-AE129</f>
        <v>0</v>
      </c>
      <c r="AN129" s="0" t="n">
        <f aca="false">X129-AF129</f>
        <v>0</v>
      </c>
      <c r="AO129" s="0" t="n">
        <f aca="false">Y129-AG129</f>
        <v>0</v>
      </c>
      <c r="AP129" s="0" t="n">
        <f aca="false">MAX(0,'Debt Payoff'!$D$17-SUM(Z129:AG129))</f>
        <v>805</v>
      </c>
      <c r="AQ129" s="0" t="n">
        <f aca="false">MIN(AH129,MAX(0,$AP129-SUMPRODUCT(($AH$1:$AO$1&lt;AH$1)*$AH129:$AO129)))</f>
        <v>0</v>
      </c>
      <c r="AR129" s="0" t="n">
        <f aca="false">MIN(AI129,MAX(0,$AP129-SUMPRODUCT(($AH$1:$AO$1&lt;AI$1)*$AH129:$AO129)))</f>
        <v>0</v>
      </c>
      <c r="AS129" s="0" t="n">
        <f aca="false">MIN(AJ129,MAX(0,$AP129-SUMPRODUCT(($AH$1:$AO$1&lt;AJ$1)*$AH129:$AO129)))</f>
        <v>0</v>
      </c>
      <c r="AT129" s="0" t="n">
        <f aca="false">MIN(AK129,MAX(0,$AP129-SUMPRODUCT(($AH$1:$AO$1&lt;AK$1)*$AH129:$AO129)))</f>
        <v>0</v>
      </c>
      <c r="AU129" s="0" t="n">
        <f aca="false">MIN(AL129,MAX(0,$AP129-SUMPRODUCT(($AH$1:$AO$1&lt;AL$1)*$AH129:$AO129)))</f>
        <v>0</v>
      </c>
      <c r="AV129" s="0" t="n">
        <f aca="false">MIN(AM129,MAX(0,$AP129-SUMPRODUCT(($AH$1:$AO$1&lt;AM$1)*$AH129:$AO129)))</f>
        <v>0</v>
      </c>
      <c r="AW129" s="0" t="n">
        <f aca="false">MIN(AN129,MAX(0,$AP129-SUMPRODUCT(($AH$1:$AO$1&lt;AN$1)*$AH129:$AO129)))</f>
        <v>0</v>
      </c>
      <c r="AX129" s="0" t="n">
        <f aca="false">MIN(AO129,MAX(0,$AP129-SUMPRODUCT(($AH$1:$AO$1&lt;AO$1)*$AH129:$AO129)))</f>
        <v>0</v>
      </c>
      <c r="AY129" s="0" t="n">
        <f aca="false">ROUND(AH129-AQ129,2)</f>
        <v>0</v>
      </c>
      <c r="AZ129" s="0" t="n">
        <f aca="false">ROUND(AI129-AR129,2)</f>
        <v>0</v>
      </c>
      <c r="BA129" s="0" t="n">
        <f aca="false">ROUND(AJ129-AS129,2)</f>
        <v>0</v>
      </c>
      <c r="BB129" s="0" t="n">
        <f aca="false">ROUND(AK129-AT129,2)</f>
        <v>0</v>
      </c>
      <c r="BC129" s="0" t="n">
        <f aca="false">ROUND(AL129-AU129,2)</f>
        <v>0</v>
      </c>
      <c r="BD129" s="0" t="n">
        <f aca="false">ROUND(AM129-AV129,2)</f>
        <v>0</v>
      </c>
      <c r="BE129" s="0" t="n">
        <f aca="false">ROUND(AN129-AW129,2)</f>
        <v>0</v>
      </c>
      <c r="BF129" s="0" t="n">
        <f aca="false">ROUND(AO129-AX129,2)</f>
        <v>0</v>
      </c>
      <c r="BG129" s="0" t="n">
        <f aca="false">SUM(AY129:BF129)</f>
        <v>0</v>
      </c>
    </row>
    <row r="130" customFormat="false" ht="15" hidden="false" customHeight="false" outlineLevel="0" collapsed="false">
      <c r="A130" s="0" t="n">
        <v>128</v>
      </c>
      <c r="B130" s="0" t="n">
        <f aca="false">AY129</f>
        <v>0</v>
      </c>
      <c r="C130" s="0" t="n">
        <f aca="false">AZ129</f>
        <v>0</v>
      </c>
      <c r="D130" s="0" t="n">
        <f aca="false">BA129</f>
        <v>0</v>
      </c>
      <c r="E130" s="0" t="n">
        <f aca="false">BB129</f>
        <v>0</v>
      </c>
      <c r="F130" s="0" t="n">
        <f aca="false">BC129</f>
        <v>0</v>
      </c>
      <c r="G130" s="0" t="n">
        <f aca="false">BD129</f>
        <v>0</v>
      </c>
      <c r="H130" s="0" t="n">
        <f aca="false">BE129</f>
        <v>0</v>
      </c>
      <c r="I130" s="0" t="n">
        <f aca="false">BF129</f>
        <v>0</v>
      </c>
      <c r="J130" s="0" t="n">
        <f aca="false">B130*N('Debt Payoff'!D9)/12</f>
        <v>0</v>
      </c>
      <c r="K130" s="0" t="n">
        <f aca="false">C130*N('Debt Payoff'!D10)/12</f>
        <v>0</v>
      </c>
      <c r="L130" s="0" t="n">
        <f aca="false">D130*N('Debt Payoff'!D11)/12</f>
        <v>0</v>
      </c>
      <c r="M130" s="0" t="n">
        <f aca="false">E130*N('Debt Payoff'!D12)/12</f>
        <v>0</v>
      </c>
      <c r="N130" s="0" t="n">
        <f aca="false">F130*N('Debt Payoff'!D13)/12</f>
        <v>0</v>
      </c>
      <c r="O130" s="0" t="n">
        <f aca="false">G130*N('Debt Payoff'!D14)/12</f>
        <v>0</v>
      </c>
      <c r="P130" s="0" t="n">
        <f aca="false">H130*N('Debt Payoff'!D15)/12</f>
        <v>0</v>
      </c>
      <c r="Q130" s="0" t="n">
        <f aca="false">I130*N('Debt Payoff'!D16)/12</f>
        <v>0</v>
      </c>
      <c r="R130" s="0" t="n">
        <f aca="false">B130+J130</f>
        <v>0</v>
      </c>
      <c r="S130" s="0" t="n">
        <f aca="false">C130+K130</f>
        <v>0</v>
      </c>
      <c r="T130" s="0" t="n">
        <f aca="false">D130+L130</f>
        <v>0</v>
      </c>
      <c r="U130" s="0" t="n">
        <f aca="false">E130+M130</f>
        <v>0</v>
      </c>
      <c r="V130" s="0" t="n">
        <f aca="false">F130+N130</f>
        <v>0</v>
      </c>
      <c r="W130" s="0" t="n">
        <f aca="false">G130+O130</f>
        <v>0</v>
      </c>
      <c r="X130" s="0" t="n">
        <f aca="false">H130+P130</f>
        <v>0</v>
      </c>
      <c r="Y130" s="0" t="n">
        <f aca="false">I130+Q130</f>
        <v>0</v>
      </c>
      <c r="Z130" s="0" t="n">
        <f aca="false">MIN(R130,N('Debt Payoff'!E9))</f>
        <v>0</v>
      </c>
      <c r="AA130" s="0" t="n">
        <f aca="false">MIN(S130,N('Debt Payoff'!E10))</f>
        <v>0</v>
      </c>
      <c r="AB130" s="0" t="n">
        <f aca="false">MIN(T130,N('Debt Payoff'!E11))</f>
        <v>0</v>
      </c>
      <c r="AC130" s="0" t="n">
        <f aca="false">MIN(U130,N('Debt Payoff'!E12))</f>
        <v>0</v>
      </c>
      <c r="AD130" s="0" t="n">
        <f aca="false">MIN(V130,N('Debt Payoff'!E13))</f>
        <v>0</v>
      </c>
      <c r="AE130" s="0" t="n">
        <f aca="false">MIN(W130,N('Debt Payoff'!E14))</f>
        <v>0</v>
      </c>
      <c r="AF130" s="0" t="n">
        <f aca="false">MIN(X130,N('Debt Payoff'!E15))</f>
        <v>0</v>
      </c>
      <c r="AG130" s="0" t="n">
        <f aca="false">MIN(Y130,N('Debt Payoff'!E16))</f>
        <v>0</v>
      </c>
      <c r="AH130" s="0" t="n">
        <f aca="false">R130-Z130</f>
        <v>0</v>
      </c>
      <c r="AI130" s="0" t="n">
        <f aca="false">S130-AA130</f>
        <v>0</v>
      </c>
      <c r="AJ130" s="0" t="n">
        <f aca="false">T130-AB130</f>
        <v>0</v>
      </c>
      <c r="AK130" s="0" t="n">
        <f aca="false">U130-AC130</f>
        <v>0</v>
      </c>
      <c r="AL130" s="0" t="n">
        <f aca="false">V130-AD130</f>
        <v>0</v>
      </c>
      <c r="AM130" s="0" t="n">
        <f aca="false">W130-AE130</f>
        <v>0</v>
      </c>
      <c r="AN130" s="0" t="n">
        <f aca="false">X130-AF130</f>
        <v>0</v>
      </c>
      <c r="AO130" s="0" t="n">
        <f aca="false">Y130-AG130</f>
        <v>0</v>
      </c>
      <c r="AP130" s="0" t="n">
        <f aca="false">MAX(0,'Debt Payoff'!$D$17-SUM(Z130:AG130))</f>
        <v>805</v>
      </c>
      <c r="AQ130" s="0" t="n">
        <f aca="false">MIN(AH130,MAX(0,$AP130-SUMPRODUCT(($AH$1:$AO$1&lt;AH$1)*$AH130:$AO130)))</f>
        <v>0</v>
      </c>
      <c r="AR130" s="0" t="n">
        <f aca="false">MIN(AI130,MAX(0,$AP130-SUMPRODUCT(($AH$1:$AO$1&lt;AI$1)*$AH130:$AO130)))</f>
        <v>0</v>
      </c>
      <c r="AS130" s="0" t="n">
        <f aca="false">MIN(AJ130,MAX(0,$AP130-SUMPRODUCT(($AH$1:$AO$1&lt;AJ$1)*$AH130:$AO130)))</f>
        <v>0</v>
      </c>
      <c r="AT130" s="0" t="n">
        <f aca="false">MIN(AK130,MAX(0,$AP130-SUMPRODUCT(($AH$1:$AO$1&lt;AK$1)*$AH130:$AO130)))</f>
        <v>0</v>
      </c>
      <c r="AU130" s="0" t="n">
        <f aca="false">MIN(AL130,MAX(0,$AP130-SUMPRODUCT(($AH$1:$AO$1&lt;AL$1)*$AH130:$AO130)))</f>
        <v>0</v>
      </c>
      <c r="AV130" s="0" t="n">
        <f aca="false">MIN(AM130,MAX(0,$AP130-SUMPRODUCT(($AH$1:$AO$1&lt;AM$1)*$AH130:$AO130)))</f>
        <v>0</v>
      </c>
      <c r="AW130" s="0" t="n">
        <f aca="false">MIN(AN130,MAX(0,$AP130-SUMPRODUCT(($AH$1:$AO$1&lt;AN$1)*$AH130:$AO130)))</f>
        <v>0</v>
      </c>
      <c r="AX130" s="0" t="n">
        <f aca="false">MIN(AO130,MAX(0,$AP130-SUMPRODUCT(($AH$1:$AO$1&lt;AO$1)*$AH130:$AO130)))</f>
        <v>0</v>
      </c>
      <c r="AY130" s="0" t="n">
        <f aca="false">ROUND(AH130-AQ130,2)</f>
        <v>0</v>
      </c>
      <c r="AZ130" s="0" t="n">
        <f aca="false">ROUND(AI130-AR130,2)</f>
        <v>0</v>
      </c>
      <c r="BA130" s="0" t="n">
        <f aca="false">ROUND(AJ130-AS130,2)</f>
        <v>0</v>
      </c>
      <c r="BB130" s="0" t="n">
        <f aca="false">ROUND(AK130-AT130,2)</f>
        <v>0</v>
      </c>
      <c r="BC130" s="0" t="n">
        <f aca="false">ROUND(AL130-AU130,2)</f>
        <v>0</v>
      </c>
      <c r="BD130" s="0" t="n">
        <f aca="false">ROUND(AM130-AV130,2)</f>
        <v>0</v>
      </c>
      <c r="BE130" s="0" t="n">
        <f aca="false">ROUND(AN130-AW130,2)</f>
        <v>0</v>
      </c>
      <c r="BF130" s="0" t="n">
        <f aca="false">ROUND(AO130-AX130,2)</f>
        <v>0</v>
      </c>
      <c r="BG130" s="0" t="n">
        <f aca="false">SUM(AY130:BF130)</f>
        <v>0</v>
      </c>
    </row>
    <row r="131" customFormat="false" ht="15" hidden="false" customHeight="false" outlineLevel="0" collapsed="false">
      <c r="A131" s="0" t="n">
        <v>129</v>
      </c>
      <c r="B131" s="0" t="n">
        <f aca="false">AY130</f>
        <v>0</v>
      </c>
      <c r="C131" s="0" t="n">
        <f aca="false">AZ130</f>
        <v>0</v>
      </c>
      <c r="D131" s="0" t="n">
        <f aca="false">BA130</f>
        <v>0</v>
      </c>
      <c r="E131" s="0" t="n">
        <f aca="false">BB130</f>
        <v>0</v>
      </c>
      <c r="F131" s="0" t="n">
        <f aca="false">BC130</f>
        <v>0</v>
      </c>
      <c r="G131" s="0" t="n">
        <f aca="false">BD130</f>
        <v>0</v>
      </c>
      <c r="H131" s="0" t="n">
        <f aca="false">BE130</f>
        <v>0</v>
      </c>
      <c r="I131" s="0" t="n">
        <f aca="false">BF130</f>
        <v>0</v>
      </c>
      <c r="J131" s="0" t="n">
        <f aca="false">B131*N('Debt Payoff'!D9)/12</f>
        <v>0</v>
      </c>
      <c r="K131" s="0" t="n">
        <f aca="false">C131*N('Debt Payoff'!D10)/12</f>
        <v>0</v>
      </c>
      <c r="L131" s="0" t="n">
        <f aca="false">D131*N('Debt Payoff'!D11)/12</f>
        <v>0</v>
      </c>
      <c r="M131" s="0" t="n">
        <f aca="false">E131*N('Debt Payoff'!D12)/12</f>
        <v>0</v>
      </c>
      <c r="N131" s="0" t="n">
        <f aca="false">F131*N('Debt Payoff'!D13)/12</f>
        <v>0</v>
      </c>
      <c r="O131" s="0" t="n">
        <f aca="false">G131*N('Debt Payoff'!D14)/12</f>
        <v>0</v>
      </c>
      <c r="P131" s="0" t="n">
        <f aca="false">H131*N('Debt Payoff'!D15)/12</f>
        <v>0</v>
      </c>
      <c r="Q131" s="0" t="n">
        <f aca="false">I131*N('Debt Payoff'!D16)/12</f>
        <v>0</v>
      </c>
      <c r="R131" s="0" t="n">
        <f aca="false">B131+J131</f>
        <v>0</v>
      </c>
      <c r="S131" s="0" t="n">
        <f aca="false">C131+K131</f>
        <v>0</v>
      </c>
      <c r="T131" s="0" t="n">
        <f aca="false">D131+L131</f>
        <v>0</v>
      </c>
      <c r="U131" s="0" t="n">
        <f aca="false">E131+M131</f>
        <v>0</v>
      </c>
      <c r="V131" s="0" t="n">
        <f aca="false">F131+N131</f>
        <v>0</v>
      </c>
      <c r="W131" s="0" t="n">
        <f aca="false">G131+O131</f>
        <v>0</v>
      </c>
      <c r="X131" s="0" t="n">
        <f aca="false">H131+P131</f>
        <v>0</v>
      </c>
      <c r="Y131" s="0" t="n">
        <f aca="false">I131+Q131</f>
        <v>0</v>
      </c>
      <c r="Z131" s="0" t="n">
        <f aca="false">MIN(R131,N('Debt Payoff'!E9))</f>
        <v>0</v>
      </c>
      <c r="AA131" s="0" t="n">
        <f aca="false">MIN(S131,N('Debt Payoff'!E10))</f>
        <v>0</v>
      </c>
      <c r="AB131" s="0" t="n">
        <f aca="false">MIN(T131,N('Debt Payoff'!E11))</f>
        <v>0</v>
      </c>
      <c r="AC131" s="0" t="n">
        <f aca="false">MIN(U131,N('Debt Payoff'!E12))</f>
        <v>0</v>
      </c>
      <c r="AD131" s="0" t="n">
        <f aca="false">MIN(V131,N('Debt Payoff'!E13))</f>
        <v>0</v>
      </c>
      <c r="AE131" s="0" t="n">
        <f aca="false">MIN(W131,N('Debt Payoff'!E14))</f>
        <v>0</v>
      </c>
      <c r="AF131" s="0" t="n">
        <f aca="false">MIN(X131,N('Debt Payoff'!E15))</f>
        <v>0</v>
      </c>
      <c r="AG131" s="0" t="n">
        <f aca="false">MIN(Y131,N('Debt Payoff'!E16))</f>
        <v>0</v>
      </c>
      <c r="AH131" s="0" t="n">
        <f aca="false">R131-Z131</f>
        <v>0</v>
      </c>
      <c r="AI131" s="0" t="n">
        <f aca="false">S131-AA131</f>
        <v>0</v>
      </c>
      <c r="AJ131" s="0" t="n">
        <f aca="false">T131-AB131</f>
        <v>0</v>
      </c>
      <c r="AK131" s="0" t="n">
        <f aca="false">U131-AC131</f>
        <v>0</v>
      </c>
      <c r="AL131" s="0" t="n">
        <f aca="false">V131-AD131</f>
        <v>0</v>
      </c>
      <c r="AM131" s="0" t="n">
        <f aca="false">W131-AE131</f>
        <v>0</v>
      </c>
      <c r="AN131" s="0" t="n">
        <f aca="false">X131-AF131</f>
        <v>0</v>
      </c>
      <c r="AO131" s="0" t="n">
        <f aca="false">Y131-AG131</f>
        <v>0</v>
      </c>
      <c r="AP131" s="0" t="n">
        <f aca="false">MAX(0,'Debt Payoff'!$D$17-SUM(Z131:AG131))</f>
        <v>805</v>
      </c>
      <c r="AQ131" s="0" t="n">
        <f aca="false">MIN(AH131,MAX(0,$AP131-SUMPRODUCT(($AH$1:$AO$1&lt;AH$1)*$AH131:$AO131)))</f>
        <v>0</v>
      </c>
      <c r="AR131" s="0" t="n">
        <f aca="false">MIN(AI131,MAX(0,$AP131-SUMPRODUCT(($AH$1:$AO$1&lt;AI$1)*$AH131:$AO131)))</f>
        <v>0</v>
      </c>
      <c r="AS131" s="0" t="n">
        <f aca="false">MIN(AJ131,MAX(0,$AP131-SUMPRODUCT(($AH$1:$AO$1&lt;AJ$1)*$AH131:$AO131)))</f>
        <v>0</v>
      </c>
      <c r="AT131" s="0" t="n">
        <f aca="false">MIN(AK131,MAX(0,$AP131-SUMPRODUCT(($AH$1:$AO$1&lt;AK$1)*$AH131:$AO131)))</f>
        <v>0</v>
      </c>
      <c r="AU131" s="0" t="n">
        <f aca="false">MIN(AL131,MAX(0,$AP131-SUMPRODUCT(($AH$1:$AO$1&lt;AL$1)*$AH131:$AO131)))</f>
        <v>0</v>
      </c>
      <c r="AV131" s="0" t="n">
        <f aca="false">MIN(AM131,MAX(0,$AP131-SUMPRODUCT(($AH$1:$AO$1&lt;AM$1)*$AH131:$AO131)))</f>
        <v>0</v>
      </c>
      <c r="AW131" s="0" t="n">
        <f aca="false">MIN(AN131,MAX(0,$AP131-SUMPRODUCT(($AH$1:$AO$1&lt;AN$1)*$AH131:$AO131)))</f>
        <v>0</v>
      </c>
      <c r="AX131" s="0" t="n">
        <f aca="false">MIN(AO131,MAX(0,$AP131-SUMPRODUCT(($AH$1:$AO$1&lt;AO$1)*$AH131:$AO131)))</f>
        <v>0</v>
      </c>
      <c r="AY131" s="0" t="n">
        <f aca="false">ROUND(AH131-AQ131,2)</f>
        <v>0</v>
      </c>
      <c r="AZ131" s="0" t="n">
        <f aca="false">ROUND(AI131-AR131,2)</f>
        <v>0</v>
      </c>
      <c r="BA131" s="0" t="n">
        <f aca="false">ROUND(AJ131-AS131,2)</f>
        <v>0</v>
      </c>
      <c r="BB131" s="0" t="n">
        <f aca="false">ROUND(AK131-AT131,2)</f>
        <v>0</v>
      </c>
      <c r="BC131" s="0" t="n">
        <f aca="false">ROUND(AL131-AU131,2)</f>
        <v>0</v>
      </c>
      <c r="BD131" s="0" t="n">
        <f aca="false">ROUND(AM131-AV131,2)</f>
        <v>0</v>
      </c>
      <c r="BE131" s="0" t="n">
        <f aca="false">ROUND(AN131-AW131,2)</f>
        <v>0</v>
      </c>
      <c r="BF131" s="0" t="n">
        <f aca="false">ROUND(AO131-AX131,2)</f>
        <v>0</v>
      </c>
      <c r="BG131" s="0" t="n">
        <f aca="false">SUM(AY131:BF131)</f>
        <v>0</v>
      </c>
    </row>
    <row r="132" customFormat="false" ht="15" hidden="false" customHeight="false" outlineLevel="0" collapsed="false">
      <c r="A132" s="0" t="n">
        <v>130</v>
      </c>
      <c r="B132" s="0" t="n">
        <f aca="false">AY131</f>
        <v>0</v>
      </c>
      <c r="C132" s="0" t="n">
        <f aca="false">AZ131</f>
        <v>0</v>
      </c>
      <c r="D132" s="0" t="n">
        <f aca="false">BA131</f>
        <v>0</v>
      </c>
      <c r="E132" s="0" t="n">
        <f aca="false">BB131</f>
        <v>0</v>
      </c>
      <c r="F132" s="0" t="n">
        <f aca="false">BC131</f>
        <v>0</v>
      </c>
      <c r="G132" s="0" t="n">
        <f aca="false">BD131</f>
        <v>0</v>
      </c>
      <c r="H132" s="0" t="n">
        <f aca="false">BE131</f>
        <v>0</v>
      </c>
      <c r="I132" s="0" t="n">
        <f aca="false">BF131</f>
        <v>0</v>
      </c>
      <c r="J132" s="0" t="n">
        <f aca="false">B132*N('Debt Payoff'!D9)/12</f>
        <v>0</v>
      </c>
      <c r="K132" s="0" t="n">
        <f aca="false">C132*N('Debt Payoff'!D10)/12</f>
        <v>0</v>
      </c>
      <c r="L132" s="0" t="n">
        <f aca="false">D132*N('Debt Payoff'!D11)/12</f>
        <v>0</v>
      </c>
      <c r="M132" s="0" t="n">
        <f aca="false">E132*N('Debt Payoff'!D12)/12</f>
        <v>0</v>
      </c>
      <c r="N132" s="0" t="n">
        <f aca="false">F132*N('Debt Payoff'!D13)/12</f>
        <v>0</v>
      </c>
      <c r="O132" s="0" t="n">
        <f aca="false">G132*N('Debt Payoff'!D14)/12</f>
        <v>0</v>
      </c>
      <c r="P132" s="0" t="n">
        <f aca="false">H132*N('Debt Payoff'!D15)/12</f>
        <v>0</v>
      </c>
      <c r="Q132" s="0" t="n">
        <f aca="false">I132*N('Debt Payoff'!D16)/12</f>
        <v>0</v>
      </c>
      <c r="R132" s="0" t="n">
        <f aca="false">B132+J132</f>
        <v>0</v>
      </c>
      <c r="S132" s="0" t="n">
        <f aca="false">C132+K132</f>
        <v>0</v>
      </c>
      <c r="T132" s="0" t="n">
        <f aca="false">D132+L132</f>
        <v>0</v>
      </c>
      <c r="U132" s="0" t="n">
        <f aca="false">E132+M132</f>
        <v>0</v>
      </c>
      <c r="V132" s="0" t="n">
        <f aca="false">F132+N132</f>
        <v>0</v>
      </c>
      <c r="W132" s="0" t="n">
        <f aca="false">G132+O132</f>
        <v>0</v>
      </c>
      <c r="X132" s="0" t="n">
        <f aca="false">H132+P132</f>
        <v>0</v>
      </c>
      <c r="Y132" s="0" t="n">
        <f aca="false">I132+Q132</f>
        <v>0</v>
      </c>
      <c r="Z132" s="0" t="n">
        <f aca="false">MIN(R132,N('Debt Payoff'!E9))</f>
        <v>0</v>
      </c>
      <c r="AA132" s="0" t="n">
        <f aca="false">MIN(S132,N('Debt Payoff'!E10))</f>
        <v>0</v>
      </c>
      <c r="AB132" s="0" t="n">
        <f aca="false">MIN(T132,N('Debt Payoff'!E11))</f>
        <v>0</v>
      </c>
      <c r="AC132" s="0" t="n">
        <f aca="false">MIN(U132,N('Debt Payoff'!E12))</f>
        <v>0</v>
      </c>
      <c r="AD132" s="0" t="n">
        <f aca="false">MIN(V132,N('Debt Payoff'!E13))</f>
        <v>0</v>
      </c>
      <c r="AE132" s="0" t="n">
        <f aca="false">MIN(W132,N('Debt Payoff'!E14))</f>
        <v>0</v>
      </c>
      <c r="AF132" s="0" t="n">
        <f aca="false">MIN(X132,N('Debt Payoff'!E15))</f>
        <v>0</v>
      </c>
      <c r="AG132" s="0" t="n">
        <f aca="false">MIN(Y132,N('Debt Payoff'!E16))</f>
        <v>0</v>
      </c>
      <c r="AH132" s="0" t="n">
        <f aca="false">R132-Z132</f>
        <v>0</v>
      </c>
      <c r="AI132" s="0" t="n">
        <f aca="false">S132-AA132</f>
        <v>0</v>
      </c>
      <c r="AJ132" s="0" t="n">
        <f aca="false">T132-AB132</f>
        <v>0</v>
      </c>
      <c r="AK132" s="0" t="n">
        <f aca="false">U132-AC132</f>
        <v>0</v>
      </c>
      <c r="AL132" s="0" t="n">
        <f aca="false">V132-AD132</f>
        <v>0</v>
      </c>
      <c r="AM132" s="0" t="n">
        <f aca="false">W132-AE132</f>
        <v>0</v>
      </c>
      <c r="AN132" s="0" t="n">
        <f aca="false">X132-AF132</f>
        <v>0</v>
      </c>
      <c r="AO132" s="0" t="n">
        <f aca="false">Y132-AG132</f>
        <v>0</v>
      </c>
      <c r="AP132" s="0" t="n">
        <f aca="false">MAX(0,'Debt Payoff'!$D$17-SUM(Z132:AG132))</f>
        <v>805</v>
      </c>
      <c r="AQ132" s="0" t="n">
        <f aca="false">MIN(AH132,MAX(0,$AP132-SUMPRODUCT(($AH$1:$AO$1&lt;AH$1)*$AH132:$AO132)))</f>
        <v>0</v>
      </c>
      <c r="AR132" s="0" t="n">
        <f aca="false">MIN(AI132,MAX(0,$AP132-SUMPRODUCT(($AH$1:$AO$1&lt;AI$1)*$AH132:$AO132)))</f>
        <v>0</v>
      </c>
      <c r="AS132" s="0" t="n">
        <f aca="false">MIN(AJ132,MAX(0,$AP132-SUMPRODUCT(($AH$1:$AO$1&lt;AJ$1)*$AH132:$AO132)))</f>
        <v>0</v>
      </c>
      <c r="AT132" s="0" t="n">
        <f aca="false">MIN(AK132,MAX(0,$AP132-SUMPRODUCT(($AH$1:$AO$1&lt;AK$1)*$AH132:$AO132)))</f>
        <v>0</v>
      </c>
      <c r="AU132" s="0" t="n">
        <f aca="false">MIN(AL132,MAX(0,$AP132-SUMPRODUCT(($AH$1:$AO$1&lt;AL$1)*$AH132:$AO132)))</f>
        <v>0</v>
      </c>
      <c r="AV132" s="0" t="n">
        <f aca="false">MIN(AM132,MAX(0,$AP132-SUMPRODUCT(($AH$1:$AO$1&lt;AM$1)*$AH132:$AO132)))</f>
        <v>0</v>
      </c>
      <c r="AW132" s="0" t="n">
        <f aca="false">MIN(AN132,MAX(0,$AP132-SUMPRODUCT(($AH$1:$AO$1&lt;AN$1)*$AH132:$AO132)))</f>
        <v>0</v>
      </c>
      <c r="AX132" s="0" t="n">
        <f aca="false">MIN(AO132,MAX(0,$AP132-SUMPRODUCT(($AH$1:$AO$1&lt;AO$1)*$AH132:$AO132)))</f>
        <v>0</v>
      </c>
      <c r="AY132" s="0" t="n">
        <f aca="false">ROUND(AH132-AQ132,2)</f>
        <v>0</v>
      </c>
      <c r="AZ132" s="0" t="n">
        <f aca="false">ROUND(AI132-AR132,2)</f>
        <v>0</v>
      </c>
      <c r="BA132" s="0" t="n">
        <f aca="false">ROUND(AJ132-AS132,2)</f>
        <v>0</v>
      </c>
      <c r="BB132" s="0" t="n">
        <f aca="false">ROUND(AK132-AT132,2)</f>
        <v>0</v>
      </c>
      <c r="BC132" s="0" t="n">
        <f aca="false">ROUND(AL132-AU132,2)</f>
        <v>0</v>
      </c>
      <c r="BD132" s="0" t="n">
        <f aca="false">ROUND(AM132-AV132,2)</f>
        <v>0</v>
      </c>
      <c r="BE132" s="0" t="n">
        <f aca="false">ROUND(AN132-AW132,2)</f>
        <v>0</v>
      </c>
      <c r="BF132" s="0" t="n">
        <f aca="false">ROUND(AO132-AX132,2)</f>
        <v>0</v>
      </c>
      <c r="BG132" s="0" t="n">
        <f aca="false">SUM(AY132:BF132)</f>
        <v>0</v>
      </c>
    </row>
    <row r="133" customFormat="false" ht="15" hidden="false" customHeight="false" outlineLevel="0" collapsed="false">
      <c r="A133" s="0" t="n">
        <v>131</v>
      </c>
      <c r="B133" s="0" t="n">
        <f aca="false">AY132</f>
        <v>0</v>
      </c>
      <c r="C133" s="0" t="n">
        <f aca="false">AZ132</f>
        <v>0</v>
      </c>
      <c r="D133" s="0" t="n">
        <f aca="false">BA132</f>
        <v>0</v>
      </c>
      <c r="E133" s="0" t="n">
        <f aca="false">BB132</f>
        <v>0</v>
      </c>
      <c r="F133" s="0" t="n">
        <f aca="false">BC132</f>
        <v>0</v>
      </c>
      <c r="G133" s="0" t="n">
        <f aca="false">BD132</f>
        <v>0</v>
      </c>
      <c r="H133" s="0" t="n">
        <f aca="false">BE132</f>
        <v>0</v>
      </c>
      <c r="I133" s="0" t="n">
        <f aca="false">BF132</f>
        <v>0</v>
      </c>
      <c r="J133" s="0" t="n">
        <f aca="false">B133*N('Debt Payoff'!D9)/12</f>
        <v>0</v>
      </c>
      <c r="K133" s="0" t="n">
        <f aca="false">C133*N('Debt Payoff'!D10)/12</f>
        <v>0</v>
      </c>
      <c r="L133" s="0" t="n">
        <f aca="false">D133*N('Debt Payoff'!D11)/12</f>
        <v>0</v>
      </c>
      <c r="M133" s="0" t="n">
        <f aca="false">E133*N('Debt Payoff'!D12)/12</f>
        <v>0</v>
      </c>
      <c r="N133" s="0" t="n">
        <f aca="false">F133*N('Debt Payoff'!D13)/12</f>
        <v>0</v>
      </c>
      <c r="O133" s="0" t="n">
        <f aca="false">G133*N('Debt Payoff'!D14)/12</f>
        <v>0</v>
      </c>
      <c r="P133" s="0" t="n">
        <f aca="false">H133*N('Debt Payoff'!D15)/12</f>
        <v>0</v>
      </c>
      <c r="Q133" s="0" t="n">
        <f aca="false">I133*N('Debt Payoff'!D16)/12</f>
        <v>0</v>
      </c>
      <c r="R133" s="0" t="n">
        <f aca="false">B133+J133</f>
        <v>0</v>
      </c>
      <c r="S133" s="0" t="n">
        <f aca="false">C133+K133</f>
        <v>0</v>
      </c>
      <c r="T133" s="0" t="n">
        <f aca="false">D133+L133</f>
        <v>0</v>
      </c>
      <c r="U133" s="0" t="n">
        <f aca="false">E133+M133</f>
        <v>0</v>
      </c>
      <c r="V133" s="0" t="n">
        <f aca="false">F133+N133</f>
        <v>0</v>
      </c>
      <c r="W133" s="0" t="n">
        <f aca="false">G133+O133</f>
        <v>0</v>
      </c>
      <c r="X133" s="0" t="n">
        <f aca="false">H133+P133</f>
        <v>0</v>
      </c>
      <c r="Y133" s="0" t="n">
        <f aca="false">I133+Q133</f>
        <v>0</v>
      </c>
      <c r="Z133" s="0" t="n">
        <f aca="false">MIN(R133,N('Debt Payoff'!E9))</f>
        <v>0</v>
      </c>
      <c r="AA133" s="0" t="n">
        <f aca="false">MIN(S133,N('Debt Payoff'!E10))</f>
        <v>0</v>
      </c>
      <c r="AB133" s="0" t="n">
        <f aca="false">MIN(T133,N('Debt Payoff'!E11))</f>
        <v>0</v>
      </c>
      <c r="AC133" s="0" t="n">
        <f aca="false">MIN(U133,N('Debt Payoff'!E12))</f>
        <v>0</v>
      </c>
      <c r="AD133" s="0" t="n">
        <f aca="false">MIN(V133,N('Debt Payoff'!E13))</f>
        <v>0</v>
      </c>
      <c r="AE133" s="0" t="n">
        <f aca="false">MIN(W133,N('Debt Payoff'!E14))</f>
        <v>0</v>
      </c>
      <c r="AF133" s="0" t="n">
        <f aca="false">MIN(X133,N('Debt Payoff'!E15))</f>
        <v>0</v>
      </c>
      <c r="AG133" s="0" t="n">
        <f aca="false">MIN(Y133,N('Debt Payoff'!E16))</f>
        <v>0</v>
      </c>
      <c r="AH133" s="0" t="n">
        <f aca="false">R133-Z133</f>
        <v>0</v>
      </c>
      <c r="AI133" s="0" t="n">
        <f aca="false">S133-AA133</f>
        <v>0</v>
      </c>
      <c r="AJ133" s="0" t="n">
        <f aca="false">T133-AB133</f>
        <v>0</v>
      </c>
      <c r="AK133" s="0" t="n">
        <f aca="false">U133-AC133</f>
        <v>0</v>
      </c>
      <c r="AL133" s="0" t="n">
        <f aca="false">V133-AD133</f>
        <v>0</v>
      </c>
      <c r="AM133" s="0" t="n">
        <f aca="false">W133-AE133</f>
        <v>0</v>
      </c>
      <c r="AN133" s="0" t="n">
        <f aca="false">X133-AF133</f>
        <v>0</v>
      </c>
      <c r="AO133" s="0" t="n">
        <f aca="false">Y133-AG133</f>
        <v>0</v>
      </c>
      <c r="AP133" s="0" t="n">
        <f aca="false">MAX(0,'Debt Payoff'!$D$17-SUM(Z133:AG133))</f>
        <v>805</v>
      </c>
      <c r="AQ133" s="0" t="n">
        <f aca="false">MIN(AH133,MAX(0,$AP133-SUMPRODUCT(($AH$1:$AO$1&lt;AH$1)*$AH133:$AO133)))</f>
        <v>0</v>
      </c>
      <c r="AR133" s="0" t="n">
        <f aca="false">MIN(AI133,MAX(0,$AP133-SUMPRODUCT(($AH$1:$AO$1&lt;AI$1)*$AH133:$AO133)))</f>
        <v>0</v>
      </c>
      <c r="AS133" s="0" t="n">
        <f aca="false">MIN(AJ133,MAX(0,$AP133-SUMPRODUCT(($AH$1:$AO$1&lt;AJ$1)*$AH133:$AO133)))</f>
        <v>0</v>
      </c>
      <c r="AT133" s="0" t="n">
        <f aca="false">MIN(AK133,MAX(0,$AP133-SUMPRODUCT(($AH$1:$AO$1&lt;AK$1)*$AH133:$AO133)))</f>
        <v>0</v>
      </c>
      <c r="AU133" s="0" t="n">
        <f aca="false">MIN(AL133,MAX(0,$AP133-SUMPRODUCT(($AH$1:$AO$1&lt;AL$1)*$AH133:$AO133)))</f>
        <v>0</v>
      </c>
      <c r="AV133" s="0" t="n">
        <f aca="false">MIN(AM133,MAX(0,$AP133-SUMPRODUCT(($AH$1:$AO$1&lt;AM$1)*$AH133:$AO133)))</f>
        <v>0</v>
      </c>
      <c r="AW133" s="0" t="n">
        <f aca="false">MIN(AN133,MAX(0,$AP133-SUMPRODUCT(($AH$1:$AO$1&lt;AN$1)*$AH133:$AO133)))</f>
        <v>0</v>
      </c>
      <c r="AX133" s="0" t="n">
        <f aca="false">MIN(AO133,MAX(0,$AP133-SUMPRODUCT(($AH$1:$AO$1&lt;AO$1)*$AH133:$AO133)))</f>
        <v>0</v>
      </c>
      <c r="AY133" s="0" t="n">
        <f aca="false">ROUND(AH133-AQ133,2)</f>
        <v>0</v>
      </c>
      <c r="AZ133" s="0" t="n">
        <f aca="false">ROUND(AI133-AR133,2)</f>
        <v>0</v>
      </c>
      <c r="BA133" s="0" t="n">
        <f aca="false">ROUND(AJ133-AS133,2)</f>
        <v>0</v>
      </c>
      <c r="BB133" s="0" t="n">
        <f aca="false">ROUND(AK133-AT133,2)</f>
        <v>0</v>
      </c>
      <c r="BC133" s="0" t="n">
        <f aca="false">ROUND(AL133-AU133,2)</f>
        <v>0</v>
      </c>
      <c r="BD133" s="0" t="n">
        <f aca="false">ROUND(AM133-AV133,2)</f>
        <v>0</v>
      </c>
      <c r="BE133" s="0" t="n">
        <f aca="false">ROUND(AN133-AW133,2)</f>
        <v>0</v>
      </c>
      <c r="BF133" s="0" t="n">
        <f aca="false">ROUND(AO133-AX133,2)</f>
        <v>0</v>
      </c>
      <c r="BG133" s="0" t="n">
        <f aca="false">SUM(AY133:BF133)</f>
        <v>0</v>
      </c>
    </row>
    <row r="134" customFormat="false" ht="15" hidden="false" customHeight="false" outlineLevel="0" collapsed="false">
      <c r="A134" s="0" t="n">
        <v>132</v>
      </c>
      <c r="B134" s="0" t="n">
        <f aca="false">AY133</f>
        <v>0</v>
      </c>
      <c r="C134" s="0" t="n">
        <f aca="false">AZ133</f>
        <v>0</v>
      </c>
      <c r="D134" s="0" t="n">
        <f aca="false">BA133</f>
        <v>0</v>
      </c>
      <c r="E134" s="0" t="n">
        <f aca="false">BB133</f>
        <v>0</v>
      </c>
      <c r="F134" s="0" t="n">
        <f aca="false">BC133</f>
        <v>0</v>
      </c>
      <c r="G134" s="0" t="n">
        <f aca="false">BD133</f>
        <v>0</v>
      </c>
      <c r="H134" s="0" t="n">
        <f aca="false">BE133</f>
        <v>0</v>
      </c>
      <c r="I134" s="0" t="n">
        <f aca="false">BF133</f>
        <v>0</v>
      </c>
      <c r="J134" s="0" t="n">
        <f aca="false">B134*N('Debt Payoff'!D9)/12</f>
        <v>0</v>
      </c>
      <c r="K134" s="0" t="n">
        <f aca="false">C134*N('Debt Payoff'!D10)/12</f>
        <v>0</v>
      </c>
      <c r="L134" s="0" t="n">
        <f aca="false">D134*N('Debt Payoff'!D11)/12</f>
        <v>0</v>
      </c>
      <c r="M134" s="0" t="n">
        <f aca="false">E134*N('Debt Payoff'!D12)/12</f>
        <v>0</v>
      </c>
      <c r="N134" s="0" t="n">
        <f aca="false">F134*N('Debt Payoff'!D13)/12</f>
        <v>0</v>
      </c>
      <c r="O134" s="0" t="n">
        <f aca="false">G134*N('Debt Payoff'!D14)/12</f>
        <v>0</v>
      </c>
      <c r="P134" s="0" t="n">
        <f aca="false">H134*N('Debt Payoff'!D15)/12</f>
        <v>0</v>
      </c>
      <c r="Q134" s="0" t="n">
        <f aca="false">I134*N('Debt Payoff'!D16)/12</f>
        <v>0</v>
      </c>
      <c r="R134" s="0" t="n">
        <f aca="false">B134+J134</f>
        <v>0</v>
      </c>
      <c r="S134" s="0" t="n">
        <f aca="false">C134+K134</f>
        <v>0</v>
      </c>
      <c r="T134" s="0" t="n">
        <f aca="false">D134+L134</f>
        <v>0</v>
      </c>
      <c r="U134" s="0" t="n">
        <f aca="false">E134+M134</f>
        <v>0</v>
      </c>
      <c r="V134" s="0" t="n">
        <f aca="false">F134+N134</f>
        <v>0</v>
      </c>
      <c r="W134" s="0" t="n">
        <f aca="false">G134+O134</f>
        <v>0</v>
      </c>
      <c r="X134" s="0" t="n">
        <f aca="false">H134+P134</f>
        <v>0</v>
      </c>
      <c r="Y134" s="0" t="n">
        <f aca="false">I134+Q134</f>
        <v>0</v>
      </c>
      <c r="Z134" s="0" t="n">
        <f aca="false">MIN(R134,N('Debt Payoff'!E9))</f>
        <v>0</v>
      </c>
      <c r="AA134" s="0" t="n">
        <f aca="false">MIN(S134,N('Debt Payoff'!E10))</f>
        <v>0</v>
      </c>
      <c r="AB134" s="0" t="n">
        <f aca="false">MIN(T134,N('Debt Payoff'!E11))</f>
        <v>0</v>
      </c>
      <c r="AC134" s="0" t="n">
        <f aca="false">MIN(U134,N('Debt Payoff'!E12))</f>
        <v>0</v>
      </c>
      <c r="AD134" s="0" t="n">
        <f aca="false">MIN(V134,N('Debt Payoff'!E13))</f>
        <v>0</v>
      </c>
      <c r="AE134" s="0" t="n">
        <f aca="false">MIN(W134,N('Debt Payoff'!E14))</f>
        <v>0</v>
      </c>
      <c r="AF134" s="0" t="n">
        <f aca="false">MIN(X134,N('Debt Payoff'!E15))</f>
        <v>0</v>
      </c>
      <c r="AG134" s="0" t="n">
        <f aca="false">MIN(Y134,N('Debt Payoff'!E16))</f>
        <v>0</v>
      </c>
      <c r="AH134" s="0" t="n">
        <f aca="false">R134-Z134</f>
        <v>0</v>
      </c>
      <c r="AI134" s="0" t="n">
        <f aca="false">S134-AA134</f>
        <v>0</v>
      </c>
      <c r="AJ134" s="0" t="n">
        <f aca="false">T134-AB134</f>
        <v>0</v>
      </c>
      <c r="AK134" s="0" t="n">
        <f aca="false">U134-AC134</f>
        <v>0</v>
      </c>
      <c r="AL134" s="0" t="n">
        <f aca="false">V134-AD134</f>
        <v>0</v>
      </c>
      <c r="AM134" s="0" t="n">
        <f aca="false">W134-AE134</f>
        <v>0</v>
      </c>
      <c r="AN134" s="0" t="n">
        <f aca="false">X134-AF134</f>
        <v>0</v>
      </c>
      <c r="AO134" s="0" t="n">
        <f aca="false">Y134-AG134</f>
        <v>0</v>
      </c>
      <c r="AP134" s="0" t="n">
        <f aca="false">MAX(0,'Debt Payoff'!$D$17-SUM(Z134:AG134))</f>
        <v>805</v>
      </c>
      <c r="AQ134" s="0" t="n">
        <f aca="false">MIN(AH134,MAX(0,$AP134-SUMPRODUCT(($AH$1:$AO$1&lt;AH$1)*$AH134:$AO134)))</f>
        <v>0</v>
      </c>
      <c r="AR134" s="0" t="n">
        <f aca="false">MIN(AI134,MAX(0,$AP134-SUMPRODUCT(($AH$1:$AO$1&lt;AI$1)*$AH134:$AO134)))</f>
        <v>0</v>
      </c>
      <c r="AS134" s="0" t="n">
        <f aca="false">MIN(AJ134,MAX(0,$AP134-SUMPRODUCT(($AH$1:$AO$1&lt;AJ$1)*$AH134:$AO134)))</f>
        <v>0</v>
      </c>
      <c r="AT134" s="0" t="n">
        <f aca="false">MIN(AK134,MAX(0,$AP134-SUMPRODUCT(($AH$1:$AO$1&lt;AK$1)*$AH134:$AO134)))</f>
        <v>0</v>
      </c>
      <c r="AU134" s="0" t="n">
        <f aca="false">MIN(AL134,MAX(0,$AP134-SUMPRODUCT(($AH$1:$AO$1&lt;AL$1)*$AH134:$AO134)))</f>
        <v>0</v>
      </c>
      <c r="AV134" s="0" t="n">
        <f aca="false">MIN(AM134,MAX(0,$AP134-SUMPRODUCT(($AH$1:$AO$1&lt;AM$1)*$AH134:$AO134)))</f>
        <v>0</v>
      </c>
      <c r="AW134" s="0" t="n">
        <f aca="false">MIN(AN134,MAX(0,$AP134-SUMPRODUCT(($AH$1:$AO$1&lt;AN$1)*$AH134:$AO134)))</f>
        <v>0</v>
      </c>
      <c r="AX134" s="0" t="n">
        <f aca="false">MIN(AO134,MAX(0,$AP134-SUMPRODUCT(($AH$1:$AO$1&lt;AO$1)*$AH134:$AO134)))</f>
        <v>0</v>
      </c>
      <c r="AY134" s="0" t="n">
        <f aca="false">ROUND(AH134-AQ134,2)</f>
        <v>0</v>
      </c>
      <c r="AZ134" s="0" t="n">
        <f aca="false">ROUND(AI134-AR134,2)</f>
        <v>0</v>
      </c>
      <c r="BA134" s="0" t="n">
        <f aca="false">ROUND(AJ134-AS134,2)</f>
        <v>0</v>
      </c>
      <c r="BB134" s="0" t="n">
        <f aca="false">ROUND(AK134-AT134,2)</f>
        <v>0</v>
      </c>
      <c r="BC134" s="0" t="n">
        <f aca="false">ROUND(AL134-AU134,2)</f>
        <v>0</v>
      </c>
      <c r="BD134" s="0" t="n">
        <f aca="false">ROUND(AM134-AV134,2)</f>
        <v>0</v>
      </c>
      <c r="BE134" s="0" t="n">
        <f aca="false">ROUND(AN134-AW134,2)</f>
        <v>0</v>
      </c>
      <c r="BF134" s="0" t="n">
        <f aca="false">ROUND(AO134-AX134,2)</f>
        <v>0</v>
      </c>
      <c r="BG134" s="0" t="n">
        <f aca="false">SUM(AY134:BF134)</f>
        <v>0</v>
      </c>
    </row>
    <row r="135" customFormat="false" ht="15" hidden="false" customHeight="false" outlineLevel="0" collapsed="false">
      <c r="A135" s="0" t="n">
        <v>133</v>
      </c>
      <c r="B135" s="0" t="n">
        <f aca="false">AY134</f>
        <v>0</v>
      </c>
      <c r="C135" s="0" t="n">
        <f aca="false">AZ134</f>
        <v>0</v>
      </c>
      <c r="D135" s="0" t="n">
        <f aca="false">BA134</f>
        <v>0</v>
      </c>
      <c r="E135" s="0" t="n">
        <f aca="false">BB134</f>
        <v>0</v>
      </c>
      <c r="F135" s="0" t="n">
        <f aca="false">BC134</f>
        <v>0</v>
      </c>
      <c r="G135" s="0" t="n">
        <f aca="false">BD134</f>
        <v>0</v>
      </c>
      <c r="H135" s="0" t="n">
        <f aca="false">BE134</f>
        <v>0</v>
      </c>
      <c r="I135" s="0" t="n">
        <f aca="false">BF134</f>
        <v>0</v>
      </c>
      <c r="J135" s="0" t="n">
        <f aca="false">B135*N('Debt Payoff'!D9)/12</f>
        <v>0</v>
      </c>
      <c r="K135" s="0" t="n">
        <f aca="false">C135*N('Debt Payoff'!D10)/12</f>
        <v>0</v>
      </c>
      <c r="L135" s="0" t="n">
        <f aca="false">D135*N('Debt Payoff'!D11)/12</f>
        <v>0</v>
      </c>
      <c r="M135" s="0" t="n">
        <f aca="false">E135*N('Debt Payoff'!D12)/12</f>
        <v>0</v>
      </c>
      <c r="N135" s="0" t="n">
        <f aca="false">F135*N('Debt Payoff'!D13)/12</f>
        <v>0</v>
      </c>
      <c r="O135" s="0" t="n">
        <f aca="false">G135*N('Debt Payoff'!D14)/12</f>
        <v>0</v>
      </c>
      <c r="P135" s="0" t="n">
        <f aca="false">H135*N('Debt Payoff'!D15)/12</f>
        <v>0</v>
      </c>
      <c r="Q135" s="0" t="n">
        <f aca="false">I135*N('Debt Payoff'!D16)/12</f>
        <v>0</v>
      </c>
      <c r="R135" s="0" t="n">
        <f aca="false">B135+J135</f>
        <v>0</v>
      </c>
      <c r="S135" s="0" t="n">
        <f aca="false">C135+K135</f>
        <v>0</v>
      </c>
      <c r="T135" s="0" t="n">
        <f aca="false">D135+L135</f>
        <v>0</v>
      </c>
      <c r="U135" s="0" t="n">
        <f aca="false">E135+M135</f>
        <v>0</v>
      </c>
      <c r="V135" s="0" t="n">
        <f aca="false">F135+N135</f>
        <v>0</v>
      </c>
      <c r="W135" s="0" t="n">
        <f aca="false">G135+O135</f>
        <v>0</v>
      </c>
      <c r="X135" s="0" t="n">
        <f aca="false">H135+P135</f>
        <v>0</v>
      </c>
      <c r="Y135" s="0" t="n">
        <f aca="false">I135+Q135</f>
        <v>0</v>
      </c>
      <c r="Z135" s="0" t="n">
        <f aca="false">MIN(R135,N('Debt Payoff'!E9))</f>
        <v>0</v>
      </c>
      <c r="AA135" s="0" t="n">
        <f aca="false">MIN(S135,N('Debt Payoff'!E10))</f>
        <v>0</v>
      </c>
      <c r="AB135" s="0" t="n">
        <f aca="false">MIN(T135,N('Debt Payoff'!E11))</f>
        <v>0</v>
      </c>
      <c r="AC135" s="0" t="n">
        <f aca="false">MIN(U135,N('Debt Payoff'!E12))</f>
        <v>0</v>
      </c>
      <c r="AD135" s="0" t="n">
        <f aca="false">MIN(V135,N('Debt Payoff'!E13))</f>
        <v>0</v>
      </c>
      <c r="AE135" s="0" t="n">
        <f aca="false">MIN(W135,N('Debt Payoff'!E14))</f>
        <v>0</v>
      </c>
      <c r="AF135" s="0" t="n">
        <f aca="false">MIN(X135,N('Debt Payoff'!E15))</f>
        <v>0</v>
      </c>
      <c r="AG135" s="0" t="n">
        <f aca="false">MIN(Y135,N('Debt Payoff'!E16))</f>
        <v>0</v>
      </c>
      <c r="AH135" s="0" t="n">
        <f aca="false">R135-Z135</f>
        <v>0</v>
      </c>
      <c r="AI135" s="0" t="n">
        <f aca="false">S135-AA135</f>
        <v>0</v>
      </c>
      <c r="AJ135" s="0" t="n">
        <f aca="false">T135-AB135</f>
        <v>0</v>
      </c>
      <c r="AK135" s="0" t="n">
        <f aca="false">U135-AC135</f>
        <v>0</v>
      </c>
      <c r="AL135" s="0" t="n">
        <f aca="false">V135-AD135</f>
        <v>0</v>
      </c>
      <c r="AM135" s="0" t="n">
        <f aca="false">W135-AE135</f>
        <v>0</v>
      </c>
      <c r="AN135" s="0" t="n">
        <f aca="false">X135-AF135</f>
        <v>0</v>
      </c>
      <c r="AO135" s="0" t="n">
        <f aca="false">Y135-AG135</f>
        <v>0</v>
      </c>
      <c r="AP135" s="0" t="n">
        <f aca="false">MAX(0,'Debt Payoff'!$D$17-SUM(Z135:AG135))</f>
        <v>805</v>
      </c>
      <c r="AQ135" s="0" t="n">
        <f aca="false">MIN(AH135,MAX(0,$AP135-SUMPRODUCT(($AH$1:$AO$1&lt;AH$1)*$AH135:$AO135)))</f>
        <v>0</v>
      </c>
      <c r="AR135" s="0" t="n">
        <f aca="false">MIN(AI135,MAX(0,$AP135-SUMPRODUCT(($AH$1:$AO$1&lt;AI$1)*$AH135:$AO135)))</f>
        <v>0</v>
      </c>
      <c r="AS135" s="0" t="n">
        <f aca="false">MIN(AJ135,MAX(0,$AP135-SUMPRODUCT(($AH$1:$AO$1&lt;AJ$1)*$AH135:$AO135)))</f>
        <v>0</v>
      </c>
      <c r="AT135" s="0" t="n">
        <f aca="false">MIN(AK135,MAX(0,$AP135-SUMPRODUCT(($AH$1:$AO$1&lt;AK$1)*$AH135:$AO135)))</f>
        <v>0</v>
      </c>
      <c r="AU135" s="0" t="n">
        <f aca="false">MIN(AL135,MAX(0,$AP135-SUMPRODUCT(($AH$1:$AO$1&lt;AL$1)*$AH135:$AO135)))</f>
        <v>0</v>
      </c>
      <c r="AV135" s="0" t="n">
        <f aca="false">MIN(AM135,MAX(0,$AP135-SUMPRODUCT(($AH$1:$AO$1&lt;AM$1)*$AH135:$AO135)))</f>
        <v>0</v>
      </c>
      <c r="AW135" s="0" t="n">
        <f aca="false">MIN(AN135,MAX(0,$AP135-SUMPRODUCT(($AH$1:$AO$1&lt;AN$1)*$AH135:$AO135)))</f>
        <v>0</v>
      </c>
      <c r="AX135" s="0" t="n">
        <f aca="false">MIN(AO135,MAX(0,$AP135-SUMPRODUCT(($AH$1:$AO$1&lt;AO$1)*$AH135:$AO135)))</f>
        <v>0</v>
      </c>
      <c r="AY135" s="0" t="n">
        <f aca="false">ROUND(AH135-AQ135,2)</f>
        <v>0</v>
      </c>
      <c r="AZ135" s="0" t="n">
        <f aca="false">ROUND(AI135-AR135,2)</f>
        <v>0</v>
      </c>
      <c r="BA135" s="0" t="n">
        <f aca="false">ROUND(AJ135-AS135,2)</f>
        <v>0</v>
      </c>
      <c r="BB135" s="0" t="n">
        <f aca="false">ROUND(AK135-AT135,2)</f>
        <v>0</v>
      </c>
      <c r="BC135" s="0" t="n">
        <f aca="false">ROUND(AL135-AU135,2)</f>
        <v>0</v>
      </c>
      <c r="BD135" s="0" t="n">
        <f aca="false">ROUND(AM135-AV135,2)</f>
        <v>0</v>
      </c>
      <c r="BE135" s="0" t="n">
        <f aca="false">ROUND(AN135-AW135,2)</f>
        <v>0</v>
      </c>
      <c r="BF135" s="0" t="n">
        <f aca="false">ROUND(AO135-AX135,2)</f>
        <v>0</v>
      </c>
      <c r="BG135" s="0" t="n">
        <f aca="false">SUM(AY135:BF135)</f>
        <v>0</v>
      </c>
    </row>
    <row r="136" customFormat="false" ht="15" hidden="false" customHeight="false" outlineLevel="0" collapsed="false">
      <c r="A136" s="0" t="n">
        <v>134</v>
      </c>
      <c r="B136" s="0" t="n">
        <f aca="false">AY135</f>
        <v>0</v>
      </c>
      <c r="C136" s="0" t="n">
        <f aca="false">AZ135</f>
        <v>0</v>
      </c>
      <c r="D136" s="0" t="n">
        <f aca="false">BA135</f>
        <v>0</v>
      </c>
      <c r="E136" s="0" t="n">
        <f aca="false">BB135</f>
        <v>0</v>
      </c>
      <c r="F136" s="0" t="n">
        <f aca="false">BC135</f>
        <v>0</v>
      </c>
      <c r="G136" s="0" t="n">
        <f aca="false">BD135</f>
        <v>0</v>
      </c>
      <c r="H136" s="0" t="n">
        <f aca="false">BE135</f>
        <v>0</v>
      </c>
      <c r="I136" s="0" t="n">
        <f aca="false">BF135</f>
        <v>0</v>
      </c>
      <c r="J136" s="0" t="n">
        <f aca="false">B136*N('Debt Payoff'!D9)/12</f>
        <v>0</v>
      </c>
      <c r="K136" s="0" t="n">
        <f aca="false">C136*N('Debt Payoff'!D10)/12</f>
        <v>0</v>
      </c>
      <c r="L136" s="0" t="n">
        <f aca="false">D136*N('Debt Payoff'!D11)/12</f>
        <v>0</v>
      </c>
      <c r="M136" s="0" t="n">
        <f aca="false">E136*N('Debt Payoff'!D12)/12</f>
        <v>0</v>
      </c>
      <c r="N136" s="0" t="n">
        <f aca="false">F136*N('Debt Payoff'!D13)/12</f>
        <v>0</v>
      </c>
      <c r="O136" s="0" t="n">
        <f aca="false">G136*N('Debt Payoff'!D14)/12</f>
        <v>0</v>
      </c>
      <c r="P136" s="0" t="n">
        <f aca="false">H136*N('Debt Payoff'!D15)/12</f>
        <v>0</v>
      </c>
      <c r="Q136" s="0" t="n">
        <f aca="false">I136*N('Debt Payoff'!D16)/12</f>
        <v>0</v>
      </c>
      <c r="R136" s="0" t="n">
        <f aca="false">B136+J136</f>
        <v>0</v>
      </c>
      <c r="S136" s="0" t="n">
        <f aca="false">C136+K136</f>
        <v>0</v>
      </c>
      <c r="T136" s="0" t="n">
        <f aca="false">D136+L136</f>
        <v>0</v>
      </c>
      <c r="U136" s="0" t="n">
        <f aca="false">E136+M136</f>
        <v>0</v>
      </c>
      <c r="V136" s="0" t="n">
        <f aca="false">F136+N136</f>
        <v>0</v>
      </c>
      <c r="W136" s="0" t="n">
        <f aca="false">G136+O136</f>
        <v>0</v>
      </c>
      <c r="X136" s="0" t="n">
        <f aca="false">H136+P136</f>
        <v>0</v>
      </c>
      <c r="Y136" s="0" t="n">
        <f aca="false">I136+Q136</f>
        <v>0</v>
      </c>
      <c r="Z136" s="0" t="n">
        <f aca="false">MIN(R136,N('Debt Payoff'!E9))</f>
        <v>0</v>
      </c>
      <c r="AA136" s="0" t="n">
        <f aca="false">MIN(S136,N('Debt Payoff'!E10))</f>
        <v>0</v>
      </c>
      <c r="AB136" s="0" t="n">
        <f aca="false">MIN(T136,N('Debt Payoff'!E11))</f>
        <v>0</v>
      </c>
      <c r="AC136" s="0" t="n">
        <f aca="false">MIN(U136,N('Debt Payoff'!E12))</f>
        <v>0</v>
      </c>
      <c r="AD136" s="0" t="n">
        <f aca="false">MIN(V136,N('Debt Payoff'!E13))</f>
        <v>0</v>
      </c>
      <c r="AE136" s="0" t="n">
        <f aca="false">MIN(W136,N('Debt Payoff'!E14))</f>
        <v>0</v>
      </c>
      <c r="AF136" s="0" t="n">
        <f aca="false">MIN(X136,N('Debt Payoff'!E15))</f>
        <v>0</v>
      </c>
      <c r="AG136" s="0" t="n">
        <f aca="false">MIN(Y136,N('Debt Payoff'!E16))</f>
        <v>0</v>
      </c>
      <c r="AH136" s="0" t="n">
        <f aca="false">R136-Z136</f>
        <v>0</v>
      </c>
      <c r="AI136" s="0" t="n">
        <f aca="false">S136-AA136</f>
        <v>0</v>
      </c>
      <c r="AJ136" s="0" t="n">
        <f aca="false">T136-AB136</f>
        <v>0</v>
      </c>
      <c r="AK136" s="0" t="n">
        <f aca="false">U136-AC136</f>
        <v>0</v>
      </c>
      <c r="AL136" s="0" t="n">
        <f aca="false">V136-AD136</f>
        <v>0</v>
      </c>
      <c r="AM136" s="0" t="n">
        <f aca="false">W136-AE136</f>
        <v>0</v>
      </c>
      <c r="AN136" s="0" t="n">
        <f aca="false">X136-AF136</f>
        <v>0</v>
      </c>
      <c r="AO136" s="0" t="n">
        <f aca="false">Y136-AG136</f>
        <v>0</v>
      </c>
      <c r="AP136" s="0" t="n">
        <f aca="false">MAX(0,'Debt Payoff'!$D$17-SUM(Z136:AG136))</f>
        <v>805</v>
      </c>
      <c r="AQ136" s="0" t="n">
        <f aca="false">MIN(AH136,MAX(0,$AP136-SUMPRODUCT(($AH$1:$AO$1&lt;AH$1)*$AH136:$AO136)))</f>
        <v>0</v>
      </c>
      <c r="AR136" s="0" t="n">
        <f aca="false">MIN(AI136,MAX(0,$AP136-SUMPRODUCT(($AH$1:$AO$1&lt;AI$1)*$AH136:$AO136)))</f>
        <v>0</v>
      </c>
      <c r="AS136" s="0" t="n">
        <f aca="false">MIN(AJ136,MAX(0,$AP136-SUMPRODUCT(($AH$1:$AO$1&lt;AJ$1)*$AH136:$AO136)))</f>
        <v>0</v>
      </c>
      <c r="AT136" s="0" t="n">
        <f aca="false">MIN(AK136,MAX(0,$AP136-SUMPRODUCT(($AH$1:$AO$1&lt;AK$1)*$AH136:$AO136)))</f>
        <v>0</v>
      </c>
      <c r="AU136" s="0" t="n">
        <f aca="false">MIN(AL136,MAX(0,$AP136-SUMPRODUCT(($AH$1:$AO$1&lt;AL$1)*$AH136:$AO136)))</f>
        <v>0</v>
      </c>
      <c r="AV136" s="0" t="n">
        <f aca="false">MIN(AM136,MAX(0,$AP136-SUMPRODUCT(($AH$1:$AO$1&lt;AM$1)*$AH136:$AO136)))</f>
        <v>0</v>
      </c>
      <c r="AW136" s="0" t="n">
        <f aca="false">MIN(AN136,MAX(0,$AP136-SUMPRODUCT(($AH$1:$AO$1&lt;AN$1)*$AH136:$AO136)))</f>
        <v>0</v>
      </c>
      <c r="AX136" s="0" t="n">
        <f aca="false">MIN(AO136,MAX(0,$AP136-SUMPRODUCT(($AH$1:$AO$1&lt;AO$1)*$AH136:$AO136)))</f>
        <v>0</v>
      </c>
      <c r="AY136" s="0" t="n">
        <f aca="false">ROUND(AH136-AQ136,2)</f>
        <v>0</v>
      </c>
      <c r="AZ136" s="0" t="n">
        <f aca="false">ROUND(AI136-AR136,2)</f>
        <v>0</v>
      </c>
      <c r="BA136" s="0" t="n">
        <f aca="false">ROUND(AJ136-AS136,2)</f>
        <v>0</v>
      </c>
      <c r="BB136" s="0" t="n">
        <f aca="false">ROUND(AK136-AT136,2)</f>
        <v>0</v>
      </c>
      <c r="BC136" s="0" t="n">
        <f aca="false">ROUND(AL136-AU136,2)</f>
        <v>0</v>
      </c>
      <c r="BD136" s="0" t="n">
        <f aca="false">ROUND(AM136-AV136,2)</f>
        <v>0</v>
      </c>
      <c r="BE136" s="0" t="n">
        <f aca="false">ROUND(AN136-AW136,2)</f>
        <v>0</v>
      </c>
      <c r="BF136" s="0" t="n">
        <f aca="false">ROUND(AO136-AX136,2)</f>
        <v>0</v>
      </c>
      <c r="BG136" s="0" t="n">
        <f aca="false">SUM(AY136:BF136)</f>
        <v>0</v>
      </c>
    </row>
    <row r="137" customFormat="false" ht="15" hidden="false" customHeight="false" outlineLevel="0" collapsed="false">
      <c r="A137" s="0" t="n">
        <v>135</v>
      </c>
      <c r="B137" s="0" t="n">
        <f aca="false">AY136</f>
        <v>0</v>
      </c>
      <c r="C137" s="0" t="n">
        <f aca="false">AZ136</f>
        <v>0</v>
      </c>
      <c r="D137" s="0" t="n">
        <f aca="false">BA136</f>
        <v>0</v>
      </c>
      <c r="E137" s="0" t="n">
        <f aca="false">BB136</f>
        <v>0</v>
      </c>
      <c r="F137" s="0" t="n">
        <f aca="false">BC136</f>
        <v>0</v>
      </c>
      <c r="G137" s="0" t="n">
        <f aca="false">BD136</f>
        <v>0</v>
      </c>
      <c r="H137" s="0" t="n">
        <f aca="false">BE136</f>
        <v>0</v>
      </c>
      <c r="I137" s="0" t="n">
        <f aca="false">BF136</f>
        <v>0</v>
      </c>
      <c r="J137" s="0" t="n">
        <f aca="false">B137*N('Debt Payoff'!D9)/12</f>
        <v>0</v>
      </c>
      <c r="K137" s="0" t="n">
        <f aca="false">C137*N('Debt Payoff'!D10)/12</f>
        <v>0</v>
      </c>
      <c r="L137" s="0" t="n">
        <f aca="false">D137*N('Debt Payoff'!D11)/12</f>
        <v>0</v>
      </c>
      <c r="M137" s="0" t="n">
        <f aca="false">E137*N('Debt Payoff'!D12)/12</f>
        <v>0</v>
      </c>
      <c r="N137" s="0" t="n">
        <f aca="false">F137*N('Debt Payoff'!D13)/12</f>
        <v>0</v>
      </c>
      <c r="O137" s="0" t="n">
        <f aca="false">G137*N('Debt Payoff'!D14)/12</f>
        <v>0</v>
      </c>
      <c r="P137" s="0" t="n">
        <f aca="false">H137*N('Debt Payoff'!D15)/12</f>
        <v>0</v>
      </c>
      <c r="Q137" s="0" t="n">
        <f aca="false">I137*N('Debt Payoff'!D16)/12</f>
        <v>0</v>
      </c>
      <c r="R137" s="0" t="n">
        <f aca="false">B137+J137</f>
        <v>0</v>
      </c>
      <c r="S137" s="0" t="n">
        <f aca="false">C137+K137</f>
        <v>0</v>
      </c>
      <c r="T137" s="0" t="n">
        <f aca="false">D137+L137</f>
        <v>0</v>
      </c>
      <c r="U137" s="0" t="n">
        <f aca="false">E137+M137</f>
        <v>0</v>
      </c>
      <c r="V137" s="0" t="n">
        <f aca="false">F137+N137</f>
        <v>0</v>
      </c>
      <c r="W137" s="0" t="n">
        <f aca="false">G137+O137</f>
        <v>0</v>
      </c>
      <c r="X137" s="0" t="n">
        <f aca="false">H137+P137</f>
        <v>0</v>
      </c>
      <c r="Y137" s="0" t="n">
        <f aca="false">I137+Q137</f>
        <v>0</v>
      </c>
      <c r="Z137" s="0" t="n">
        <f aca="false">MIN(R137,N('Debt Payoff'!E9))</f>
        <v>0</v>
      </c>
      <c r="AA137" s="0" t="n">
        <f aca="false">MIN(S137,N('Debt Payoff'!E10))</f>
        <v>0</v>
      </c>
      <c r="AB137" s="0" t="n">
        <f aca="false">MIN(T137,N('Debt Payoff'!E11))</f>
        <v>0</v>
      </c>
      <c r="AC137" s="0" t="n">
        <f aca="false">MIN(U137,N('Debt Payoff'!E12))</f>
        <v>0</v>
      </c>
      <c r="AD137" s="0" t="n">
        <f aca="false">MIN(V137,N('Debt Payoff'!E13))</f>
        <v>0</v>
      </c>
      <c r="AE137" s="0" t="n">
        <f aca="false">MIN(W137,N('Debt Payoff'!E14))</f>
        <v>0</v>
      </c>
      <c r="AF137" s="0" t="n">
        <f aca="false">MIN(X137,N('Debt Payoff'!E15))</f>
        <v>0</v>
      </c>
      <c r="AG137" s="0" t="n">
        <f aca="false">MIN(Y137,N('Debt Payoff'!E16))</f>
        <v>0</v>
      </c>
      <c r="AH137" s="0" t="n">
        <f aca="false">R137-Z137</f>
        <v>0</v>
      </c>
      <c r="AI137" s="0" t="n">
        <f aca="false">S137-AA137</f>
        <v>0</v>
      </c>
      <c r="AJ137" s="0" t="n">
        <f aca="false">T137-AB137</f>
        <v>0</v>
      </c>
      <c r="AK137" s="0" t="n">
        <f aca="false">U137-AC137</f>
        <v>0</v>
      </c>
      <c r="AL137" s="0" t="n">
        <f aca="false">V137-AD137</f>
        <v>0</v>
      </c>
      <c r="AM137" s="0" t="n">
        <f aca="false">W137-AE137</f>
        <v>0</v>
      </c>
      <c r="AN137" s="0" t="n">
        <f aca="false">X137-AF137</f>
        <v>0</v>
      </c>
      <c r="AO137" s="0" t="n">
        <f aca="false">Y137-AG137</f>
        <v>0</v>
      </c>
      <c r="AP137" s="0" t="n">
        <f aca="false">MAX(0,'Debt Payoff'!$D$17-SUM(Z137:AG137))</f>
        <v>805</v>
      </c>
      <c r="AQ137" s="0" t="n">
        <f aca="false">MIN(AH137,MAX(0,$AP137-SUMPRODUCT(($AH$1:$AO$1&lt;AH$1)*$AH137:$AO137)))</f>
        <v>0</v>
      </c>
      <c r="AR137" s="0" t="n">
        <f aca="false">MIN(AI137,MAX(0,$AP137-SUMPRODUCT(($AH$1:$AO$1&lt;AI$1)*$AH137:$AO137)))</f>
        <v>0</v>
      </c>
      <c r="AS137" s="0" t="n">
        <f aca="false">MIN(AJ137,MAX(0,$AP137-SUMPRODUCT(($AH$1:$AO$1&lt;AJ$1)*$AH137:$AO137)))</f>
        <v>0</v>
      </c>
      <c r="AT137" s="0" t="n">
        <f aca="false">MIN(AK137,MAX(0,$AP137-SUMPRODUCT(($AH$1:$AO$1&lt;AK$1)*$AH137:$AO137)))</f>
        <v>0</v>
      </c>
      <c r="AU137" s="0" t="n">
        <f aca="false">MIN(AL137,MAX(0,$AP137-SUMPRODUCT(($AH$1:$AO$1&lt;AL$1)*$AH137:$AO137)))</f>
        <v>0</v>
      </c>
      <c r="AV137" s="0" t="n">
        <f aca="false">MIN(AM137,MAX(0,$AP137-SUMPRODUCT(($AH$1:$AO$1&lt;AM$1)*$AH137:$AO137)))</f>
        <v>0</v>
      </c>
      <c r="AW137" s="0" t="n">
        <f aca="false">MIN(AN137,MAX(0,$AP137-SUMPRODUCT(($AH$1:$AO$1&lt;AN$1)*$AH137:$AO137)))</f>
        <v>0</v>
      </c>
      <c r="AX137" s="0" t="n">
        <f aca="false">MIN(AO137,MAX(0,$AP137-SUMPRODUCT(($AH$1:$AO$1&lt;AO$1)*$AH137:$AO137)))</f>
        <v>0</v>
      </c>
      <c r="AY137" s="0" t="n">
        <f aca="false">ROUND(AH137-AQ137,2)</f>
        <v>0</v>
      </c>
      <c r="AZ137" s="0" t="n">
        <f aca="false">ROUND(AI137-AR137,2)</f>
        <v>0</v>
      </c>
      <c r="BA137" s="0" t="n">
        <f aca="false">ROUND(AJ137-AS137,2)</f>
        <v>0</v>
      </c>
      <c r="BB137" s="0" t="n">
        <f aca="false">ROUND(AK137-AT137,2)</f>
        <v>0</v>
      </c>
      <c r="BC137" s="0" t="n">
        <f aca="false">ROUND(AL137-AU137,2)</f>
        <v>0</v>
      </c>
      <c r="BD137" s="0" t="n">
        <f aca="false">ROUND(AM137-AV137,2)</f>
        <v>0</v>
      </c>
      <c r="BE137" s="0" t="n">
        <f aca="false">ROUND(AN137-AW137,2)</f>
        <v>0</v>
      </c>
      <c r="BF137" s="0" t="n">
        <f aca="false">ROUND(AO137-AX137,2)</f>
        <v>0</v>
      </c>
      <c r="BG137" s="0" t="n">
        <f aca="false">SUM(AY137:BF137)</f>
        <v>0</v>
      </c>
    </row>
    <row r="138" customFormat="false" ht="15" hidden="false" customHeight="false" outlineLevel="0" collapsed="false">
      <c r="A138" s="0" t="n">
        <v>136</v>
      </c>
      <c r="B138" s="0" t="n">
        <f aca="false">AY137</f>
        <v>0</v>
      </c>
      <c r="C138" s="0" t="n">
        <f aca="false">AZ137</f>
        <v>0</v>
      </c>
      <c r="D138" s="0" t="n">
        <f aca="false">BA137</f>
        <v>0</v>
      </c>
      <c r="E138" s="0" t="n">
        <f aca="false">BB137</f>
        <v>0</v>
      </c>
      <c r="F138" s="0" t="n">
        <f aca="false">BC137</f>
        <v>0</v>
      </c>
      <c r="G138" s="0" t="n">
        <f aca="false">BD137</f>
        <v>0</v>
      </c>
      <c r="H138" s="0" t="n">
        <f aca="false">BE137</f>
        <v>0</v>
      </c>
      <c r="I138" s="0" t="n">
        <f aca="false">BF137</f>
        <v>0</v>
      </c>
      <c r="J138" s="0" t="n">
        <f aca="false">B138*N('Debt Payoff'!D9)/12</f>
        <v>0</v>
      </c>
      <c r="K138" s="0" t="n">
        <f aca="false">C138*N('Debt Payoff'!D10)/12</f>
        <v>0</v>
      </c>
      <c r="L138" s="0" t="n">
        <f aca="false">D138*N('Debt Payoff'!D11)/12</f>
        <v>0</v>
      </c>
      <c r="M138" s="0" t="n">
        <f aca="false">E138*N('Debt Payoff'!D12)/12</f>
        <v>0</v>
      </c>
      <c r="N138" s="0" t="n">
        <f aca="false">F138*N('Debt Payoff'!D13)/12</f>
        <v>0</v>
      </c>
      <c r="O138" s="0" t="n">
        <f aca="false">G138*N('Debt Payoff'!D14)/12</f>
        <v>0</v>
      </c>
      <c r="P138" s="0" t="n">
        <f aca="false">H138*N('Debt Payoff'!D15)/12</f>
        <v>0</v>
      </c>
      <c r="Q138" s="0" t="n">
        <f aca="false">I138*N('Debt Payoff'!D16)/12</f>
        <v>0</v>
      </c>
      <c r="R138" s="0" t="n">
        <f aca="false">B138+J138</f>
        <v>0</v>
      </c>
      <c r="S138" s="0" t="n">
        <f aca="false">C138+K138</f>
        <v>0</v>
      </c>
      <c r="T138" s="0" t="n">
        <f aca="false">D138+L138</f>
        <v>0</v>
      </c>
      <c r="U138" s="0" t="n">
        <f aca="false">E138+M138</f>
        <v>0</v>
      </c>
      <c r="V138" s="0" t="n">
        <f aca="false">F138+N138</f>
        <v>0</v>
      </c>
      <c r="W138" s="0" t="n">
        <f aca="false">G138+O138</f>
        <v>0</v>
      </c>
      <c r="X138" s="0" t="n">
        <f aca="false">H138+P138</f>
        <v>0</v>
      </c>
      <c r="Y138" s="0" t="n">
        <f aca="false">I138+Q138</f>
        <v>0</v>
      </c>
      <c r="Z138" s="0" t="n">
        <f aca="false">MIN(R138,N('Debt Payoff'!E9))</f>
        <v>0</v>
      </c>
      <c r="AA138" s="0" t="n">
        <f aca="false">MIN(S138,N('Debt Payoff'!E10))</f>
        <v>0</v>
      </c>
      <c r="AB138" s="0" t="n">
        <f aca="false">MIN(T138,N('Debt Payoff'!E11))</f>
        <v>0</v>
      </c>
      <c r="AC138" s="0" t="n">
        <f aca="false">MIN(U138,N('Debt Payoff'!E12))</f>
        <v>0</v>
      </c>
      <c r="AD138" s="0" t="n">
        <f aca="false">MIN(V138,N('Debt Payoff'!E13))</f>
        <v>0</v>
      </c>
      <c r="AE138" s="0" t="n">
        <f aca="false">MIN(W138,N('Debt Payoff'!E14))</f>
        <v>0</v>
      </c>
      <c r="AF138" s="0" t="n">
        <f aca="false">MIN(X138,N('Debt Payoff'!E15))</f>
        <v>0</v>
      </c>
      <c r="AG138" s="0" t="n">
        <f aca="false">MIN(Y138,N('Debt Payoff'!E16))</f>
        <v>0</v>
      </c>
      <c r="AH138" s="0" t="n">
        <f aca="false">R138-Z138</f>
        <v>0</v>
      </c>
      <c r="AI138" s="0" t="n">
        <f aca="false">S138-AA138</f>
        <v>0</v>
      </c>
      <c r="AJ138" s="0" t="n">
        <f aca="false">T138-AB138</f>
        <v>0</v>
      </c>
      <c r="AK138" s="0" t="n">
        <f aca="false">U138-AC138</f>
        <v>0</v>
      </c>
      <c r="AL138" s="0" t="n">
        <f aca="false">V138-AD138</f>
        <v>0</v>
      </c>
      <c r="AM138" s="0" t="n">
        <f aca="false">W138-AE138</f>
        <v>0</v>
      </c>
      <c r="AN138" s="0" t="n">
        <f aca="false">X138-AF138</f>
        <v>0</v>
      </c>
      <c r="AO138" s="0" t="n">
        <f aca="false">Y138-AG138</f>
        <v>0</v>
      </c>
      <c r="AP138" s="0" t="n">
        <f aca="false">MAX(0,'Debt Payoff'!$D$17-SUM(Z138:AG138))</f>
        <v>805</v>
      </c>
      <c r="AQ138" s="0" t="n">
        <f aca="false">MIN(AH138,MAX(0,$AP138-SUMPRODUCT(($AH$1:$AO$1&lt;AH$1)*$AH138:$AO138)))</f>
        <v>0</v>
      </c>
      <c r="AR138" s="0" t="n">
        <f aca="false">MIN(AI138,MAX(0,$AP138-SUMPRODUCT(($AH$1:$AO$1&lt;AI$1)*$AH138:$AO138)))</f>
        <v>0</v>
      </c>
      <c r="AS138" s="0" t="n">
        <f aca="false">MIN(AJ138,MAX(0,$AP138-SUMPRODUCT(($AH$1:$AO$1&lt;AJ$1)*$AH138:$AO138)))</f>
        <v>0</v>
      </c>
      <c r="AT138" s="0" t="n">
        <f aca="false">MIN(AK138,MAX(0,$AP138-SUMPRODUCT(($AH$1:$AO$1&lt;AK$1)*$AH138:$AO138)))</f>
        <v>0</v>
      </c>
      <c r="AU138" s="0" t="n">
        <f aca="false">MIN(AL138,MAX(0,$AP138-SUMPRODUCT(($AH$1:$AO$1&lt;AL$1)*$AH138:$AO138)))</f>
        <v>0</v>
      </c>
      <c r="AV138" s="0" t="n">
        <f aca="false">MIN(AM138,MAX(0,$AP138-SUMPRODUCT(($AH$1:$AO$1&lt;AM$1)*$AH138:$AO138)))</f>
        <v>0</v>
      </c>
      <c r="AW138" s="0" t="n">
        <f aca="false">MIN(AN138,MAX(0,$AP138-SUMPRODUCT(($AH$1:$AO$1&lt;AN$1)*$AH138:$AO138)))</f>
        <v>0</v>
      </c>
      <c r="AX138" s="0" t="n">
        <f aca="false">MIN(AO138,MAX(0,$AP138-SUMPRODUCT(($AH$1:$AO$1&lt;AO$1)*$AH138:$AO138)))</f>
        <v>0</v>
      </c>
      <c r="AY138" s="0" t="n">
        <f aca="false">ROUND(AH138-AQ138,2)</f>
        <v>0</v>
      </c>
      <c r="AZ138" s="0" t="n">
        <f aca="false">ROUND(AI138-AR138,2)</f>
        <v>0</v>
      </c>
      <c r="BA138" s="0" t="n">
        <f aca="false">ROUND(AJ138-AS138,2)</f>
        <v>0</v>
      </c>
      <c r="BB138" s="0" t="n">
        <f aca="false">ROUND(AK138-AT138,2)</f>
        <v>0</v>
      </c>
      <c r="BC138" s="0" t="n">
        <f aca="false">ROUND(AL138-AU138,2)</f>
        <v>0</v>
      </c>
      <c r="BD138" s="0" t="n">
        <f aca="false">ROUND(AM138-AV138,2)</f>
        <v>0</v>
      </c>
      <c r="BE138" s="0" t="n">
        <f aca="false">ROUND(AN138-AW138,2)</f>
        <v>0</v>
      </c>
      <c r="BF138" s="0" t="n">
        <f aca="false">ROUND(AO138-AX138,2)</f>
        <v>0</v>
      </c>
      <c r="BG138" s="0" t="n">
        <f aca="false">SUM(AY138:BF138)</f>
        <v>0</v>
      </c>
    </row>
    <row r="139" customFormat="false" ht="15" hidden="false" customHeight="false" outlineLevel="0" collapsed="false">
      <c r="A139" s="0" t="n">
        <v>137</v>
      </c>
      <c r="B139" s="0" t="n">
        <f aca="false">AY138</f>
        <v>0</v>
      </c>
      <c r="C139" s="0" t="n">
        <f aca="false">AZ138</f>
        <v>0</v>
      </c>
      <c r="D139" s="0" t="n">
        <f aca="false">BA138</f>
        <v>0</v>
      </c>
      <c r="E139" s="0" t="n">
        <f aca="false">BB138</f>
        <v>0</v>
      </c>
      <c r="F139" s="0" t="n">
        <f aca="false">BC138</f>
        <v>0</v>
      </c>
      <c r="G139" s="0" t="n">
        <f aca="false">BD138</f>
        <v>0</v>
      </c>
      <c r="H139" s="0" t="n">
        <f aca="false">BE138</f>
        <v>0</v>
      </c>
      <c r="I139" s="0" t="n">
        <f aca="false">BF138</f>
        <v>0</v>
      </c>
      <c r="J139" s="0" t="n">
        <f aca="false">B139*N('Debt Payoff'!D9)/12</f>
        <v>0</v>
      </c>
      <c r="K139" s="0" t="n">
        <f aca="false">C139*N('Debt Payoff'!D10)/12</f>
        <v>0</v>
      </c>
      <c r="L139" s="0" t="n">
        <f aca="false">D139*N('Debt Payoff'!D11)/12</f>
        <v>0</v>
      </c>
      <c r="M139" s="0" t="n">
        <f aca="false">E139*N('Debt Payoff'!D12)/12</f>
        <v>0</v>
      </c>
      <c r="N139" s="0" t="n">
        <f aca="false">F139*N('Debt Payoff'!D13)/12</f>
        <v>0</v>
      </c>
      <c r="O139" s="0" t="n">
        <f aca="false">G139*N('Debt Payoff'!D14)/12</f>
        <v>0</v>
      </c>
      <c r="P139" s="0" t="n">
        <f aca="false">H139*N('Debt Payoff'!D15)/12</f>
        <v>0</v>
      </c>
      <c r="Q139" s="0" t="n">
        <f aca="false">I139*N('Debt Payoff'!D16)/12</f>
        <v>0</v>
      </c>
      <c r="R139" s="0" t="n">
        <f aca="false">B139+J139</f>
        <v>0</v>
      </c>
      <c r="S139" s="0" t="n">
        <f aca="false">C139+K139</f>
        <v>0</v>
      </c>
      <c r="T139" s="0" t="n">
        <f aca="false">D139+L139</f>
        <v>0</v>
      </c>
      <c r="U139" s="0" t="n">
        <f aca="false">E139+M139</f>
        <v>0</v>
      </c>
      <c r="V139" s="0" t="n">
        <f aca="false">F139+N139</f>
        <v>0</v>
      </c>
      <c r="W139" s="0" t="n">
        <f aca="false">G139+O139</f>
        <v>0</v>
      </c>
      <c r="X139" s="0" t="n">
        <f aca="false">H139+P139</f>
        <v>0</v>
      </c>
      <c r="Y139" s="0" t="n">
        <f aca="false">I139+Q139</f>
        <v>0</v>
      </c>
      <c r="Z139" s="0" t="n">
        <f aca="false">MIN(R139,N('Debt Payoff'!E9))</f>
        <v>0</v>
      </c>
      <c r="AA139" s="0" t="n">
        <f aca="false">MIN(S139,N('Debt Payoff'!E10))</f>
        <v>0</v>
      </c>
      <c r="AB139" s="0" t="n">
        <f aca="false">MIN(T139,N('Debt Payoff'!E11))</f>
        <v>0</v>
      </c>
      <c r="AC139" s="0" t="n">
        <f aca="false">MIN(U139,N('Debt Payoff'!E12))</f>
        <v>0</v>
      </c>
      <c r="AD139" s="0" t="n">
        <f aca="false">MIN(V139,N('Debt Payoff'!E13))</f>
        <v>0</v>
      </c>
      <c r="AE139" s="0" t="n">
        <f aca="false">MIN(W139,N('Debt Payoff'!E14))</f>
        <v>0</v>
      </c>
      <c r="AF139" s="0" t="n">
        <f aca="false">MIN(X139,N('Debt Payoff'!E15))</f>
        <v>0</v>
      </c>
      <c r="AG139" s="0" t="n">
        <f aca="false">MIN(Y139,N('Debt Payoff'!E16))</f>
        <v>0</v>
      </c>
      <c r="AH139" s="0" t="n">
        <f aca="false">R139-Z139</f>
        <v>0</v>
      </c>
      <c r="AI139" s="0" t="n">
        <f aca="false">S139-AA139</f>
        <v>0</v>
      </c>
      <c r="AJ139" s="0" t="n">
        <f aca="false">T139-AB139</f>
        <v>0</v>
      </c>
      <c r="AK139" s="0" t="n">
        <f aca="false">U139-AC139</f>
        <v>0</v>
      </c>
      <c r="AL139" s="0" t="n">
        <f aca="false">V139-AD139</f>
        <v>0</v>
      </c>
      <c r="AM139" s="0" t="n">
        <f aca="false">W139-AE139</f>
        <v>0</v>
      </c>
      <c r="AN139" s="0" t="n">
        <f aca="false">X139-AF139</f>
        <v>0</v>
      </c>
      <c r="AO139" s="0" t="n">
        <f aca="false">Y139-AG139</f>
        <v>0</v>
      </c>
      <c r="AP139" s="0" t="n">
        <f aca="false">MAX(0,'Debt Payoff'!$D$17-SUM(Z139:AG139))</f>
        <v>805</v>
      </c>
      <c r="AQ139" s="0" t="n">
        <f aca="false">MIN(AH139,MAX(0,$AP139-SUMPRODUCT(($AH$1:$AO$1&lt;AH$1)*$AH139:$AO139)))</f>
        <v>0</v>
      </c>
      <c r="AR139" s="0" t="n">
        <f aca="false">MIN(AI139,MAX(0,$AP139-SUMPRODUCT(($AH$1:$AO$1&lt;AI$1)*$AH139:$AO139)))</f>
        <v>0</v>
      </c>
      <c r="AS139" s="0" t="n">
        <f aca="false">MIN(AJ139,MAX(0,$AP139-SUMPRODUCT(($AH$1:$AO$1&lt;AJ$1)*$AH139:$AO139)))</f>
        <v>0</v>
      </c>
      <c r="AT139" s="0" t="n">
        <f aca="false">MIN(AK139,MAX(0,$AP139-SUMPRODUCT(($AH$1:$AO$1&lt;AK$1)*$AH139:$AO139)))</f>
        <v>0</v>
      </c>
      <c r="AU139" s="0" t="n">
        <f aca="false">MIN(AL139,MAX(0,$AP139-SUMPRODUCT(($AH$1:$AO$1&lt;AL$1)*$AH139:$AO139)))</f>
        <v>0</v>
      </c>
      <c r="AV139" s="0" t="n">
        <f aca="false">MIN(AM139,MAX(0,$AP139-SUMPRODUCT(($AH$1:$AO$1&lt;AM$1)*$AH139:$AO139)))</f>
        <v>0</v>
      </c>
      <c r="AW139" s="0" t="n">
        <f aca="false">MIN(AN139,MAX(0,$AP139-SUMPRODUCT(($AH$1:$AO$1&lt;AN$1)*$AH139:$AO139)))</f>
        <v>0</v>
      </c>
      <c r="AX139" s="0" t="n">
        <f aca="false">MIN(AO139,MAX(0,$AP139-SUMPRODUCT(($AH$1:$AO$1&lt;AO$1)*$AH139:$AO139)))</f>
        <v>0</v>
      </c>
      <c r="AY139" s="0" t="n">
        <f aca="false">ROUND(AH139-AQ139,2)</f>
        <v>0</v>
      </c>
      <c r="AZ139" s="0" t="n">
        <f aca="false">ROUND(AI139-AR139,2)</f>
        <v>0</v>
      </c>
      <c r="BA139" s="0" t="n">
        <f aca="false">ROUND(AJ139-AS139,2)</f>
        <v>0</v>
      </c>
      <c r="BB139" s="0" t="n">
        <f aca="false">ROUND(AK139-AT139,2)</f>
        <v>0</v>
      </c>
      <c r="BC139" s="0" t="n">
        <f aca="false">ROUND(AL139-AU139,2)</f>
        <v>0</v>
      </c>
      <c r="BD139" s="0" t="n">
        <f aca="false">ROUND(AM139-AV139,2)</f>
        <v>0</v>
      </c>
      <c r="BE139" s="0" t="n">
        <f aca="false">ROUND(AN139-AW139,2)</f>
        <v>0</v>
      </c>
      <c r="BF139" s="0" t="n">
        <f aca="false">ROUND(AO139-AX139,2)</f>
        <v>0</v>
      </c>
      <c r="BG139" s="0" t="n">
        <f aca="false">SUM(AY139:BF139)</f>
        <v>0</v>
      </c>
    </row>
    <row r="140" customFormat="false" ht="15" hidden="false" customHeight="false" outlineLevel="0" collapsed="false">
      <c r="A140" s="0" t="n">
        <v>138</v>
      </c>
      <c r="B140" s="0" t="n">
        <f aca="false">AY139</f>
        <v>0</v>
      </c>
      <c r="C140" s="0" t="n">
        <f aca="false">AZ139</f>
        <v>0</v>
      </c>
      <c r="D140" s="0" t="n">
        <f aca="false">BA139</f>
        <v>0</v>
      </c>
      <c r="E140" s="0" t="n">
        <f aca="false">BB139</f>
        <v>0</v>
      </c>
      <c r="F140" s="0" t="n">
        <f aca="false">BC139</f>
        <v>0</v>
      </c>
      <c r="G140" s="0" t="n">
        <f aca="false">BD139</f>
        <v>0</v>
      </c>
      <c r="H140" s="0" t="n">
        <f aca="false">BE139</f>
        <v>0</v>
      </c>
      <c r="I140" s="0" t="n">
        <f aca="false">BF139</f>
        <v>0</v>
      </c>
      <c r="J140" s="0" t="n">
        <f aca="false">B140*N('Debt Payoff'!D9)/12</f>
        <v>0</v>
      </c>
      <c r="K140" s="0" t="n">
        <f aca="false">C140*N('Debt Payoff'!D10)/12</f>
        <v>0</v>
      </c>
      <c r="L140" s="0" t="n">
        <f aca="false">D140*N('Debt Payoff'!D11)/12</f>
        <v>0</v>
      </c>
      <c r="M140" s="0" t="n">
        <f aca="false">E140*N('Debt Payoff'!D12)/12</f>
        <v>0</v>
      </c>
      <c r="N140" s="0" t="n">
        <f aca="false">F140*N('Debt Payoff'!D13)/12</f>
        <v>0</v>
      </c>
      <c r="O140" s="0" t="n">
        <f aca="false">G140*N('Debt Payoff'!D14)/12</f>
        <v>0</v>
      </c>
      <c r="P140" s="0" t="n">
        <f aca="false">H140*N('Debt Payoff'!D15)/12</f>
        <v>0</v>
      </c>
      <c r="Q140" s="0" t="n">
        <f aca="false">I140*N('Debt Payoff'!D16)/12</f>
        <v>0</v>
      </c>
      <c r="R140" s="0" t="n">
        <f aca="false">B140+J140</f>
        <v>0</v>
      </c>
      <c r="S140" s="0" t="n">
        <f aca="false">C140+K140</f>
        <v>0</v>
      </c>
      <c r="T140" s="0" t="n">
        <f aca="false">D140+L140</f>
        <v>0</v>
      </c>
      <c r="U140" s="0" t="n">
        <f aca="false">E140+M140</f>
        <v>0</v>
      </c>
      <c r="V140" s="0" t="n">
        <f aca="false">F140+N140</f>
        <v>0</v>
      </c>
      <c r="W140" s="0" t="n">
        <f aca="false">G140+O140</f>
        <v>0</v>
      </c>
      <c r="X140" s="0" t="n">
        <f aca="false">H140+P140</f>
        <v>0</v>
      </c>
      <c r="Y140" s="0" t="n">
        <f aca="false">I140+Q140</f>
        <v>0</v>
      </c>
      <c r="Z140" s="0" t="n">
        <f aca="false">MIN(R140,N('Debt Payoff'!E9))</f>
        <v>0</v>
      </c>
      <c r="AA140" s="0" t="n">
        <f aca="false">MIN(S140,N('Debt Payoff'!E10))</f>
        <v>0</v>
      </c>
      <c r="AB140" s="0" t="n">
        <f aca="false">MIN(T140,N('Debt Payoff'!E11))</f>
        <v>0</v>
      </c>
      <c r="AC140" s="0" t="n">
        <f aca="false">MIN(U140,N('Debt Payoff'!E12))</f>
        <v>0</v>
      </c>
      <c r="AD140" s="0" t="n">
        <f aca="false">MIN(V140,N('Debt Payoff'!E13))</f>
        <v>0</v>
      </c>
      <c r="AE140" s="0" t="n">
        <f aca="false">MIN(W140,N('Debt Payoff'!E14))</f>
        <v>0</v>
      </c>
      <c r="AF140" s="0" t="n">
        <f aca="false">MIN(X140,N('Debt Payoff'!E15))</f>
        <v>0</v>
      </c>
      <c r="AG140" s="0" t="n">
        <f aca="false">MIN(Y140,N('Debt Payoff'!E16))</f>
        <v>0</v>
      </c>
      <c r="AH140" s="0" t="n">
        <f aca="false">R140-Z140</f>
        <v>0</v>
      </c>
      <c r="AI140" s="0" t="n">
        <f aca="false">S140-AA140</f>
        <v>0</v>
      </c>
      <c r="AJ140" s="0" t="n">
        <f aca="false">T140-AB140</f>
        <v>0</v>
      </c>
      <c r="AK140" s="0" t="n">
        <f aca="false">U140-AC140</f>
        <v>0</v>
      </c>
      <c r="AL140" s="0" t="n">
        <f aca="false">V140-AD140</f>
        <v>0</v>
      </c>
      <c r="AM140" s="0" t="n">
        <f aca="false">W140-AE140</f>
        <v>0</v>
      </c>
      <c r="AN140" s="0" t="n">
        <f aca="false">X140-AF140</f>
        <v>0</v>
      </c>
      <c r="AO140" s="0" t="n">
        <f aca="false">Y140-AG140</f>
        <v>0</v>
      </c>
      <c r="AP140" s="0" t="n">
        <f aca="false">MAX(0,'Debt Payoff'!$D$17-SUM(Z140:AG140))</f>
        <v>805</v>
      </c>
      <c r="AQ140" s="0" t="n">
        <f aca="false">MIN(AH140,MAX(0,$AP140-SUMPRODUCT(($AH$1:$AO$1&lt;AH$1)*$AH140:$AO140)))</f>
        <v>0</v>
      </c>
      <c r="AR140" s="0" t="n">
        <f aca="false">MIN(AI140,MAX(0,$AP140-SUMPRODUCT(($AH$1:$AO$1&lt;AI$1)*$AH140:$AO140)))</f>
        <v>0</v>
      </c>
      <c r="AS140" s="0" t="n">
        <f aca="false">MIN(AJ140,MAX(0,$AP140-SUMPRODUCT(($AH$1:$AO$1&lt;AJ$1)*$AH140:$AO140)))</f>
        <v>0</v>
      </c>
      <c r="AT140" s="0" t="n">
        <f aca="false">MIN(AK140,MAX(0,$AP140-SUMPRODUCT(($AH$1:$AO$1&lt;AK$1)*$AH140:$AO140)))</f>
        <v>0</v>
      </c>
      <c r="AU140" s="0" t="n">
        <f aca="false">MIN(AL140,MAX(0,$AP140-SUMPRODUCT(($AH$1:$AO$1&lt;AL$1)*$AH140:$AO140)))</f>
        <v>0</v>
      </c>
      <c r="AV140" s="0" t="n">
        <f aca="false">MIN(AM140,MAX(0,$AP140-SUMPRODUCT(($AH$1:$AO$1&lt;AM$1)*$AH140:$AO140)))</f>
        <v>0</v>
      </c>
      <c r="AW140" s="0" t="n">
        <f aca="false">MIN(AN140,MAX(0,$AP140-SUMPRODUCT(($AH$1:$AO$1&lt;AN$1)*$AH140:$AO140)))</f>
        <v>0</v>
      </c>
      <c r="AX140" s="0" t="n">
        <f aca="false">MIN(AO140,MAX(0,$AP140-SUMPRODUCT(($AH$1:$AO$1&lt;AO$1)*$AH140:$AO140)))</f>
        <v>0</v>
      </c>
      <c r="AY140" s="0" t="n">
        <f aca="false">ROUND(AH140-AQ140,2)</f>
        <v>0</v>
      </c>
      <c r="AZ140" s="0" t="n">
        <f aca="false">ROUND(AI140-AR140,2)</f>
        <v>0</v>
      </c>
      <c r="BA140" s="0" t="n">
        <f aca="false">ROUND(AJ140-AS140,2)</f>
        <v>0</v>
      </c>
      <c r="BB140" s="0" t="n">
        <f aca="false">ROUND(AK140-AT140,2)</f>
        <v>0</v>
      </c>
      <c r="BC140" s="0" t="n">
        <f aca="false">ROUND(AL140-AU140,2)</f>
        <v>0</v>
      </c>
      <c r="BD140" s="0" t="n">
        <f aca="false">ROUND(AM140-AV140,2)</f>
        <v>0</v>
      </c>
      <c r="BE140" s="0" t="n">
        <f aca="false">ROUND(AN140-AW140,2)</f>
        <v>0</v>
      </c>
      <c r="BF140" s="0" t="n">
        <f aca="false">ROUND(AO140-AX140,2)</f>
        <v>0</v>
      </c>
      <c r="BG140" s="0" t="n">
        <f aca="false">SUM(AY140:BF140)</f>
        <v>0</v>
      </c>
    </row>
    <row r="141" customFormat="false" ht="15" hidden="false" customHeight="false" outlineLevel="0" collapsed="false">
      <c r="A141" s="0" t="n">
        <v>139</v>
      </c>
      <c r="B141" s="0" t="n">
        <f aca="false">AY140</f>
        <v>0</v>
      </c>
      <c r="C141" s="0" t="n">
        <f aca="false">AZ140</f>
        <v>0</v>
      </c>
      <c r="D141" s="0" t="n">
        <f aca="false">BA140</f>
        <v>0</v>
      </c>
      <c r="E141" s="0" t="n">
        <f aca="false">BB140</f>
        <v>0</v>
      </c>
      <c r="F141" s="0" t="n">
        <f aca="false">BC140</f>
        <v>0</v>
      </c>
      <c r="G141" s="0" t="n">
        <f aca="false">BD140</f>
        <v>0</v>
      </c>
      <c r="H141" s="0" t="n">
        <f aca="false">BE140</f>
        <v>0</v>
      </c>
      <c r="I141" s="0" t="n">
        <f aca="false">BF140</f>
        <v>0</v>
      </c>
      <c r="J141" s="0" t="n">
        <f aca="false">B141*N('Debt Payoff'!D9)/12</f>
        <v>0</v>
      </c>
      <c r="K141" s="0" t="n">
        <f aca="false">C141*N('Debt Payoff'!D10)/12</f>
        <v>0</v>
      </c>
      <c r="L141" s="0" t="n">
        <f aca="false">D141*N('Debt Payoff'!D11)/12</f>
        <v>0</v>
      </c>
      <c r="M141" s="0" t="n">
        <f aca="false">E141*N('Debt Payoff'!D12)/12</f>
        <v>0</v>
      </c>
      <c r="N141" s="0" t="n">
        <f aca="false">F141*N('Debt Payoff'!D13)/12</f>
        <v>0</v>
      </c>
      <c r="O141" s="0" t="n">
        <f aca="false">G141*N('Debt Payoff'!D14)/12</f>
        <v>0</v>
      </c>
      <c r="P141" s="0" t="n">
        <f aca="false">H141*N('Debt Payoff'!D15)/12</f>
        <v>0</v>
      </c>
      <c r="Q141" s="0" t="n">
        <f aca="false">I141*N('Debt Payoff'!D16)/12</f>
        <v>0</v>
      </c>
      <c r="R141" s="0" t="n">
        <f aca="false">B141+J141</f>
        <v>0</v>
      </c>
      <c r="S141" s="0" t="n">
        <f aca="false">C141+K141</f>
        <v>0</v>
      </c>
      <c r="T141" s="0" t="n">
        <f aca="false">D141+L141</f>
        <v>0</v>
      </c>
      <c r="U141" s="0" t="n">
        <f aca="false">E141+M141</f>
        <v>0</v>
      </c>
      <c r="V141" s="0" t="n">
        <f aca="false">F141+N141</f>
        <v>0</v>
      </c>
      <c r="W141" s="0" t="n">
        <f aca="false">G141+O141</f>
        <v>0</v>
      </c>
      <c r="X141" s="0" t="n">
        <f aca="false">H141+P141</f>
        <v>0</v>
      </c>
      <c r="Y141" s="0" t="n">
        <f aca="false">I141+Q141</f>
        <v>0</v>
      </c>
      <c r="Z141" s="0" t="n">
        <f aca="false">MIN(R141,N('Debt Payoff'!E9))</f>
        <v>0</v>
      </c>
      <c r="AA141" s="0" t="n">
        <f aca="false">MIN(S141,N('Debt Payoff'!E10))</f>
        <v>0</v>
      </c>
      <c r="AB141" s="0" t="n">
        <f aca="false">MIN(T141,N('Debt Payoff'!E11))</f>
        <v>0</v>
      </c>
      <c r="AC141" s="0" t="n">
        <f aca="false">MIN(U141,N('Debt Payoff'!E12))</f>
        <v>0</v>
      </c>
      <c r="AD141" s="0" t="n">
        <f aca="false">MIN(V141,N('Debt Payoff'!E13))</f>
        <v>0</v>
      </c>
      <c r="AE141" s="0" t="n">
        <f aca="false">MIN(W141,N('Debt Payoff'!E14))</f>
        <v>0</v>
      </c>
      <c r="AF141" s="0" t="n">
        <f aca="false">MIN(X141,N('Debt Payoff'!E15))</f>
        <v>0</v>
      </c>
      <c r="AG141" s="0" t="n">
        <f aca="false">MIN(Y141,N('Debt Payoff'!E16))</f>
        <v>0</v>
      </c>
      <c r="AH141" s="0" t="n">
        <f aca="false">R141-Z141</f>
        <v>0</v>
      </c>
      <c r="AI141" s="0" t="n">
        <f aca="false">S141-AA141</f>
        <v>0</v>
      </c>
      <c r="AJ141" s="0" t="n">
        <f aca="false">T141-AB141</f>
        <v>0</v>
      </c>
      <c r="AK141" s="0" t="n">
        <f aca="false">U141-AC141</f>
        <v>0</v>
      </c>
      <c r="AL141" s="0" t="n">
        <f aca="false">V141-AD141</f>
        <v>0</v>
      </c>
      <c r="AM141" s="0" t="n">
        <f aca="false">W141-AE141</f>
        <v>0</v>
      </c>
      <c r="AN141" s="0" t="n">
        <f aca="false">X141-AF141</f>
        <v>0</v>
      </c>
      <c r="AO141" s="0" t="n">
        <f aca="false">Y141-AG141</f>
        <v>0</v>
      </c>
      <c r="AP141" s="0" t="n">
        <f aca="false">MAX(0,'Debt Payoff'!$D$17-SUM(Z141:AG141))</f>
        <v>805</v>
      </c>
      <c r="AQ141" s="0" t="n">
        <f aca="false">MIN(AH141,MAX(0,$AP141-SUMPRODUCT(($AH$1:$AO$1&lt;AH$1)*$AH141:$AO141)))</f>
        <v>0</v>
      </c>
      <c r="AR141" s="0" t="n">
        <f aca="false">MIN(AI141,MAX(0,$AP141-SUMPRODUCT(($AH$1:$AO$1&lt;AI$1)*$AH141:$AO141)))</f>
        <v>0</v>
      </c>
      <c r="AS141" s="0" t="n">
        <f aca="false">MIN(AJ141,MAX(0,$AP141-SUMPRODUCT(($AH$1:$AO$1&lt;AJ$1)*$AH141:$AO141)))</f>
        <v>0</v>
      </c>
      <c r="AT141" s="0" t="n">
        <f aca="false">MIN(AK141,MAX(0,$AP141-SUMPRODUCT(($AH$1:$AO$1&lt;AK$1)*$AH141:$AO141)))</f>
        <v>0</v>
      </c>
      <c r="AU141" s="0" t="n">
        <f aca="false">MIN(AL141,MAX(0,$AP141-SUMPRODUCT(($AH$1:$AO$1&lt;AL$1)*$AH141:$AO141)))</f>
        <v>0</v>
      </c>
      <c r="AV141" s="0" t="n">
        <f aca="false">MIN(AM141,MAX(0,$AP141-SUMPRODUCT(($AH$1:$AO$1&lt;AM$1)*$AH141:$AO141)))</f>
        <v>0</v>
      </c>
      <c r="AW141" s="0" t="n">
        <f aca="false">MIN(AN141,MAX(0,$AP141-SUMPRODUCT(($AH$1:$AO$1&lt;AN$1)*$AH141:$AO141)))</f>
        <v>0</v>
      </c>
      <c r="AX141" s="0" t="n">
        <f aca="false">MIN(AO141,MAX(0,$AP141-SUMPRODUCT(($AH$1:$AO$1&lt;AO$1)*$AH141:$AO141)))</f>
        <v>0</v>
      </c>
      <c r="AY141" s="0" t="n">
        <f aca="false">ROUND(AH141-AQ141,2)</f>
        <v>0</v>
      </c>
      <c r="AZ141" s="0" t="n">
        <f aca="false">ROUND(AI141-AR141,2)</f>
        <v>0</v>
      </c>
      <c r="BA141" s="0" t="n">
        <f aca="false">ROUND(AJ141-AS141,2)</f>
        <v>0</v>
      </c>
      <c r="BB141" s="0" t="n">
        <f aca="false">ROUND(AK141-AT141,2)</f>
        <v>0</v>
      </c>
      <c r="BC141" s="0" t="n">
        <f aca="false">ROUND(AL141-AU141,2)</f>
        <v>0</v>
      </c>
      <c r="BD141" s="0" t="n">
        <f aca="false">ROUND(AM141-AV141,2)</f>
        <v>0</v>
      </c>
      <c r="BE141" s="0" t="n">
        <f aca="false">ROUND(AN141-AW141,2)</f>
        <v>0</v>
      </c>
      <c r="BF141" s="0" t="n">
        <f aca="false">ROUND(AO141-AX141,2)</f>
        <v>0</v>
      </c>
      <c r="BG141" s="0" t="n">
        <f aca="false">SUM(AY141:BF141)</f>
        <v>0</v>
      </c>
    </row>
    <row r="142" customFormat="false" ht="15" hidden="false" customHeight="false" outlineLevel="0" collapsed="false">
      <c r="A142" s="0" t="n">
        <v>140</v>
      </c>
      <c r="B142" s="0" t="n">
        <f aca="false">AY141</f>
        <v>0</v>
      </c>
      <c r="C142" s="0" t="n">
        <f aca="false">AZ141</f>
        <v>0</v>
      </c>
      <c r="D142" s="0" t="n">
        <f aca="false">BA141</f>
        <v>0</v>
      </c>
      <c r="E142" s="0" t="n">
        <f aca="false">BB141</f>
        <v>0</v>
      </c>
      <c r="F142" s="0" t="n">
        <f aca="false">BC141</f>
        <v>0</v>
      </c>
      <c r="G142" s="0" t="n">
        <f aca="false">BD141</f>
        <v>0</v>
      </c>
      <c r="H142" s="0" t="n">
        <f aca="false">BE141</f>
        <v>0</v>
      </c>
      <c r="I142" s="0" t="n">
        <f aca="false">BF141</f>
        <v>0</v>
      </c>
      <c r="J142" s="0" t="n">
        <f aca="false">B142*N('Debt Payoff'!D9)/12</f>
        <v>0</v>
      </c>
      <c r="K142" s="0" t="n">
        <f aca="false">C142*N('Debt Payoff'!D10)/12</f>
        <v>0</v>
      </c>
      <c r="L142" s="0" t="n">
        <f aca="false">D142*N('Debt Payoff'!D11)/12</f>
        <v>0</v>
      </c>
      <c r="M142" s="0" t="n">
        <f aca="false">E142*N('Debt Payoff'!D12)/12</f>
        <v>0</v>
      </c>
      <c r="N142" s="0" t="n">
        <f aca="false">F142*N('Debt Payoff'!D13)/12</f>
        <v>0</v>
      </c>
      <c r="O142" s="0" t="n">
        <f aca="false">G142*N('Debt Payoff'!D14)/12</f>
        <v>0</v>
      </c>
      <c r="P142" s="0" t="n">
        <f aca="false">H142*N('Debt Payoff'!D15)/12</f>
        <v>0</v>
      </c>
      <c r="Q142" s="0" t="n">
        <f aca="false">I142*N('Debt Payoff'!D16)/12</f>
        <v>0</v>
      </c>
      <c r="R142" s="0" t="n">
        <f aca="false">B142+J142</f>
        <v>0</v>
      </c>
      <c r="S142" s="0" t="n">
        <f aca="false">C142+K142</f>
        <v>0</v>
      </c>
      <c r="T142" s="0" t="n">
        <f aca="false">D142+L142</f>
        <v>0</v>
      </c>
      <c r="U142" s="0" t="n">
        <f aca="false">E142+M142</f>
        <v>0</v>
      </c>
      <c r="V142" s="0" t="n">
        <f aca="false">F142+N142</f>
        <v>0</v>
      </c>
      <c r="W142" s="0" t="n">
        <f aca="false">G142+O142</f>
        <v>0</v>
      </c>
      <c r="X142" s="0" t="n">
        <f aca="false">H142+P142</f>
        <v>0</v>
      </c>
      <c r="Y142" s="0" t="n">
        <f aca="false">I142+Q142</f>
        <v>0</v>
      </c>
      <c r="Z142" s="0" t="n">
        <f aca="false">MIN(R142,N('Debt Payoff'!E9))</f>
        <v>0</v>
      </c>
      <c r="AA142" s="0" t="n">
        <f aca="false">MIN(S142,N('Debt Payoff'!E10))</f>
        <v>0</v>
      </c>
      <c r="AB142" s="0" t="n">
        <f aca="false">MIN(T142,N('Debt Payoff'!E11))</f>
        <v>0</v>
      </c>
      <c r="AC142" s="0" t="n">
        <f aca="false">MIN(U142,N('Debt Payoff'!E12))</f>
        <v>0</v>
      </c>
      <c r="AD142" s="0" t="n">
        <f aca="false">MIN(V142,N('Debt Payoff'!E13))</f>
        <v>0</v>
      </c>
      <c r="AE142" s="0" t="n">
        <f aca="false">MIN(W142,N('Debt Payoff'!E14))</f>
        <v>0</v>
      </c>
      <c r="AF142" s="0" t="n">
        <f aca="false">MIN(X142,N('Debt Payoff'!E15))</f>
        <v>0</v>
      </c>
      <c r="AG142" s="0" t="n">
        <f aca="false">MIN(Y142,N('Debt Payoff'!E16))</f>
        <v>0</v>
      </c>
      <c r="AH142" s="0" t="n">
        <f aca="false">R142-Z142</f>
        <v>0</v>
      </c>
      <c r="AI142" s="0" t="n">
        <f aca="false">S142-AA142</f>
        <v>0</v>
      </c>
      <c r="AJ142" s="0" t="n">
        <f aca="false">T142-AB142</f>
        <v>0</v>
      </c>
      <c r="AK142" s="0" t="n">
        <f aca="false">U142-AC142</f>
        <v>0</v>
      </c>
      <c r="AL142" s="0" t="n">
        <f aca="false">V142-AD142</f>
        <v>0</v>
      </c>
      <c r="AM142" s="0" t="n">
        <f aca="false">W142-AE142</f>
        <v>0</v>
      </c>
      <c r="AN142" s="0" t="n">
        <f aca="false">X142-AF142</f>
        <v>0</v>
      </c>
      <c r="AO142" s="0" t="n">
        <f aca="false">Y142-AG142</f>
        <v>0</v>
      </c>
      <c r="AP142" s="0" t="n">
        <f aca="false">MAX(0,'Debt Payoff'!$D$17-SUM(Z142:AG142))</f>
        <v>805</v>
      </c>
      <c r="AQ142" s="0" t="n">
        <f aca="false">MIN(AH142,MAX(0,$AP142-SUMPRODUCT(($AH$1:$AO$1&lt;AH$1)*$AH142:$AO142)))</f>
        <v>0</v>
      </c>
      <c r="AR142" s="0" t="n">
        <f aca="false">MIN(AI142,MAX(0,$AP142-SUMPRODUCT(($AH$1:$AO$1&lt;AI$1)*$AH142:$AO142)))</f>
        <v>0</v>
      </c>
      <c r="AS142" s="0" t="n">
        <f aca="false">MIN(AJ142,MAX(0,$AP142-SUMPRODUCT(($AH$1:$AO$1&lt;AJ$1)*$AH142:$AO142)))</f>
        <v>0</v>
      </c>
      <c r="AT142" s="0" t="n">
        <f aca="false">MIN(AK142,MAX(0,$AP142-SUMPRODUCT(($AH$1:$AO$1&lt;AK$1)*$AH142:$AO142)))</f>
        <v>0</v>
      </c>
      <c r="AU142" s="0" t="n">
        <f aca="false">MIN(AL142,MAX(0,$AP142-SUMPRODUCT(($AH$1:$AO$1&lt;AL$1)*$AH142:$AO142)))</f>
        <v>0</v>
      </c>
      <c r="AV142" s="0" t="n">
        <f aca="false">MIN(AM142,MAX(0,$AP142-SUMPRODUCT(($AH$1:$AO$1&lt;AM$1)*$AH142:$AO142)))</f>
        <v>0</v>
      </c>
      <c r="AW142" s="0" t="n">
        <f aca="false">MIN(AN142,MAX(0,$AP142-SUMPRODUCT(($AH$1:$AO$1&lt;AN$1)*$AH142:$AO142)))</f>
        <v>0</v>
      </c>
      <c r="AX142" s="0" t="n">
        <f aca="false">MIN(AO142,MAX(0,$AP142-SUMPRODUCT(($AH$1:$AO$1&lt;AO$1)*$AH142:$AO142)))</f>
        <v>0</v>
      </c>
      <c r="AY142" s="0" t="n">
        <f aca="false">ROUND(AH142-AQ142,2)</f>
        <v>0</v>
      </c>
      <c r="AZ142" s="0" t="n">
        <f aca="false">ROUND(AI142-AR142,2)</f>
        <v>0</v>
      </c>
      <c r="BA142" s="0" t="n">
        <f aca="false">ROUND(AJ142-AS142,2)</f>
        <v>0</v>
      </c>
      <c r="BB142" s="0" t="n">
        <f aca="false">ROUND(AK142-AT142,2)</f>
        <v>0</v>
      </c>
      <c r="BC142" s="0" t="n">
        <f aca="false">ROUND(AL142-AU142,2)</f>
        <v>0</v>
      </c>
      <c r="BD142" s="0" t="n">
        <f aca="false">ROUND(AM142-AV142,2)</f>
        <v>0</v>
      </c>
      <c r="BE142" s="0" t="n">
        <f aca="false">ROUND(AN142-AW142,2)</f>
        <v>0</v>
      </c>
      <c r="BF142" s="0" t="n">
        <f aca="false">ROUND(AO142-AX142,2)</f>
        <v>0</v>
      </c>
      <c r="BG142" s="0" t="n">
        <f aca="false">SUM(AY142:BF142)</f>
        <v>0</v>
      </c>
    </row>
    <row r="143" customFormat="false" ht="15" hidden="false" customHeight="false" outlineLevel="0" collapsed="false">
      <c r="A143" s="0" t="n">
        <v>141</v>
      </c>
      <c r="B143" s="0" t="n">
        <f aca="false">AY142</f>
        <v>0</v>
      </c>
      <c r="C143" s="0" t="n">
        <f aca="false">AZ142</f>
        <v>0</v>
      </c>
      <c r="D143" s="0" t="n">
        <f aca="false">BA142</f>
        <v>0</v>
      </c>
      <c r="E143" s="0" t="n">
        <f aca="false">BB142</f>
        <v>0</v>
      </c>
      <c r="F143" s="0" t="n">
        <f aca="false">BC142</f>
        <v>0</v>
      </c>
      <c r="G143" s="0" t="n">
        <f aca="false">BD142</f>
        <v>0</v>
      </c>
      <c r="H143" s="0" t="n">
        <f aca="false">BE142</f>
        <v>0</v>
      </c>
      <c r="I143" s="0" t="n">
        <f aca="false">BF142</f>
        <v>0</v>
      </c>
      <c r="J143" s="0" t="n">
        <f aca="false">B143*N('Debt Payoff'!D9)/12</f>
        <v>0</v>
      </c>
      <c r="K143" s="0" t="n">
        <f aca="false">C143*N('Debt Payoff'!D10)/12</f>
        <v>0</v>
      </c>
      <c r="L143" s="0" t="n">
        <f aca="false">D143*N('Debt Payoff'!D11)/12</f>
        <v>0</v>
      </c>
      <c r="M143" s="0" t="n">
        <f aca="false">E143*N('Debt Payoff'!D12)/12</f>
        <v>0</v>
      </c>
      <c r="N143" s="0" t="n">
        <f aca="false">F143*N('Debt Payoff'!D13)/12</f>
        <v>0</v>
      </c>
      <c r="O143" s="0" t="n">
        <f aca="false">G143*N('Debt Payoff'!D14)/12</f>
        <v>0</v>
      </c>
      <c r="P143" s="0" t="n">
        <f aca="false">H143*N('Debt Payoff'!D15)/12</f>
        <v>0</v>
      </c>
      <c r="Q143" s="0" t="n">
        <f aca="false">I143*N('Debt Payoff'!D16)/12</f>
        <v>0</v>
      </c>
      <c r="R143" s="0" t="n">
        <f aca="false">B143+J143</f>
        <v>0</v>
      </c>
      <c r="S143" s="0" t="n">
        <f aca="false">C143+K143</f>
        <v>0</v>
      </c>
      <c r="T143" s="0" t="n">
        <f aca="false">D143+L143</f>
        <v>0</v>
      </c>
      <c r="U143" s="0" t="n">
        <f aca="false">E143+M143</f>
        <v>0</v>
      </c>
      <c r="V143" s="0" t="n">
        <f aca="false">F143+N143</f>
        <v>0</v>
      </c>
      <c r="W143" s="0" t="n">
        <f aca="false">G143+O143</f>
        <v>0</v>
      </c>
      <c r="X143" s="0" t="n">
        <f aca="false">H143+P143</f>
        <v>0</v>
      </c>
      <c r="Y143" s="0" t="n">
        <f aca="false">I143+Q143</f>
        <v>0</v>
      </c>
      <c r="Z143" s="0" t="n">
        <f aca="false">MIN(R143,N('Debt Payoff'!E9))</f>
        <v>0</v>
      </c>
      <c r="AA143" s="0" t="n">
        <f aca="false">MIN(S143,N('Debt Payoff'!E10))</f>
        <v>0</v>
      </c>
      <c r="AB143" s="0" t="n">
        <f aca="false">MIN(T143,N('Debt Payoff'!E11))</f>
        <v>0</v>
      </c>
      <c r="AC143" s="0" t="n">
        <f aca="false">MIN(U143,N('Debt Payoff'!E12))</f>
        <v>0</v>
      </c>
      <c r="AD143" s="0" t="n">
        <f aca="false">MIN(V143,N('Debt Payoff'!E13))</f>
        <v>0</v>
      </c>
      <c r="AE143" s="0" t="n">
        <f aca="false">MIN(W143,N('Debt Payoff'!E14))</f>
        <v>0</v>
      </c>
      <c r="AF143" s="0" t="n">
        <f aca="false">MIN(X143,N('Debt Payoff'!E15))</f>
        <v>0</v>
      </c>
      <c r="AG143" s="0" t="n">
        <f aca="false">MIN(Y143,N('Debt Payoff'!E16))</f>
        <v>0</v>
      </c>
      <c r="AH143" s="0" t="n">
        <f aca="false">R143-Z143</f>
        <v>0</v>
      </c>
      <c r="AI143" s="0" t="n">
        <f aca="false">S143-AA143</f>
        <v>0</v>
      </c>
      <c r="AJ143" s="0" t="n">
        <f aca="false">T143-AB143</f>
        <v>0</v>
      </c>
      <c r="AK143" s="0" t="n">
        <f aca="false">U143-AC143</f>
        <v>0</v>
      </c>
      <c r="AL143" s="0" t="n">
        <f aca="false">V143-AD143</f>
        <v>0</v>
      </c>
      <c r="AM143" s="0" t="n">
        <f aca="false">W143-AE143</f>
        <v>0</v>
      </c>
      <c r="AN143" s="0" t="n">
        <f aca="false">X143-AF143</f>
        <v>0</v>
      </c>
      <c r="AO143" s="0" t="n">
        <f aca="false">Y143-AG143</f>
        <v>0</v>
      </c>
      <c r="AP143" s="0" t="n">
        <f aca="false">MAX(0,'Debt Payoff'!$D$17-SUM(Z143:AG143))</f>
        <v>805</v>
      </c>
      <c r="AQ143" s="0" t="n">
        <f aca="false">MIN(AH143,MAX(0,$AP143-SUMPRODUCT(($AH$1:$AO$1&lt;AH$1)*$AH143:$AO143)))</f>
        <v>0</v>
      </c>
      <c r="AR143" s="0" t="n">
        <f aca="false">MIN(AI143,MAX(0,$AP143-SUMPRODUCT(($AH$1:$AO$1&lt;AI$1)*$AH143:$AO143)))</f>
        <v>0</v>
      </c>
      <c r="AS143" s="0" t="n">
        <f aca="false">MIN(AJ143,MAX(0,$AP143-SUMPRODUCT(($AH$1:$AO$1&lt;AJ$1)*$AH143:$AO143)))</f>
        <v>0</v>
      </c>
      <c r="AT143" s="0" t="n">
        <f aca="false">MIN(AK143,MAX(0,$AP143-SUMPRODUCT(($AH$1:$AO$1&lt;AK$1)*$AH143:$AO143)))</f>
        <v>0</v>
      </c>
      <c r="AU143" s="0" t="n">
        <f aca="false">MIN(AL143,MAX(0,$AP143-SUMPRODUCT(($AH$1:$AO$1&lt;AL$1)*$AH143:$AO143)))</f>
        <v>0</v>
      </c>
      <c r="AV143" s="0" t="n">
        <f aca="false">MIN(AM143,MAX(0,$AP143-SUMPRODUCT(($AH$1:$AO$1&lt;AM$1)*$AH143:$AO143)))</f>
        <v>0</v>
      </c>
      <c r="AW143" s="0" t="n">
        <f aca="false">MIN(AN143,MAX(0,$AP143-SUMPRODUCT(($AH$1:$AO$1&lt;AN$1)*$AH143:$AO143)))</f>
        <v>0</v>
      </c>
      <c r="AX143" s="0" t="n">
        <f aca="false">MIN(AO143,MAX(0,$AP143-SUMPRODUCT(($AH$1:$AO$1&lt;AO$1)*$AH143:$AO143)))</f>
        <v>0</v>
      </c>
      <c r="AY143" s="0" t="n">
        <f aca="false">ROUND(AH143-AQ143,2)</f>
        <v>0</v>
      </c>
      <c r="AZ143" s="0" t="n">
        <f aca="false">ROUND(AI143-AR143,2)</f>
        <v>0</v>
      </c>
      <c r="BA143" s="0" t="n">
        <f aca="false">ROUND(AJ143-AS143,2)</f>
        <v>0</v>
      </c>
      <c r="BB143" s="0" t="n">
        <f aca="false">ROUND(AK143-AT143,2)</f>
        <v>0</v>
      </c>
      <c r="BC143" s="0" t="n">
        <f aca="false">ROUND(AL143-AU143,2)</f>
        <v>0</v>
      </c>
      <c r="BD143" s="0" t="n">
        <f aca="false">ROUND(AM143-AV143,2)</f>
        <v>0</v>
      </c>
      <c r="BE143" s="0" t="n">
        <f aca="false">ROUND(AN143-AW143,2)</f>
        <v>0</v>
      </c>
      <c r="BF143" s="0" t="n">
        <f aca="false">ROUND(AO143-AX143,2)</f>
        <v>0</v>
      </c>
      <c r="BG143" s="0" t="n">
        <f aca="false">SUM(AY143:BF143)</f>
        <v>0</v>
      </c>
    </row>
    <row r="144" customFormat="false" ht="15" hidden="false" customHeight="false" outlineLevel="0" collapsed="false">
      <c r="A144" s="0" t="n">
        <v>142</v>
      </c>
      <c r="B144" s="0" t="n">
        <f aca="false">AY143</f>
        <v>0</v>
      </c>
      <c r="C144" s="0" t="n">
        <f aca="false">AZ143</f>
        <v>0</v>
      </c>
      <c r="D144" s="0" t="n">
        <f aca="false">BA143</f>
        <v>0</v>
      </c>
      <c r="E144" s="0" t="n">
        <f aca="false">BB143</f>
        <v>0</v>
      </c>
      <c r="F144" s="0" t="n">
        <f aca="false">BC143</f>
        <v>0</v>
      </c>
      <c r="G144" s="0" t="n">
        <f aca="false">BD143</f>
        <v>0</v>
      </c>
      <c r="H144" s="0" t="n">
        <f aca="false">BE143</f>
        <v>0</v>
      </c>
      <c r="I144" s="0" t="n">
        <f aca="false">BF143</f>
        <v>0</v>
      </c>
      <c r="J144" s="0" t="n">
        <f aca="false">B144*N('Debt Payoff'!D9)/12</f>
        <v>0</v>
      </c>
      <c r="K144" s="0" t="n">
        <f aca="false">C144*N('Debt Payoff'!D10)/12</f>
        <v>0</v>
      </c>
      <c r="L144" s="0" t="n">
        <f aca="false">D144*N('Debt Payoff'!D11)/12</f>
        <v>0</v>
      </c>
      <c r="M144" s="0" t="n">
        <f aca="false">E144*N('Debt Payoff'!D12)/12</f>
        <v>0</v>
      </c>
      <c r="N144" s="0" t="n">
        <f aca="false">F144*N('Debt Payoff'!D13)/12</f>
        <v>0</v>
      </c>
      <c r="O144" s="0" t="n">
        <f aca="false">G144*N('Debt Payoff'!D14)/12</f>
        <v>0</v>
      </c>
      <c r="P144" s="0" t="n">
        <f aca="false">H144*N('Debt Payoff'!D15)/12</f>
        <v>0</v>
      </c>
      <c r="Q144" s="0" t="n">
        <f aca="false">I144*N('Debt Payoff'!D16)/12</f>
        <v>0</v>
      </c>
      <c r="R144" s="0" t="n">
        <f aca="false">B144+J144</f>
        <v>0</v>
      </c>
      <c r="S144" s="0" t="n">
        <f aca="false">C144+K144</f>
        <v>0</v>
      </c>
      <c r="T144" s="0" t="n">
        <f aca="false">D144+L144</f>
        <v>0</v>
      </c>
      <c r="U144" s="0" t="n">
        <f aca="false">E144+M144</f>
        <v>0</v>
      </c>
      <c r="V144" s="0" t="n">
        <f aca="false">F144+N144</f>
        <v>0</v>
      </c>
      <c r="W144" s="0" t="n">
        <f aca="false">G144+O144</f>
        <v>0</v>
      </c>
      <c r="X144" s="0" t="n">
        <f aca="false">H144+P144</f>
        <v>0</v>
      </c>
      <c r="Y144" s="0" t="n">
        <f aca="false">I144+Q144</f>
        <v>0</v>
      </c>
      <c r="Z144" s="0" t="n">
        <f aca="false">MIN(R144,N('Debt Payoff'!E9))</f>
        <v>0</v>
      </c>
      <c r="AA144" s="0" t="n">
        <f aca="false">MIN(S144,N('Debt Payoff'!E10))</f>
        <v>0</v>
      </c>
      <c r="AB144" s="0" t="n">
        <f aca="false">MIN(T144,N('Debt Payoff'!E11))</f>
        <v>0</v>
      </c>
      <c r="AC144" s="0" t="n">
        <f aca="false">MIN(U144,N('Debt Payoff'!E12))</f>
        <v>0</v>
      </c>
      <c r="AD144" s="0" t="n">
        <f aca="false">MIN(V144,N('Debt Payoff'!E13))</f>
        <v>0</v>
      </c>
      <c r="AE144" s="0" t="n">
        <f aca="false">MIN(W144,N('Debt Payoff'!E14))</f>
        <v>0</v>
      </c>
      <c r="AF144" s="0" t="n">
        <f aca="false">MIN(X144,N('Debt Payoff'!E15))</f>
        <v>0</v>
      </c>
      <c r="AG144" s="0" t="n">
        <f aca="false">MIN(Y144,N('Debt Payoff'!E16))</f>
        <v>0</v>
      </c>
      <c r="AH144" s="0" t="n">
        <f aca="false">R144-Z144</f>
        <v>0</v>
      </c>
      <c r="AI144" s="0" t="n">
        <f aca="false">S144-AA144</f>
        <v>0</v>
      </c>
      <c r="AJ144" s="0" t="n">
        <f aca="false">T144-AB144</f>
        <v>0</v>
      </c>
      <c r="AK144" s="0" t="n">
        <f aca="false">U144-AC144</f>
        <v>0</v>
      </c>
      <c r="AL144" s="0" t="n">
        <f aca="false">V144-AD144</f>
        <v>0</v>
      </c>
      <c r="AM144" s="0" t="n">
        <f aca="false">W144-AE144</f>
        <v>0</v>
      </c>
      <c r="AN144" s="0" t="n">
        <f aca="false">X144-AF144</f>
        <v>0</v>
      </c>
      <c r="AO144" s="0" t="n">
        <f aca="false">Y144-AG144</f>
        <v>0</v>
      </c>
      <c r="AP144" s="0" t="n">
        <f aca="false">MAX(0,'Debt Payoff'!$D$17-SUM(Z144:AG144))</f>
        <v>805</v>
      </c>
      <c r="AQ144" s="0" t="n">
        <f aca="false">MIN(AH144,MAX(0,$AP144-SUMPRODUCT(($AH$1:$AO$1&lt;AH$1)*$AH144:$AO144)))</f>
        <v>0</v>
      </c>
      <c r="AR144" s="0" t="n">
        <f aca="false">MIN(AI144,MAX(0,$AP144-SUMPRODUCT(($AH$1:$AO$1&lt;AI$1)*$AH144:$AO144)))</f>
        <v>0</v>
      </c>
      <c r="AS144" s="0" t="n">
        <f aca="false">MIN(AJ144,MAX(0,$AP144-SUMPRODUCT(($AH$1:$AO$1&lt;AJ$1)*$AH144:$AO144)))</f>
        <v>0</v>
      </c>
      <c r="AT144" s="0" t="n">
        <f aca="false">MIN(AK144,MAX(0,$AP144-SUMPRODUCT(($AH$1:$AO$1&lt;AK$1)*$AH144:$AO144)))</f>
        <v>0</v>
      </c>
      <c r="AU144" s="0" t="n">
        <f aca="false">MIN(AL144,MAX(0,$AP144-SUMPRODUCT(($AH$1:$AO$1&lt;AL$1)*$AH144:$AO144)))</f>
        <v>0</v>
      </c>
      <c r="AV144" s="0" t="n">
        <f aca="false">MIN(AM144,MAX(0,$AP144-SUMPRODUCT(($AH$1:$AO$1&lt;AM$1)*$AH144:$AO144)))</f>
        <v>0</v>
      </c>
      <c r="AW144" s="0" t="n">
        <f aca="false">MIN(AN144,MAX(0,$AP144-SUMPRODUCT(($AH$1:$AO$1&lt;AN$1)*$AH144:$AO144)))</f>
        <v>0</v>
      </c>
      <c r="AX144" s="0" t="n">
        <f aca="false">MIN(AO144,MAX(0,$AP144-SUMPRODUCT(($AH$1:$AO$1&lt;AO$1)*$AH144:$AO144)))</f>
        <v>0</v>
      </c>
      <c r="AY144" s="0" t="n">
        <f aca="false">ROUND(AH144-AQ144,2)</f>
        <v>0</v>
      </c>
      <c r="AZ144" s="0" t="n">
        <f aca="false">ROUND(AI144-AR144,2)</f>
        <v>0</v>
      </c>
      <c r="BA144" s="0" t="n">
        <f aca="false">ROUND(AJ144-AS144,2)</f>
        <v>0</v>
      </c>
      <c r="BB144" s="0" t="n">
        <f aca="false">ROUND(AK144-AT144,2)</f>
        <v>0</v>
      </c>
      <c r="BC144" s="0" t="n">
        <f aca="false">ROUND(AL144-AU144,2)</f>
        <v>0</v>
      </c>
      <c r="BD144" s="0" t="n">
        <f aca="false">ROUND(AM144-AV144,2)</f>
        <v>0</v>
      </c>
      <c r="BE144" s="0" t="n">
        <f aca="false">ROUND(AN144-AW144,2)</f>
        <v>0</v>
      </c>
      <c r="BF144" s="0" t="n">
        <f aca="false">ROUND(AO144-AX144,2)</f>
        <v>0</v>
      </c>
      <c r="BG144" s="0" t="n">
        <f aca="false">SUM(AY144:BF144)</f>
        <v>0</v>
      </c>
    </row>
    <row r="145" customFormat="false" ht="15" hidden="false" customHeight="false" outlineLevel="0" collapsed="false">
      <c r="A145" s="0" t="n">
        <v>143</v>
      </c>
      <c r="B145" s="0" t="n">
        <f aca="false">AY144</f>
        <v>0</v>
      </c>
      <c r="C145" s="0" t="n">
        <f aca="false">AZ144</f>
        <v>0</v>
      </c>
      <c r="D145" s="0" t="n">
        <f aca="false">BA144</f>
        <v>0</v>
      </c>
      <c r="E145" s="0" t="n">
        <f aca="false">BB144</f>
        <v>0</v>
      </c>
      <c r="F145" s="0" t="n">
        <f aca="false">BC144</f>
        <v>0</v>
      </c>
      <c r="G145" s="0" t="n">
        <f aca="false">BD144</f>
        <v>0</v>
      </c>
      <c r="H145" s="0" t="n">
        <f aca="false">BE144</f>
        <v>0</v>
      </c>
      <c r="I145" s="0" t="n">
        <f aca="false">BF144</f>
        <v>0</v>
      </c>
      <c r="J145" s="0" t="n">
        <f aca="false">B145*N('Debt Payoff'!D9)/12</f>
        <v>0</v>
      </c>
      <c r="K145" s="0" t="n">
        <f aca="false">C145*N('Debt Payoff'!D10)/12</f>
        <v>0</v>
      </c>
      <c r="L145" s="0" t="n">
        <f aca="false">D145*N('Debt Payoff'!D11)/12</f>
        <v>0</v>
      </c>
      <c r="M145" s="0" t="n">
        <f aca="false">E145*N('Debt Payoff'!D12)/12</f>
        <v>0</v>
      </c>
      <c r="N145" s="0" t="n">
        <f aca="false">F145*N('Debt Payoff'!D13)/12</f>
        <v>0</v>
      </c>
      <c r="O145" s="0" t="n">
        <f aca="false">G145*N('Debt Payoff'!D14)/12</f>
        <v>0</v>
      </c>
      <c r="P145" s="0" t="n">
        <f aca="false">H145*N('Debt Payoff'!D15)/12</f>
        <v>0</v>
      </c>
      <c r="Q145" s="0" t="n">
        <f aca="false">I145*N('Debt Payoff'!D16)/12</f>
        <v>0</v>
      </c>
      <c r="R145" s="0" t="n">
        <f aca="false">B145+J145</f>
        <v>0</v>
      </c>
      <c r="S145" s="0" t="n">
        <f aca="false">C145+K145</f>
        <v>0</v>
      </c>
      <c r="T145" s="0" t="n">
        <f aca="false">D145+L145</f>
        <v>0</v>
      </c>
      <c r="U145" s="0" t="n">
        <f aca="false">E145+M145</f>
        <v>0</v>
      </c>
      <c r="V145" s="0" t="n">
        <f aca="false">F145+N145</f>
        <v>0</v>
      </c>
      <c r="W145" s="0" t="n">
        <f aca="false">G145+O145</f>
        <v>0</v>
      </c>
      <c r="X145" s="0" t="n">
        <f aca="false">H145+P145</f>
        <v>0</v>
      </c>
      <c r="Y145" s="0" t="n">
        <f aca="false">I145+Q145</f>
        <v>0</v>
      </c>
      <c r="Z145" s="0" t="n">
        <f aca="false">MIN(R145,N('Debt Payoff'!E9))</f>
        <v>0</v>
      </c>
      <c r="AA145" s="0" t="n">
        <f aca="false">MIN(S145,N('Debt Payoff'!E10))</f>
        <v>0</v>
      </c>
      <c r="AB145" s="0" t="n">
        <f aca="false">MIN(T145,N('Debt Payoff'!E11))</f>
        <v>0</v>
      </c>
      <c r="AC145" s="0" t="n">
        <f aca="false">MIN(U145,N('Debt Payoff'!E12))</f>
        <v>0</v>
      </c>
      <c r="AD145" s="0" t="n">
        <f aca="false">MIN(V145,N('Debt Payoff'!E13))</f>
        <v>0</v>
      </c>
      <c r="AE145" s="0" t="n">
        <f aca="false">MIN(W145,N('Debt Payoff'!E14))</f>
        <v>0</v>
      </c>
      <c r="AF145" s="0" t="n">
        <f aca="false">MIN(X145,N('Debt Payoff'!E15))</f>
        <v>0</v>
      </c>
      <c r="AG145" s="0" t="n">
        <f aca="false">MIN(Y145,N('Debt Payoff'!E16))</f>
        <v>0</v>
      </c>
      <c r="AH145" s="0" t="n">
        <f aca="false">R145-Z145</f>
        <v>0</v>
      </c>
      <c r="AI145" s="0" t="n">
        <f aca="false">S145-AA145</f>
        <v>0</v>
      </c>
      <c r="AJ145" s="0" t="n">
        <f aca="false">T145-AB145</f>
        <v>0</v>
      </c>
      <c r="AK145" s="0" t="n">
        <f aca="false">U145-AC145</f>
        <v>0</v>
      </c>
      <c r="AL145" s="0" t="n">
        <f aca="false">V145-AD145</f>
        <v>0</v>
      </c>
      <c r="AM145" s="0" t="n">
        <f aca="false">W145-AE145</f>
        <v>0</v>
      </c>
      <c r="AN145" s="0" t="n">
        <f aca="false">X145-AF145</f>
        <v>0</v>
      </c>
      <c r="AO145" s="0" t="n">
        <f aca="false">Y145-AG145</f>
        <v>0</v>
      </c>
      <c r="AP145" s="0" t="n">
        <f aca="false">MAX(0,'Debt Payoff'!$D$17-SUM(Z145:AG145))</f>
        <v>805</v>
      </c>
      <c r="AQ145" s="0" t="n">
        <f aca="false">MIN(AH145,MAX(0,$AP145-SUMPRODUCT(($AH$1:$AO$1&lt;AH$1)*$AH145:$AO145)))</f>
        <v>0</v>
      </c>
      <c r="AR145" s="0" t="n">
        <f aca="false">MIN(AI145,MAX(0,$AP145-SUMPRODUCT(($AH$1:$AO$1&lt;AI$1)*$AH145:$AO145)))</f>
        <v>0</v>
      </c>
      <c r="AS145" s="0" t="n">
        <f aca="false">MIN(AJ145,MAX(0,$AP145-SUMPRODUCT(($AH$1:$AO$1&lt;AJ$1)*$AH145:$AO145)))</f>
        <v>0</v>
      </c>
      <c r="AT145" s="0" t="n">
        <f aca="false">MIN(AK145,MAX(0,$AP145-SUMPRODUCT(($AH$1:$AO$1&lt;AK$1)*$AH145:$AO145)))</f>
        <v>0</v>
      </c>
      <c r="AU145" s="0" t="n">
        <f aca="false">MIN(AL145,MAX(0,$AP145-SUMPRODUCT(($AH$1:$AO$1&lt;AL$1)*$AH145:$AO145)))</f>
        <v>0</v>
      </c>
      <c r="AV145" s="0" t="n">
        <f aca="false">MIN(AM145,MAX(0,$AP145-SUMPRODUCT(($AH$1:$AO$1&lt;AM$1)*$AH145:$AO145)))</f>
        <v>0</v>
      </c>
      <c r="AW145" s="0" t="n">
        <f aca="false">MIN(AN145,MAX(0,$AP145-SUMPRODUCT(($AH$1:$AO$1&lt;AN$1)*$AH145:$AO145)))</f>
        <v>0</v>
      </c>
      <c r="AX145" s="0" t="n">
        <f aca="false">MIN(AO145,MAX(0,$AP145-SUMPRODUCT(($AH$1:$AO$1&lt;AO$1)*$AH145:$AO145)))</f>
        <v>0</v>
      </c>
      <c r="AY145" s="0" t="n">
        <f aca="false">ROUND(AH145-AQ145,2)</f>
        <v>0</v>
      </c>
      <c r="AZ145" s="0" t="n">
        <f aca="false">ROUND(AI145-AR145,2)</f>
        <v>0</v>
      </c>
      <c r="BA145" s="0" t="n">
        <f aca="false">ROUND(AJ145-AS145,2)</f>
        <v>0</v>
      </c>
      <c r="BB145" s="0" t="n">
        <f aca="false">ROUND(AK145-AT145,2)</f>
        <v>0</v>
      </c>
      <c r="BC145" s="0" t="n">
        <f aca="false">ROUND(AL145-AU145,2)</f>
        <v>0</v>
      </c>
      <c r="BD145" s="0" t="n">
        <f aca="false">ROUND(AM145-AV145,2)</f>
        <v>0</v>
      </c>
      <c r="BE145" s="0" t="n">
        <f aca="false">ROUND(AN145-AW145,2)</f>
        <v>0</v>
      </c>
      <c r="BF145" s="0" t="n">
        <f aca="false">ROUND(AO145-AX145,2)</f>
        <v>0</v>
      </c>
      <c r="BG145" s="0" t="n">
        <f aca="false">SUM(AY145:BF145)</f>
        <v>0</v>
      </c>
    </row>
    <row r="146" customFormat="false" ht="15" hidden="false" customHeight="false" outlineLevel="0" collapsed="false">
      <c r="A146" s="0" t="n">
        <v>144</v>
      </c>
      <c r="B146" s="0" t="n">
        <f aca="false">AY145</f>
        <v>0</v>
      </c>
      <c r="C146" s="0" t="n">
        <f aca="false">AZ145</f>
        <v>0</v>
      </c>
      <c r="D146" s="0" t="n">
        <f aca="false">BA145</f>
        <v>0</v>
      </c>
      <c r="E146" s="0" t="n">
        <f aca="false">BB145</f>
        <v>0</v>
      </c>
      <c r="F146" s="0" t="n">
        <f aca="false">BC145</f>
        <v>0</v>
      </c>
      <c r="G146" s="0" t="n">
        <f aca="false">BD145</f>
        <v>0</v>
      </c>
      <c r="H146" s="0" t="n">
        <f aca="false">BE145</f>
        <v>0</v>
      </c>
      <c r="I146" s="0" t="n">
        <f aca="false">BF145</f>
        <v>0</v>
      </c>
      <c r="J146" s="0" t="n">
        <f aca="false">B146*N('Debt Payoff'!D9)/12</f>
        <v>0</v>
      </c>
      <c r="K146" s="0" t="n">
        <f aca="false">C146*N('Debt Payoff'!D10)/12</f>
        <v>0</v>
      </c>
      <c r="L146" s="0" t="n">
        <f aca="false">D146*N('Debt Payoff'!D11)/12</f>
        <v>0</v>
      </c>
      <c r="M146" s="0" t="n">
        <f aca="false">E146*N('Debt Payoff'!D12)/12</f>
        <v>0</v>
      </c>
      <c r="N146" s="0" t="n">
        <f aca="false">F146*N('Debt Payoff'!D13)/12</f>
        <v>0</v>
      </c>
      <c r="O146" s="0" t="n">
        <f aca="false">G146*N('Debt Payoff'!D14)/12</f>
        <v>0</v>
      </c>
      <c r="P146" s="0" t="n">
        <f aca="false">H146*N('Debt Payoff'!D15)/12</f>
        <v>0</v>
      </c>
      <c r="Q146" s="0" t="n">
        <f aca="false">I146*N('Debt Payoff'!D16)/12</f>
        <v>0</v>
      </c>
      <c r="R146" s="0" t="n">
        <f aca="false">B146+J146</f>
        <v>0</v>
      </c>
      <c r="S146" s="0" t="n">
        <f aca="false">C146+K146</f>
        <v>0</v>
      </c>
      <c r="T146" s="0" t="n">
        <f aca="false">D146+L146</f>
        <v>0</v>
      </c>
      <c r="U146" s="0" t="n">
        <f aca="false">E146+M146</f>
        <v>0</v>
      </c>
      <c r="V146" s="0" t="n">
        <f aca="false">F146+N146</f>
        <v>0</v>
      </c>
      <c r="W146" s="0" t="n">
        <f aca="false">G146+O146</f>
        <v>0</v>
      </c>
      <c r="X146" s="0" t="n">
        <f aca="false">H146+P146</f>
        <v>0</v>
      </c>
      <c r="Y146" s="0" t="n">
        <f aca="false">I146+Q146</f>
        <v>0</v>
      </c>
      <c r="Z146" s="0" t="n">
        <f aca="false">MIN(R146,N('Debt Payoff'!E9))</f>
        <v>0</v>
      </c>
      <c r="AA146" s="0" t="n">
        <f aca="false">MIN(S146,N('Debt Payoff'!E10))</f>
        <v>0</v>
      </c>
      <c r="AB146" s="0" t="n">
        <f aca="false">MIN(T146,N('Debt Payoff'!E11))</f>
        <v>0</v>
      </c>
      <c r="AC146" s="0" t="n">
        <f aca="false">MIN(U146,N('Debt Payoff'!E12))</f>
        <v>0</v>
      </c>
      <c r="AD146" s="0" t="n">
        <f aca="false">MIN(V146,N('Debt Payoff'!E13))</f>
        <v>0</v>
      </c>
      <c r="AE146" s="0" t="n">
        <f aca="false">MIN(W146,N('Debt Payoff'!E14))</f>
        <v>0</v>
      </c>
      <c r="AF146" s="0" t="n">
        <f aca="false">MIN(X146,N('Debt Payoff'!E15))</f>
        <v>0</v>
      </c>
      <c r="AG146" s="0" t="n">
        <f aca="false">MIN(Y146,N('Debt Payoff'!E16))</f>
        <v>0</v>
      </c>
      <c r="AH146" s="0" t="n">
        <f aca="false">R146-Z146</f>
        <v>0</v>
      </c>
      <c r="AI146" s="0" t="n">
        <f aca="false">S146-AA146</f>
        <v>0</v>
      </c>
      <c r="AJ146" s="0" t="n">
        <f aca="false">T146-AB146</f>
        <v>0</v>
      </c>
      <c r="AK146" s="0" t="n">
        <f aca="false">U146-AC146</f>
        <v>0</v>
      </c>
      <c r="AL146" s="0" t="n">
        <f aca="false">V146-AD146</f>
        <v>0</v>
      </c>
      <c r="AM146" s="0" t="n">
        <f aca="false">W146-AE146</f>
        <v>0</v>
      </c>
      <c r="AN146" s="0" t="n">
        <f aca="false">X146-AF146</f>
        <v>0</v>
      </c>
      <c r="AO146" s="0" t="n">
        <f aca="false">Y146-AG146</f>
        <v>0</v>
      </c>
      <c r="AP146" s="0" t="n">
        <f aca="false">MAX(0,'Debt Payoff'!$D$17-SUM(Z146:AG146))</f>
        <v>805</v>
      </c>
      <c r="AQ146" s="0" t="n">
        <f aca="false">MIN(AH146,MAX(0,$AP146-SUMPRODUCT(($AH$1:$AO$1&lt;AH$1)*$AH146:$AO146)))</f>
        <v>0</v>
      </c>
      <c r="AR146" s="0" t="n">
        <f aca="false">MIN(AI146,MAX(0,$AP146-SUMPRODUCT(($AH$1:$AO$1&lt;AI$1)*$AH146:$AO146)))</f>
        <v>0</v>
      </c>
      <c r="AS146" s="0" t="n">
        <f aca="false">MIN(AJ146,MAX(0,$AP146-SUMPRODUCT(($AH$1:$AO$1&lt;AJ$1)*$AH146:$AO146)))</f>
        <v>0</v>
      </c>
      <c r="AT146" s="0" t="n">
        <f aca="false">MIN(AK146,MAX(0,$AP146-SUMPRODUCT(($AH$1:$AO$1&lt;AK$1)*$AH146:$AO146)))</f>
        <v>0</v>
      </c>
      <c r="AU146" s="0" t="n">
        <f aca="false">MIN(AL146,MAX(0,$AP146-SUMPRODUCT(($AH$1:$AO$1&lt;AL$1)*$AH146:$AO146)))</f>
        <v>0</v>
      </c>
      <c r="AV146" s="0" t="n">
        <f aca="false">MIN(AM146,MAX(0,$AP146-SUMPRODUCT(($AH$1:$AO$1&lt;AM$1)*$AH146:$AO146)))</f>
        <v>0</v>
      </c>
      <c r="AW146" s="0" t="n">
        <f aca="false">MIN(AN146,MAX(0,$AP146-SUMPRODUCT(($AH$1:$AO$1&lt;AN$1)*$AH146:$AO146)))</f>
        <v>0</v>
      </c>
      <c r="AX146" s="0" t="n">
        <f aca="false">MIN(AO146,MAX(0,$AP146-SUMPRODUCT(($AH$1:$AO$1&lt;AO$1)*$AH146:$AO146)))</f>
        <v>0</v>
      </c>
      <c r="AY146" s="0" t="n">
        <f aca="false">ROUND(AH146-AQ146,2)</f>
        <v>0</v>
      </c>
      <c r="AZ146" s="0" t="n">
        <f aca="false">ROUND(AI146-AR146,2)</f>
        <v>0</v>
      </c>
      <c r="BA146" s="0" t="n">
        <f aca="false">ROUND(AJ146-AS146,2)</f>
        <v>0</v>
      </c>
      <c r="BB146" s="0" t="n">
        <f aca="false">ROUND(AK146-AT146,2)</f>
        <v>0</v>
      </c>
      <c r="BC146" s="0" t="n">
        <f aca="false">ROUND(AL146-AU146,2)</f>
        <v>0</v>
      </c>
      <c r="BD146" s="0" t="n">
        <f aca="false">ROUND(AM146-AV146,2)</f>
        <v>0</v>
      </c>
      <c r="BE146" s="0" t="n">
        <f aca="false">ROUND(AN146-AW146,2)</f>
        <v>0</v>
      </c>
      <c r="BF146" s="0" t="n">
        <f aca="false">ROUND(AO146-AX146,2)</f>
        <v>0</v>
      </c>
      <c r="BG146" s="0" t="n">
        <f aca="false">SUM(AY146:BF146)</f>
        <v>0</v>
      </c>
    </row>
    <row r="147" customFormat="false" ht="15" hidden="false" customHeight="false" outlineLevel="0" collapsed="false">
      <c r="A147" s="0" t="n">
        <v>145</v>
      </c>
      <c r="B147" s="0" t="n">
        <f aca="false">AY146</f>
        <v>0</v>
      </c>
      <c r="C147" s="0" t="n">
        <f aca="false">AZ146</f>
        <v>0</v>
      </c>
      <c r="D147" s="0" t="n">
        <f aca="false">BA146</f>
        <v>0</v>
      </c>
      <c r="E147" s="0" t="n">
        <f aca="false">BB146</f>
        <v>0</v>
      </c>
      <c r="F147" s="0" t="n">
        <f aca="false">BC146</f>
        <v>0</v>
      </c>
      <c r="G147" s="0" t="n">
        <f aca="false">BD146</f>
        <v>0</v>
      </c>
      <c r="H147" s="0" t="n">
        <f aca="false">BE146</f>
        <v>0</v>
      </c>
      <c r="I147" s="0" t="n">
        <f aca="false">BF146</f>
        <v>0</v>
      </c>
      <c r="J147" s="0" t="n">
        <f aca="false">B147*N('Debt Payoff'!D9)/12</f>
        <v>0</v>
      </c>
      <c r="K147" s="0" t="n">
        <f aca="false">C147*N('Debt Payoff'!D10)/12</f>
        <v>0</v>
      </c>
      <c r="L147" s="0" t="n">
        <f aca="false">D147*N('Debt Payoff'!D11)/12</f>
        <v>0</v>
      </c>
      <c r="M147" s="0" t="n">
        <f aca="false">E147*N('Debt Payoff'!D12)/12</f>
        <v>0</v>
      </c>
      <c r="N147" s="0" t="n">
        <f aca="false">F147*N('Debt Payoff'!D13)/12</f>
        <v>0</v>
      </c>
      <c r="O147" s="0" t="n">
        <f aca="false">G147*N('Debt Payoff'!D14)/12</f>
        <v>0</v>
      </c>
      <c r="P147" s="0" t="n">
        <f aca="false">H147*N('Debt Payoff'!D15)/12</f>
        <v>0</v>
      </c>
      <c r="Q147" s="0" t="n">
        <f aca="false">I147*N('Debt Payoff'!D16)/12</f>
        <v>0</v>
      </c>
      <c r="R147" s="0" t="n">
        <f aca="false">B147+J147</f>
        <v>0</v>
      </c>
      <c r="S147" s="0" t="n">
        <f aca="false">C147+K147</f>
        <v>0</v>
      </c>
      <c r="T147" s="0" t="n">
        <f aca="false">D147+L147</f>
        <v>0</v>
      </c>
      <c r="U147" s="0" t="n">
        <f aca="false">E147+M147</f>
        <v>0</v>
      </c>
      <c r="V147" s="0" t="n">
        <f aca="false">F147+N147</f>
        <v>0</v>
      </c>
      <c r="W147" s="0" t="n">
        <f aca="false">G147+O147</f>
        <v>0</v>
      </c>
      <c r="X147" s="0" t="n">
        <f aca="false">H147+P147</f>
        <v>0</v>
      </c>
      <c r="Y147" s="0" t="n">
        <f aca="false">I147+Q147</f>
        <v>0</v>
      </c>
      <c r="Z147" s="0" t="n">
        <f aca="false">MIN(R147,N('Debt Payoff'!E9))</f>
        <v>0</v>
      </c>
      <c r="AA147" s="0" t="n">
        <f aca="false">MIN(S147,N('Debt Payoff'!E10))</f>
        <v>0</v>
      </c>
      <c r="AB147" s="0" t="n">
        <f aca="false">MIN(T147,N('Debt Payoff'!E11))</f>
        <v>0</v>
      </c>
      <c r="AC147" s="0" t="n">
        <f aca="false">MIN(U147,N('Debt Payoff'!E12))</f>
        <v>0</v>
      </c>
      <c r="AD147" s="0" t="n">
        <f aca="false">MIN(V147,N('Debt Payoff'!E13))</f>
        <v>0</v>
      </c>
      <c r="AE147" s="0" t="n">
        <f aca="false">MIN(W147,N('Debt Payoff'!E14))</f>
        <v>0</v>
      </c>
      <c r="AF147" s="0" t="n">
        <f aca="false">MIN(X147,N('Debt Payoff'!E15))</f>
        <v>0</v>
      </c>
      <c r="AG147" s="0" t="n">
        <f aca="false">MIN(Y147,N('Debt Payoff'!E16))</f>
        <v>0</v>
      </c>
      <c r="AH147" s="0" t="n">
        <f aca="false">R147-Z147</f>
        <v>0</v>
      </c>
      <c r="AI147" s="0" t="n">
        <f aca="false">S147-AA147</f>
        <v>0</v>
      </c>
      <c r="AJ147" s="0" t="n">
        <f aca="false">T147-AB147</f>
        <v>0</v>
      </c>
      <c r="AK147" s="0" t="n">
        <f aca="false">U147-AC147</f>
        <v>0</v>
      </c>
      <c r="AL147" s="0" t="n">
        <f aca="false">V147-AD147</f>
        <v>0</v>
      </c>
      <c r="AM147" s="0" t="n">
        <f aca="false">W147-AE147</f>
        <v>0</v>
      </c>
      <c r="AN147" s="0" t="n">
        <f aca="false">X147-AF147</f>
        <v>0</v>
      </c>
      <c r="AO147" s="0" t="n">
        <f aca="false">Y147-AG147</f>
        <v>0</v>
      </c>
      <c r="AP147" s="0" t="n">
        <f aca="false">MAX(0,'Debt Payoff'!$D$17-SUM(Z147:AG147))</f>
        <v>805</v>
      </c>
      <c r="AQ147" s="0" t="n">
        <f aca="false">MIN(AH147,MAX(0,$AP147-SUMPRODUCT(($AH$1:$AO$1&lt;AH$1)*$AH147:$AO147)))</f>
        <v>0</v>
      </c>
      <c r="AR147" s="0" t="n">
        <f aca="false">MIN(AI147,MAX(0,$AP147-SUMPRODUCT(($AH$1:$AO$1&lt;AI$1)*$AH147:$AO147)))</f>
        <v>0</v>
      </c>
      <c r="AS147" s="0" t="n">
        <f aca="false">MIN(AJ147,MAX(0,$AP147-SUMPRODUCT(($AH$1:$AO$1&lt;AJ$1)*$AH147:$AO147)))</f>
        <v>0</v>
      </c>
      <c r="AT147" s="0" t="n">
        <f aca="false">MIN(AK147,MAX(0,$AP147-SUMPRODUCT(($AH$1:$AO$1&lt;AK$1)*$AH147:$AO147)))</f>
        <v>0</v>
      </c>
      <c r="AU147" s="0" t="n">
        <f aca="false">MIN(AL147,MAX(0,$AP147-SUMPRODUCT(($AH$1:$AO$1&lt;AL$1)*$AH147:$AO147)))</f>
        <v>0</v>
      </c>
      <c r="AV147" s="0" t="n">
        <f aca="false">MIN(AM147,MAX(0,$AP147-SUMPRODUCT(($AH$1:$AO$1&lt;AM$1)*$AH147:$AO147)))</f>
        <v>0</v>
      </c>
      <c r="AW147" s="0" t="n">
        <f aca="false">MIN(AN147,MAX(0,$AP147-SUMPRODUCT(($AH$1:$AO$1&lt;AN$1)*$AH147:$AO147)))</f>
        <v>0</v>
      </c>
      <c r="AX147" s="0" t="n">
        <f aca="false">MIN(AO147,MAX(0,$AP147-SUMPRODUCT(($AH$1:$AO$1&lt;AO$1)*$AH147:$AO147)))</f>
        <v>0</v>
      </c>
      <c r="AY147" s="0" t="n">
        <f aca="false">ROUND(AH147-AQ147,2)</f>
        <v>0</v>
      </c>
      <c r="AZ147" s="0" t="n">
        <f aca="false">ROUND(AI147-AR147,2)</f>
        <v>0</v>
      </c>
      <c r="BA147" s="0" t="n">
        <f aca="false">ROUND(AJ147-AS147,2)</f>
        <v>0</v>
      </c>
      <c r="BB147" s="0" t="n">
        <f aca="false">ROUND(AK147-AT147,2)</f>
        <v>0</v>
      </c>
      <c r="BC147" s="0" t="n">
        <f aca="false">ROUND(AL147-AU147,2)</f>
        <v>0</v>
      </c>
      <c r="BD147" s="0" t="n">
        <f aca="false">ROUND(AM147-AV147,2)</f>
        <v>0</v>
      </c>
      <c r="BE147" s="0" t="n">
        <f aca="false">ROUND(AN147-AW147,2)</f>
        <v>0</v>
      </c>
      <c r="BF147" s="0" t="n">
        <f aca="false">ROUND(AO147-AX147,2)</f>
        <v>0</v>
      </c>
      <c r="BG147" s="0" t="n">
        <f aca="false">SUM(AY147:BF147)</f>
        <v>0</v>
      </c>
    </row>
    <row r="148" customFormat="false" ht="15" hidden="false" customHeight="false" outlineLevel="0" collapsed="false">
      <c r="A148" s="0" t="n">
        <v>146</v>
      </c>
      <c r="B148" s="0" t="n">
        <f aca="false">AY147</f>
        <v>0</v>
      </c>
      <c r="C148" s="0" t="n">
        <f aca="false">AZ147</f>
        <v>0</v>
      </c>
      <c r="D148" s="0" t="n">
        <f aca="false">BA147</f>
        <v>0</v>
      </c>
      <c r="E148" s="0" t="n">
        <f aca="false">BB147</f>
        <v>0</v>
      </c>
      <c r="F148" s="0" t="n">
        <f aca="false">BC147</f>
        <v>0</v>
      </c>
      <c r="G148" s="0" t="n">
        <f aca="false">BD147</f>
        <v>0</v>
      </c>
      <c r="H148" s="0" t="n">
        <f aca="false">BE147</f>
        <v>0</v>
      </c>
      <c r="I148" s="0" t="n">
        <f aca="false">BF147</f>
        <v>0</v>
      </c>
      <c r="J148" s="0" t="n">
        <f aca="false">B148*N('Debt Payoff'!D9)/12</f>
        <v>0</v>
      </c>
      <c r="K148" s="0" t="n">
        <f aca="false">C148*N('Debt Payoff'!D10)/12</f>
        <v>0</v>
      </c>
      <c r="L148" s="0" t="n">
        <f aca="false">D148*N('Debt Payoff'!D11)/12</f>
        <v>0</v>
      </c>
      <c r="M148" s="0" t="n">
        <f aca="false">E148*N('Debt Payoff'!D12)/12</f>
        <v>0</v>
      </c>
      <c r="N148" s="0" t="n">
        <f aca="false">F148*N('Debt Payoff'!D13)/12</f>
        <v>0</v>
      </c>
      <c r="O148" s="0" t="n">
        <f aca="false">G148*N('Debt Payoff'!D14)/12</f>
        <v>0</v>
      </c>
      <c r="P148" s="0" t="n">
        <f aca="false">H148*N('Debt Payoff'!D15)/12</f>
        <v>0</v>
      </c>
      <c r="Q148" s="0" t="n">
        <f aca="false">I148*N('Debt Payoff'!D16)/12</f>
        <v>0</v>
      </c>
      <c r="R148" s="0" t="n">
        <f aca="false">B148+J148</f>
        <v>0</v>
      </c>
      <c r="S148" s="0" t="n">
        <f aca="false">C148+K148</f>
        <v>0</v>
      </c>
      <c r="T148" s="0" t="n">
        <f aca="false">D148+L148</f>
        <v>0</v>
      </c>
      <c r="U148" s="0" t="n">
        <f aca="false">E148+M148</f>
        <v>0</v>
      </c>
      <c r="V148" s="0" t="n">
        <f aca="false">F148+N148</f>
        <v>0</v>
      </c>
      <c r="W148" s="0" t="n">
        <f aca="false">G148+O148</f>
        <v>0</v>
      </c>
      <c r="X148" s="0" t="n">
        <f aca="false">H148+P148</f>
        <v>0</v>
      </c>
      <c r="Y148" s="0" t="n">
        <f aca="false">I148+Q148</f>
        <v>0</v>
      </c>
      <c r="Z148" s="0" t="n">
        <f aca="false">MIN(R148,N('Debt Payoff'!E9))</f>
        <v>0</v>
      </c>
      <c r="AA148" s="0" t="n">
        <f aca="false">MIN(S148,N('Debt Payoff'!E10))</f>
        <v>0</v>
      </c>
      <c r="AB148" s="0" t="n">
        <f aca="false">MIN(T148,N('Debt Payoff'!E11))</f>
        <v>0</v>
      </c>
      <c r="AC148" s="0" t="n">
        <f aca="false">MIN(U148,N('Debt Payoff'!E12))</f>
        <v>0</v>
      </c>
      <c r="AD148" s="0" t="n">
        <f aca="false">MIN(V148,N('Debt Payoff'!E13))</f>
        <v>0</v>
      </c>
      <c r="AE148" s="0" t="n">
        <f aca="false">MIN(W148,N('Debt Payoff'!E14))</f>
        <v>0</v>
      </c>
      <c r="AF148" s="0" t="n">
        <f aca="false">MIN(X148,N('Debt Payoff'!E15))</f>
        <v>0</v>
      </c>
      <c r="AG148" s="0" t="n">
        <f aca="false">MIN(Y148,N('Debt Payoff'!E16))</f>
        <v>0</v>
      </c>
      <c r="AH148" s="0" t="n">
        <f aca="false">R148-Z148</f>
        <v>0</v>
      </c>
      <c r="AI148" s="0" t="n">
        <f aca="false">S148-AA148</f>
        <v>0</v>
      </c>
      <c r="AJ148" s="0" t="n">
        <f aca="false">T148-AB148</f>
        <v>0</v>
      </c>
      <c r="AK148" s="0" t="n">
        <f aca="false">U148-AC148</f>
        <v>0</v>
      </c>
      <c r="AL148" s="0" t="n">
        <f aca="false">V148-AD148</f>
        <v>0</v>
      </c>
      <c r="AM148" s="0" t="n">
        <f aca="false">W148-AE148</f>
        <v>0</v>
      </c>
      <c r="AN148" s="0" t="n">
        <f aca="false">X148-AF148</f>
        <v>0</v>
      </c>
      <c r="AO148" s="0" t="n">
        <f aca="false">Y148-AG148</f>
        <v>0</v>
      </c>
      <c r="AP148" s="0" t="n">
        <f aca="false">MAX(0,'Debt Payoff'!$D$17-SUM(Z148:AG148))</f>
        <v>805</v>
      </c>
      <c r="AQ148" s="0" t="n">
        <f aca="false">MIN(AH148,MAX(0,$AP148-SUMPRODUCT(($AH$1:$AO$1&lt;AH$1)*$AH148:$AO148)))</f>
        <v>0</v>
      </c>
      <c r="AR148" s="0" t="n">
        <f aca="false">MIN(AI148,MAX(0,$AP148-SUMPRODUCT(($AH$1:$AO$1&lt;AI$1)*$AH148:$AO148)))</f>
        <v>0</v>
      </c>
      <c r="AS148" s="0" t="n">
        <f aca="false">MIN(AJ148,MAX(0,$AP148-SUMPRODUCT(($AH$1:$AO$1&lt;AJ$1)*$AH148:$AO148)))</f>
        <v>0</v>
      </c>
      <c r="AT148" s="0" t="n">
        <f aca="false">MIN(AK148,MAX(0,$AP148-SUMPRODUCT(($AH$1:$AO$1&lt;AK$1)*$AH148:$AO148)))</f>
        <v>0</v>
      </c>
      <c r="AU148" s="0" t="n">
        <f aca="false">MIN(AL148,MAX(0,$AP148-SUMPRODUCT(($AH$1:$AO$1&lt;AL$1)*$AH148:$AO148)))</f>
        <v>0</v>
      </c>
      <c r="AV148" s="0" t="n">
        <f aca="false">MIN(AM148,MAX(0,$AP148-SUMPRODUCT(($AH$1:$AO$1&lt;AM$1)*$AH148:$AO148)))</f>
        <v>0</v>
      </c>
      <c r="AW148" s="0" t="n">
        <f aca="false">MIN(AN148,MAX(0,$AP148-SUMPRODUCT(($AH$1:$AO$1&lt;AN$1)*$AH148:$AO148)))</f>
        <v>0</v>
      </c>
      <c r="AX148" s="0" t="n">
        <f aca="false">MIN(AO148,MAX(0,$AP148-SUMPRODUCT(($AH$1:$AO$1&lt;AO$1)*$AH148:$AO148)))</f>
        <v>0</v>
      </c>
      <c r="AY148" s="0" t="n">
        <f aca="false">ROUND(AH148-AQ148,2)</f>
        <v>0</v>
      </c>
      <c r="AZ148" s="0" t="n">
        <f aca="false">ROUND(AI148-AR148,2)</f>
        <v>0</v>
      </c>
      <c r="BA148" s="0" t="n">
        <f aca="false">ROUND(AJ148-AS148,2)</f>
        <v>0</v>
      </c>
      <c r="BB148" s="0" t="n">
        <f aca="false">ROUND(AK148-AT148,2)</f>
        <v>0</v>
      </c>
      <c r="BC148" s="0" t="n">
        <f aca="false">ROUND(AL148-AU148,2)</f>
        <v>0</v>
      </c>
      <c r="BD148" s="0" t="n">
        <f aca="false">ROUND(AM148-AV148,2)</f>
        <v>0</v>
      </c>
      <c r="BE148" s="0" t="n">
        <f aca="false">ROUND(AN148-AW148,2)</f>
        <v>0</v>
      </c>
      <c r="BF148" s="0" t="n">
        <f aca="false">ROUND(AO148-AX148,2)</f>
        <v>0</v>
      </c>
      <c r="BG148" s="0" t="n">
        <f aca="false">SUM(AY148:BF148)</f>
        <v>0</v>
      </c>
    </row>
    <row r="149" customFormat="false" ht="15" hidden="false" customHeight="false" outlineLevel="0" collapsed="false">
      <c r="A149" s="0" t="n">
        <v>147</v>
      </c>
      <c r="B149" s="0" t="n">
        <f aca="false">AY148</f>
        <v>0</v>
      </c>
      <c r="C149" s="0" t="n">
        <f aca="false">AZ148</f>
        <v>0</v>
      </c>
      <c r="D149" s="0" t="n">
        <f aca="false">BA148</f>
        <v>0</v>
      </c>
      <c r="E149" s="0" t="n">
        <f aca="false">BB148</f>
        <v>0</v>
      </c>
      <c r="F149" s="0" t="n">
        <f aca="false">BC148</f>
        <v>0</v>
      </c>
      <c r="G149" s="0" t="n">
        <f aca="false">BD148</f>
        <v>0</v>
      </c>
      <c r="H149" s="0" t="n">
        <f aca="false">BE148</f>
        <v>0</v>
      </c>
      <c r="I149" s="0" t="n">
        <f aca="false">BF148</f>
        <v>0</v>
      </c>
      <c r="J149" s="0" t="n">
        <f aca="false">B149*N('Debt Payoff'!D9)/12</f>
        <v>0</v>
      </c>
      <c r="K149" s="0" t="n">
        <f aca="false">C149*N('Debt Payoff'!D10)/12</f>
        <v>0</v>
      </c>
      <c r="L149" s="0" t="n">
        <f aca="false">D149*N('Debt Payoff'!D11)/12</f>
        <v>0</v>
      </c>
      <c r="M149" s="0" t="n">
        <f aca="false">E149*N('Debt Payoff'!D12)/12</f>
        <v>0</v>
      </c>
      <c r="N149" s="0" t="n">
        <f aca="false">F149*N('Debt Payoff'!D13)/12</f>
        <v>0</v>
      </c>
      <c r="O149" s="0" t="n">
        <f aca="false">G149*N('Debt Payoff'!D14)/12</f>
        <v>0</v>
      </c>
      <c r="P149" s="0" t="n">
        <f aca="false">H149*N('Debt Payoff'!D15)/12</f>
        <v>0</v>
      </c>
      <c r="Q149" s="0" t="n">
        <f aca="false">I149*N('Debt Payoff'!D16)/12</f>
        <v>0</v>
      </c>
      <c r="R149" s="0" t="n">
        <f aca="false">B149+J149</f>
        <v>0</v>
      </c>
      <c r="S149" s="0" t="n">
        <f aca="false">C149+K149</f>
        <v>0</v>
      </c>
      <c r="T149" s="0" t="n">
        <f aca="false">D149+L149</f>
        <v>0</v>
      </c>
      <c r="U149" s="0" t="n">
        <f aca="false">E149+M149</f>
        <v>0</v>
      </c>
      <c r="V149" s="0" t="n">
        <f aca="false">F149+N149</f>
        <v>0</v>
      </c>
      <c r="W149" s="0" t="n">
        <f aca="false">G149+O149</f>
        <v>0</v>
      </c>
      <c r="X149" s="0" t="n">
        <f aca="false">H149+P149</f>
        <v>0</v>
      </c>
      <c r="Y149" s="0" t="n">
        <f aca="false">I149+Q149</f>
        <v>0</v>
      </c>
      <c r="Z149" s="0" t="n">
        <f aca="false">MIN(R149,N('Debt Payoff'!E9))</f>
        <v>0</v>
      </c>
      <c r="AA149" s="0" t="n">
        <f aca="false">MIN(S149,N('Debt Payoff'!E10))</f>
        <v>0</v>
      </c>
      <c r="AB149" s="0" t="n">
        <f aca="false">MIN(T149,N('Debt Payoff'!E11))</f>
        <v>0</v>
      </c>
      <c r="AC149" s="0" t="n">
        <f aca="false">MIN(U149,N('Debt Payoff'!E12))</f>
        <v>0</v>
      </c>
      <c r="AD149" s="0" t="n">
        <f aca="false">MIN(V149,N('Debt Payoff'!E13))</f>
        <v>0</v>
      </c>
      <c r="AE149" s="0" t="n">
        <f aca="false">MIN(W149,N('Debt Payoff'!E14))</f>
        <v>0</v>
      </c>
      <c r="AF149" s="0" t="n">
        <f aca="false">MIN(X149,N('Debt Payoff'!E15))</f>
        <v>0</v>
      </c>
      <c r="AG149" s="0" t="n">
        <f aca="false">MIN(Y149,N('Debt Payoff'!E16))</f>
        <v>0</v>
      </c>
      <c r="AH149" s="0" t="n">
        <f aca="false">R149-Z149</f>
        <v>0</v>
      </c>
      <c r="AI149" s="0" t="n">
        <f aca="false">S149-AA149</f>
        <v>0</v>
      </c>
      <c r="AJ149" s="0" t="n">
        <f aca="false">T149-AB149</f>
        <v>0</v>
      </c>
      <c r="AK149" s="0" t="n">
        <f aca="false">U149-AC149</f>
        <v>0</v>
      </c>
      <c r="AL149" s="0" t="n">
        <f aca="false">V149-AD149</f>
        <v>0</v>
      </c>
      <c r="AM149" s="0" t="n">
        <f aca="false">W149-AE149</f>
        <v>0</v>
      </c>
      <c r="AN149" s="0" t="n">
        <f aca="false">X149-AF149</f>
        <v>0</v>
      </c>
      <c r="AO149" s="0" t="n">
        <f aca="false">Y149-AG149</f>
        <v>0</v>
      </c>
      <c r="AP149" s="0" t="n">
        <f aca="false">MAX(0,'Debt Payoff'!$D$17-SUM(Z149:AG149))</f>
        <v>805</v>
      </c>
      <c r="AQ149" s="0" t="n">
        <f aca="false">MIN(AH149,MAX(0,$AP149-SUMPRODUCT(($AH$1:$AO$1&lt;AH$1)*$AH149:$AO149)))</f>
        <v>0</v>
      </c>
      <c r="AR149" s="0" t="n">
        <f aca="false">MIN(AI149,MAX(0,$AP149-SUMPRODUCT(($AH$1:$AO$1&lt;AI$1)*$AH149:$AO149)))</f>
        <v>0</v>
      </c>
      <c r="AS149" s="0" t="n">
        <f aca="false">MIN(AJ149,MAX(0,$AP149-SUMPRODUCT(($AH$1:$AO$1&lt;AJ$1)*$AH149:$AO149)))</f>
        <v>0</v>
      </c>
      <c r="AT149" s="0" t="n">
        <f aca="false">MIN(AK149,MAX(0,$AP149-SUMPRODUCT(($AH$1:$AO$1&lt;AK$1)*$AH149:$AO149)))</f>
        <v>0</v>
      </c>
      <c r="AU149" s="0" t="n">
        <f aca="false">MIN(AL149,MAX(0,$AP149-SUMPRODUCT(($AH$1:$AO$1&lt;AL$1)*$AH149:$AO149)))</f>
        <v>0</v>
      </c>
      <c r="AV149" s="0" t="n">
        <f aca="false">MIN(AM149,MAX(0,$AP149-SUMPRODUCT(($AH$1:$AO$1&lt;AM$1)*$AH149:$AO149)))</f>
        <v>0</v>
      </c>
      <c r="AW149" s="0" t="n">
        <f aca="false">MIN(AN149,MAX(0,$AP149-SUMPRODUCT(($AH$1:$AO$1&lt;AN$1)*$AH149:$AO149)))</f>
        <v>0</v>
      </c>
      <c r="AX149" s="0" t="n">
        <f aca="false">MIN(AO149,MAX(0,$AP149-SUMPRODUCT(($AH$1:$AO$1&lt;AO$1)*$AH149:$AO149)))</f>
        <v>0</v>
      </c>
      <c r="AY149" s="0" t="n">
        <f aca="false">ROUND(AH149-AQ149,2)</f>
        <v>0</v>
      </c>
      <c r="AZ149" s="0" t="n">
        <f aca="false">ROUND(AI149-AR149,2)</f>
        <v>0</v>
      </c>
      <c r="BA149" s="0" t="n">
        <f aca="false">ROUND(AJ149-AS149,2)</f>
        <v>0</v>
      </c>
      <c r="BB149" s="0" t="n">
        <f aca="false">ROUND(AK149-AT149,2)</f>
        <v>0</v>
      </c>
      <c r="BC149" s="0" t="n">
        <f aca="false">ROUND(AL149-AU149,2)</f>
        <v>0</v>
      </c>
      <c r="BD149" s="0" t="n">
        <f aca="false">ROUND(AM149-AV149,2)</f>
        <v>0</v>
      </c>
      <c r="BE149" s="0" t="n">
        <f aca="false">ROUND(AN149-AW149,2)</f>
        <v>0</v>
      </c>
      <c r="BF149" s="0" t="n">
        <f aca="false">ROUND(AO149-AX149,2)</f>
        <v>0</v>
      </c>
      <c r="BG149" s="0" t="n">
        <f aca="false">SUM(AY149:BF149)</f>
        <v>0</v>
      </c>
    </row>
    <row r="150" customFormat="false" ht="15" hidden="false" customHeight="false" outlineLevel="0" collapsed="false">
      <c r="A150" s="0" t="n">
        <v>148</v>
      </c>
      <c r="B150" s="0" t="n">
        <f aca="false">AY149</f>
        <v>0</v>
      </c>
      <c r="C150" s="0" t="n">
        <f aca="false">AZ149</f>
        <v>0</v>
      </c>
      <c r="D150" s="0" t="n">
        <f aca="false">BA149</f>
        <v>0</v>
      </c>
      <c r="E150" s="0" t="n">
        <f aca="false">BB149</f>
        <v>0</v>
      </c>
      <c r="F150" s="0" t="n">
        <f aca="false">BC149</f>
        <v>0</v>
      </c>
      <c r="G150" s="0" t="n">
        <f aca="false">BD149</f>
        <v>0</v>
      </c>
      <c r="H150" s="0" t="n">
        <f aca="false">BE149</f>
        <v>0</v>
      </c>
      <c r="I150" s="0" t="n">
        <f aca="false">BF149</f>
        <v>0</v>
      </c>
      <c r="J150" s="0" t="n">
        <f aca="false">B150*N('Debt Payoff'!D9)/12</f>
        <v>0</v>
      </c>
      <c r="K150" s="0" t="n">
        <f aca="false">C150*N('Debt Payoff'!D10)/12</f>
        <v>0</v>
      </c>
      <c r="L150" s="0" t="n">
        <f aca="false">D150*N('Debt Payoff'!D11)/12</f>
        <v>0</v>
      </c>
      <c r="M150" s="0" t="n">
        <f aca="false">E150*N('Debt Payoff'!D12)/12</f>
        <v>0</v>
      </c>
      <c r="N150" s="0" t="n">
        <f aca="false">F150*N('Debt Payoff'!D13)/12</f>
        <v>0</v>
      </c>
      <c r="O150" s="0" t="n">
        <f aca="false">G150*N('Debt Payoff'!D14)/12</f>
        <v>0</v>
      </c>
      <c r="P150" s="0" t="n">
        <f aca="false">H150*N('Debt Payoff'!D15)/12</f>
        <v>0</v>
      </c>
      <c r="Q150" s="0" t="n">
        <f aca="false">I150*N('Debt Payoff'!D16)/12</f>
        <v>0</v>
      </c>
      <c r="R150" s="0" t="n">
        <f aca="false">B150+J150</f>
        <v>0</v>
      </c>
      <c r="S150" s="0" t="n">
        <f aca="false">C150+K150</f>
        <v>0</v>
      </c>
      <c r="T150" s="0" t="n">
        <f aca="false">D150+L150</f>
        <v>0</v>
      </c>
      <c r="U150" s="0" t="n">
        <f aca="false">E150+M150</f>
        <v>0</v>
      </c>
      <c r="V150" s="0" t="n">
        <f aca="false">F150+N150</f>
        <v>0</v>
      </c>
      <c r="W150" s="0" t="n">
        <f aca="false">G150+O150</f>
        <v>0</v>
      </c>
      <c r="X150" s="0" t="n">
        <f aca="false">H150+P150</f>
        <v>0</v>
      </c>
      <c r="Y150" s="0" t="n">
        <f aca="false">I150+Q150</f>
        <v>0</v>
      </c>
      <c r="Z150" s="0" t="n">
        <f aca="false">MIN(R150,N('Debt Payoff'!E9))</f>
        <v>0</v>
      </c>
      <c r="AA150" s="0" t="n">
        <f aca="false">MIN(S150,N('Debt Payoff'!E10))</f>
        <v>0</v>
      </c>
      <c r="AB150" s="0" t="n">
        <f aca="false">MIN(T150,N('Debt Payoff'!E11))</f>
        <v>0</v>
      </c>
      <c r="AC150" s="0" t="n">
        <f aca="false">MIN(U150,N('Debt Payoff'!E12))</f>
        <v>0</v>
      </c>
      <c r="AD150" s="0" t="n">
        <f aca="false">MIN(V150,N('Debt Payoff'!E13))</f>
        <v>0</v>
      </c>
      <c r="AE150" s="0" t="n">
        <f aca="false">MIN(W150,N('Debt Payoff'!E14))</f>
        <v>0</v>
      </c>
      <c r="AF150" s="0" t="n">
        <f aca="false">MIN(X150,N('Debt Payoff'!E15))</f>
        <v>0</v>
      </c>
      <c r="AG150" s="0" t="n">
        <f aca="false">MIN(Y150,N('Debt Payoff'!E16))</f>
        <v>0</v>
      </c>
      <c r="AH150" s="0" t="n">
        <f aca="false">R150-Z150</f>
        <v>0</v>
      </c>
      <c r="AI150" s="0" t="n">
        <f aca="false">S150-AA150</f>
        <v>0</v>
      </c>
      <c r="AJ150" s="0" t="n">
        <f aca="false">T150-AB150</f>
        <v>0</v>
      </c>
      <c r="AK150" s="0" t="n">
        <f aca="false">U150-AC150</f>
        <v>0</v>
      </c>
      <c r="AL150" s="0" t="n">
        <f aca="false">V150-AD150</f>
        <v>0</v>
      </c>
      <c r="AM150" s="0" t="n">
        <f aca="false">W150-AE150</f>
        <v>0</v>
      </c>
      <c r="AN150" s="0" t="n">
        <f aca="false">X150-AF150</f>
        <v>0</v>
      </c>
      <c r="AO150" s="0" t="n">
        <f aca="false">Y150-AG150</f>
        <v>0</v>
      </c>
      <c r="AP150" s="0" t="n">
        <f aca="false">MAX(0,'Debt Payoff'!$D$17-SUM(Z150:AG150))</f>
        <v>805</v>
      </c>
      <c r="AQ150" s="0" t="n">
        <f aca="false">MIN(AH150,MAX(0,$AP150-SUMPRODUCT(($AH$1:$AO$1&lt;AH$1)*$AH150:$AO150)))</f>
        <v>0</v>
      </c>
      <c r="AR150" s="0" t="n">
        <f aca="false">MIN(AI150,MAX(0,$AP150-SUMPRODUCT(($AH$1:$AO$1&lt;AI$1)*$AH150:$AO150)))</f>
        <v>0</v>
      </c>
      <c r="AS150" s="0" t="n">
        <f aca="false">MIN(AJ150,MAX(0,$AP150-SUMPRODUCT(($AH$1:$AO$1&lt;AJ$1)*$AH150:$AO150)))</f>
        <v>0</v>
      </c>
      <c r="AT150" s="0" t="n">
        <f aca="false">MIN(AK150,MAX(0,$AP150-SUMPRODUCT(($AH$1:$AO$1&lt;AK$1)*$AH150:$AO150)))</f>
        <v>0</v>
      </c>
      <c r="AU150" s="0" t="n">
        <f aca="false">MIN(AL150,MAX(0,$AP150-SUMPRODUCT(($AH$1:$AO$1&lt;AL$1)*$AH150:$AO150)))</f>
        <v>0</v>
      </c>
      <c r="AV150" s="0" t="n">
        <f aca="false">MIN(AM150,MAX(0,$AP150-SUMPRODUCT(($AH$1:$AO$1&lt;AM$1)*$AH150:$AO150)))</f>
        <v>0</v>
      </c>
      <c r="AW150" s="0" t="n">
        <f aca="false">MIN(AN150,MAX(0,$AP150-SUMPRODUCT(($AH$1:$AO$1&lt;AN$1)*$AH150:$AO150)))</f>
        <v>0</v>
      </c>
      <c r="AX150" s="0" t="n">
        <f aca="false">MIN(AO150,MAX(0,$AP150-SUMPRODUCT(($AH$1:$AO$1&lt;AO$1)*$AH150:$AO150)))</f>
        <v>0</v>
      </c>
      <c r="AY150" s="0" t="n">
        <f aca="false">ROUND(AH150-AQ150,2)</f>
        <v>0</v>
      </c>
      <c r="AZ150" s="0" t="n">
        <f aca="false">ROUND(AI150-AR150,2)</f>
        <v>0</v>
      </c>
      <c r="BA150" s="0" t="n">
        <f aca="false">ROUND(AJ150-AS150,2)</f>
        <v>0</v>
      </c>
      <c r="BB150" s="0" t="n">
        <f aca="false">ROUND(AK150-AT150,2)</f>
        <v>0</v>
      </c>
      <c r="BC150" s="0" t="n">
        <f aca="false">ROUND(AL150-AU150,2)</f>
        <v>0</v>
      </c>
      <c r="BD150" s="0" t="n">
        <f aca="false">ROUND(AM150-AV150,2)</f>
        <v>0</v>
      </c>
      <c r="BE150" s="0" t="n">
        <f aca="false">ROUND(AN150-AW150,2)</f>
        <v>0</v>
      </c>
      <c r="BF150" s="0" t="n">
        <f aca="false">ROUND(AO150-AX150,2)</f>
        <v>0</v>
      </c>
      <c r="BG150" s="0" t="n">
        <f aca="false">SUM(AY150:BF150)</f>
        <v>0</v>
      </c>
    </row>
    <row r="151" customFormat="false" ht="15" hidden="false" customHeight="false" outlineLevel="0" collapsed="false">
      <c r="A151" s="0" t="n">
        <v>149</v>
      </c>
      <c r="B151" s="0" t="n">
        <f aca="false">AY150</f>
        <v>0</v>
      </c>
      <c r="C151" s="0" t="n">
        <f aca="false">AZ150</f>
        <v>0</v>
      </c>
      <c r="D151" s="0" t="n">
        <f aca="false">BA150</f>
        <v>0</v>
      </c>
      <c r="E151" s="0" t="n">
        <f aca="false">BB150</f>
        <v>0</v>
      </c>
      <c r="F151" s="0" t="n">
        <f aca="false">BC150</f>
        <v>0</v>
      </c>
      <c r="G151" s="0" t="n">
        <f aca="false">BD150</f>
        <v>0</v>
      </c>
      <c r="H151" s="0" t="n">
        <f aca="false">BE150</f>
        <v>0</v>
      </c>
      <c r="I151" s="0" t="n">
        <f aca="false">BF150</f>
        <v>0</v>
      </c>
      <c r="J151" s="0" t="n">
        <f aca="false">B151*N('Debt Payoff'!D9)/12</f>
        <v>0</v>
      </c>
      <c r="K151" s="0" t="n">
        <f aca="false">C151*N('Debt Payoff'!D10)/12</f>
        <v>0</v>
      </c>
      <c r="L151" s="0" t="n">
        <f aca="false">D151*N('Debt Payoff'!D11)/12</f>
        <v>0</v>
      </c>
      <c r="M151" s="0" t="n">
        <f aca="false">E151*N('Debt Payoff'!D12)/12</f>
        <v>0</v>
      </c>
      <c r="N151" s="0" t="n">
        <f aca="false">F151*N('Debt Payoff'!D13)/12</f>
        <v>0</v>
      </c>
      <c r="O151" s="0" t="n">
        <f aca="false">G151*N('Debt Payoff'!D14)/12</f>
        <v>0</v>
      </c>
      <c r="P151" s="0" t="n">
        <f aca="false">H151*N('Debt Payoff'!D15)/12</f>
        <v>0</v>
      </c>
      <c r="Q151" s="0" t="n">
        <f aca="false">I151*N('Debt Payoff'!D16)/12</f>
        <v>0</v>
      </c>
      <c r="R151" s="0" t="n">
        <f aca="false">B151+J151</f>
        <v>0</v>
      </c>
      <c r="S151" s="0" t="n">
        <f aca="false">C151+K151</f>
        <v>0</v>
      </c>
      <c r="T151" s="0" t="n">
        <f aca="false">D151+L151</f>
        <v>0</v>
      </c>
      <c r="U151" s="0" t="n">
        <f aca="false">E151+M151</f>
        <v>0</v>
      </c>
      <c r="V151" s="0" t="n">
        <f aca="false">F151+N151</f>
        <v>0</v>
      </c>
      <c r="W151" s="0" t="n">
        <f aca="false">G151+O151</f>
        <v>0</v>
      </c>
      <c r="X151" s="0" t="n">
        <f aca="false">H151+P151</f>
        <v>0</v>
      </c>
      <c r="Y151" s="0" t="n">
        <f aca="false">I151+Q151</f>
        <v>0</v>
      </c>
      <c r="Z151" s="0" t="n">
        <f aca="false">MIN(R151,N('Debt Payoff'!E9))</f>
        <v>0</v>
      </c>
      <c r="AA151" s="0" t="n">
        <f aca="false">MIN(S151,N('Debt Payoff'!E10))</f>
        <v>0</v>
      </c>
      <c r="AB151" s="0" t="n">
        <f aca="false">MIN(T151,N('Debt Payoff'!E11))</f>
        <v>0</v>
      </c>
      <c r="AC151" s="0" t="n">
        <f aca="false">MIN(U151,N('Debt Payoff'!E12))</f>
        <v>0</v>
      </c>
      <c r="AD151" s="0" t="n">
        <f aca="false">MIN(V151,N('Debt Payoff'!E13))</f>
        <v>0</v>
      </c>
      <c r="AE151" s="0" t="n">
        <f aca="false">MIN(W151,N('Debt Payoff'!E14))</f>
        <v>0</v>
      </c>
      <c r="AF151" s="0" t="n">
        <f aca="false">MIN(X151,N('Debt Payoff'!E15))</f>
        <v>0</v>
      </c>
      <c r="AG151" s="0" t="n">
        <f aca="false">MIN(Y151,N('Debt Payoff'!E16))</f>
        <v>0</v>
      </c>
      <c r="AH151" s="0" t="n">
        <f aca="false">R151-Z151</f>
        <v>0</v>
      </c>
      <c r="AI151" s="0" t="n">
        <f aca="false">S151-AA151</f>
        <v>0</v>
      </c>
      <c r="AJ151" s="0" t="n">
        <f aca="false">T151-AB151</f>
        <v>0</v>
      </c>
      <c r="AK151" s="0" t="n">
        <f aca="false">U151-AC151</f>
        <v>0</v>
      </c>
      <c r="AL151" s="0" t="n">
        <f aca="false">V151-AD151</f>
        <v>0</v>
      </c>
      <c r="AM151" s="0" t="n">
        <f aca="false">W151-AE151</f>
        <v>0</v>
      </c>
      <c r="AN151" s="0" t="n">
        <f aca="false">X151-AF151</f>
        <v>0</v>
      </c>
      <c r="AO151" s="0" t="n">
        <f aca="false">Y151-AG151</f>
        <v>0</v>
      </c>
      <c r="AP151" s="0" t="n">
        <f aca="false">MAX(0,'Debt Payoff'!$D$17-SUM(Z151:AG151))</f>
        <v>805</v>
      </c>
      <c r="AQ151" s="0" t="n">
        <f aca="false">MIN(AH151,MAX(0,$AP151-SUMPRODUCT(($AH$1:$AO$1&lt;AH$1)*$AH151:$AO151)))</f>
        <v>0</v>
      </c>
      <c r="AR151" s="0" t="n">
        <f aca="false">MIN(AI151,MAX(0,$AP151-SUMPRODUCT(($AH$1:$AO$1&lt;AI$1)*$AH151:$AO151)))</f>
        <v>0</v>
      </c>
      <c r="AS151" s="0" t="n">
        <f aca="false">MIN(AJ151,MAX(0,$AP151-SUMPRODUCT(($AH$1:$AO$1&lt;AJ$1)*$AH151:$AO151)))</f>
        <v>0</v>
      </c>
      <c r="AT151" s="0" t="n">
        <f aca="false">MIN(AK151,MAX(0,$AP151-SUMPRODUCT(($AH$1:$AO$1&lt;AK$1)*$AH151:$AO151)))</f>
        <v>0</v>
      </c>
      <c r="AU151" s="0" t="n">
        <f aca="false">MIN(AL151,MAX(0,$AP151-SUMPRODUCT(($AH$1:$AO$1&lt;AL$1)*$AH151:$AO151)))</f>
        <v>0</v>
      </c>
      <c r="AV151" s="0" t="n">
        <f aca="false">MIN(AM151,MAX(0,$AP151-SUMPRODUCT(($AH$1:$AO$1&lt;AM$1)*$AH151:$AO151)))</f>
        <v>0</v>
      </c>
      <c r="AW151" s="0" t="n">
        <f aca="false">MIN(AN151,MAX(0,$AP151-SUMPRODUCT(($AH$1:$AO$1&lt;AN$1)*$AH151:$AO151)))</f>
        <v>0</v>
      </c>
      <c r="AX151" s="0" t="n">
        <f aca="false">MIN(AO151,MAX(0,$AP151-SUMPRODUCT(($AH$1:$AO$1&lt;AO$1)*$AH151:$AO151)))</f>
        <v>0</v>
      </c>
      <c r="AY151" s="0" t="n">
        <f aca="false">ROUND(AH151-AQ151,2)</f>
        <v>0</v>
      </c>
      <c r="AZ151" s="0" t="n">
        <f aca="false">ROUND(AI151-AR151,2)</f>
        <v>0</v>
      </c>
      <c r="BA151" s="0" t="n">
        <f aca="false">ROUND(AJ151-AS151,2)</f>
        <v>0</v>
      </c>
      <c r="BB151" s="0" t="n">
        <f aca="false">ROUND(AK151-AT151,2)</f>
        <v>0</v>
      </c>
      <c r="BC151" s="0" t="n">
        <f aca="false">ROUND(AL151-AU151,2)</f>
        <v>0</v>
      </c>
      <c r="BD151" s="0" t="n">
        <f aca="false">ROUND(AM151-AV151,2)</f>
        <v>0</v>
      </c>
      <c r="BE151" s="0" t="n">
        <f aca="false">ROUND(AN151-AW151,2)</f>
        <v>0</v>
      </c>
      <c r="BF151" s="0" t="n">
        <f aca="false">ROUND(AO151-AX151,2)</f>
        <v>0</v>
      </c>
      <c r="BG151" s="0" t="n">
        <f aca="false">SUM(AY151:BF151)</f>
        <v>0</v>
      </c>
    </row>
    <row r="152" customFormat="false" ht="15" hidden="false" customHeight="false" outlineLevel="0" collapsed="false">
      <c r="A152" s="0" t="n">
        <v>150</v>
      </c>
      <c r="B152" s="0" t="n">
        <f aca="false">AY151</f>
        <v>0</v>
      </c>
      <c r="C152" s="0" t="n">
        <f aca="false">AZ151</f>
        <v>0</v>
      </c>
      <c r="D152" s="0" t="n">
        <f aca="false">BA151</f>
        <v>0</v>
      </c>
      <c r="E152" s="0" t="n">
        <f aca="false">BB151</f>
        <v>0</v>
      </c>
      <c r="F152" s="0" t="n">
        <f aca="false">BC151</f>
        <v>0</v>
      </c>
      <c r="G152" s="0" t="n">
        <f aca="false">BD151</f>
        <v>0</v>
      </c>
      <c r="H152" s="0" t="n">
        <f aca="false">BE151</f>
        <v>0</v>
      </c>
      <c r="I152" s="0" t="n">
        <f aca="false">BF151</f>
        <v>0</v>
      </c>
      <c r="J152" s="0" t="n">
        <f aca="false">B152*N('Debt Payoff'!D9)/12</f>
        <v>0</v>
      </c>
      <c r="K152" s="0" t="n">
        <f aca="false">C152*N('Debt Payoff'!D10)/12</f>
        <v>0</v>
      </c>
      <c r="L152" s="0" t="n">
        <f aca="false">D152*N('Debt Payoff'!D11)/12</f>
        <v>0</v>
      </c>
      <c r="M152" s="0" t="n">
        <f aca="false">E152*N('Debt Payoff'!D12)/12</f>
        <v>0</v>
      </c>
      <c r="N152" s="0" t="n">
        <f aca="false">F152*N('Debt Payoff'!D13)/12</f>
        <v>0</v>
      </c>
      <c r="O152" s="0" t="n">
        <f aca="false">G152*N('Debt Payoff'!D14)/12</f>
        <v>0</v>
      </c>
      <c r="P152" s="0" t="n">
        <f aca="false">H152*N('Debt Payoff'!D15)/12</f>
        <v>0</v>
      </c>
      <c r="Q152" s="0" t="n">
        <f aca="false">I152*N('Debt Payoff'!D16)/12</f>
        <v>0</v>
      </c>
      <c r="R152" s="0" t="n">
        <f aca="false">B152+J152</f>
        <v>0</v>
      </c>
      <c r="S152" s="0" t="n">
        <f aca="false">C152+K152</f>
        <v>0</v>
      </c>
      <c r="T152" s="0" t="n">
        <f aca="false">D152+L152</f>
        <v>0</v>
      </c>
      <c r="U152" s="0" t="n">
        <f aca="false">E152+M152</f>
        <v>0</v>
      </c>
      <c r="V152" s="0" t="n">
        <f aca="false">F152+N152</f>
        <v>0</v>
      </c>
      <c r="W152" s="0" t="n">
        <f aca="false">G152+O152</f>
        <v>0</v>
      </c>
      <c r="X152" s="0" t="n">
        <f aca="false">H152+P152</f>
        <v>0</v>
      </c>
      <c r="Y152" s="0" t="n">
        <f aca="false">I152+Q152</f>
        <v>0</v>
      </c>
      <c r="Z152" s="0" t="n">
        <f aca="false">MIN(R152,N('Debt Payoff'!E9))</f>
        <v>0</v>
      </c>
      <c r="AA152" s="0" t="n">
        <f aca="false">MIN(S152,N('Debt Payoff'!E10))</f>
        <v>0</v>
      </c>
      <c r="AB152" s="0" t="n">
        <f aca="false">MIN(T152,N('Debt Payoff'!E11))</f>
        <v>0</v>
      </c>
      <c r="AC152" s="0" t="n">
        <f aca="false">MIN(U152,N('Debt Payoff'!E12))</f>
        <v>0</v>
      </c>
      <c r="AD152" s="0" t="n">
        <f aca="false">MIN(V152,N('Debt Payoff'!E13))</f>
        <v>0</v>
      </c>
      <c r="AE152" s="0" t="n">
        <f aca="false">MIN(W152,N('Debt Payoff'!E14))</f>
        <v>0</v>
      </c>
      <c r="AF152" s="0" t="n">
        <f aca="false">MIN(X152,N('Debt Payoff'!E15))</f>
        <v>0</v>
      </c>
      <c r="AG152" s="0" t="n">
        <f aca="false">MIN(Y152,N('Debt Payoff'!E16))</f>
        <v>0</v>
      </c>
      <c r="AH152" s="0" t="n">
        <f aca="false">R152-Z152</f>
        <v>0</v>
      </c>
      <c r="AI152" s="0" t="n">
        <f aca="false">S152-AA152</f>
        <v>0</v>
      </c>
      <c r="AJ152" s="0" t="n">
        <f aca="false">T152-AB152</f>
        <v>0</v>
      </c>
      <c r="AK152" s="0" t="n">
        <f aca="false">U152-AC152</f>
        <v>0</v>
      </c>
      <c r="AL152" s="0" t="n">
        <f aca="false">V152-AD152</f>
        <v>0</v>
      </c>
      <c r="AM152" s="0" t="n">
        <f aca="false">W152-AE152</f>
        <v>0</v>
      </c>
      <c r="AN152" s="0" t="n">
        <f aca="false">X152-AF152</f>
        <v>0</v>
      </c>
      <c r="AO152" s="0" t="n">
        <f aca="false">Y152-AG152</f>
        <v>0</v>
      </c>
      <c r="AP152" s="0" t="n">
        <f aca="false">MAX(0,'Debt Payoff'!$D$17-SUM(Z152:AG152))</f>
        <v>805</v>
      </c>
      <c r="AQ152" s="0" t="n">
        <f aca="false">MIN(AH152,MAX(0,$AP152-SUMPRODUCT(($AH$1:$AO$1&lt;AH$1)*$AH152:$AO152)))</f>
        <v>0</v>
      </c>
      <c r="AR152" s="0" t="n">
        <f aca="false">MIN(AI152,MAX(0,$AP152-SUMPRODUCT(($AH$1:$AO$1&lt;AI$1)*$AH152:$AO152)))</f>
        <v>0</v>
      </c>
      <c r="AS152" s="0" t="n">
        <f aca="false">MIN(AJ152,MAX(0,$AP152-SUMPRODUCT(($AH$1:$AO$1&lt;AJ$1)*$AH152:$AO152)))</f>
        <v>0</v>
      </c>
      <c r="AT152" s="0" t="n">
        <f aca="false">MIN(AK152,MAX(0,$AP152-SUMPRODUCT(($AH$1:$AO$1&lt;AK$1)*$AH152:$AO152)))</f>
        <v>0</v>
      </c>
      <c r="AU152" s="0" t="n">
        <f aca="false">MIN(AL152,MAX(0,$AP152-SUMPRODUCT(($AH$1:$AO$1&lt;AL$1)*$AH152:$AO152)))</f>
        <v>0</v>
      </c>
      <c r="AV152" s="0" t="n">
        <f aca="false">MIN(AM152,MAX(0,$AP152-SUMPRODUCT(($AH$1:$AO$1&lt;AM$1)*$AH152:$AO152)))</f>
        <v>0</v>
      </c>
      <c r="AW152" s="0" t="n">
        <f aca="false">MIN(AN152,MAX(0,$AP152-SUMPRODUCT(($AH$1:$AO$1&lt;AN$1)*$AH152:$AO152)))</f>
        <v>0</v>
      </c>
      <c r="AX152" s="0" t="n">
        <f aca="false">MIN(AO152,MAX(0,$AP152-SUMPRODUCT(($AH$1:$AO$1&lt;AO$1)*$AH152:$AO152)))</f>
        <v>0</v>
      </c>
      <c r="AY152" s="0" t="n">
        <f aca="false">ROUND(AH152-AQ152,2)</f>
        <v>0</v>
      </c>
      <c r="AZ152" s="0" t="n">
        <f aca="false">ROUND(AI152-AR152,2)</f>
        <v>0</v>
      </c>
      <c r="BA152" s="0" t="n">
        <f aca="false">ROUND(AJ152-AS152,2)</f>
        <v>0</v>
      </c>
      <c r="BB152" s="0" t="n">
        <f aca="false">ROUND(AK152-AT152,2)</f>
        <v>0</v>
      </c>
      <c r="BC152" s="0" t="n">
        <f aca="false">ROUND(AL152-AU152,2)</f>
        <v>0</v>
      </c>
      <c r="BD152" s="0" t="n">
        <f aca="false">ROUND(AM152-AV152,2)</f>
        <v>0</v>
      </c>
      <c r="BE152" s="0" t="n">
        <f aca="false">ROUND(AN152-AW152,2)</f>
        <v>0</v>
      </c>
      <c r="BF152" s="0" t="n">
        <f aca="false">ROUND(AO152-AX152,2)</f>
        <v>0</v>
      </c>
      <c r="BG152" s="0" t="n">
        <f aca="false">SUM(AY152:BF152)</f>
        <v>0</v>
      </c>
    </row>
    <row r="153" customFormat="false" ht="15" hidden="false" customHeight="false" outlineLevel="0" collapsed="false">
      <c r="A153" s="0" t="n">
        <v>151</v>
      </c>
      <c r="B153" s="0" t="n">
        <f aca="false">AY152</f>
        <v>0</v>
      </c>
      <c r="C153" s="0" t="n">
        <f aca="false">AZ152</f>
        <v>0</v>
      </c>
      <c r="D153" s="0" t="n">
        <f aca="false">BA152</f>
        <v>0</v>
      </c>
      <c r="E153" s="0" t="n">
        <f aca="false">BB152</f>
        <v>0</v>
      </c>
      <c r="F153" s="0" t="n">
        <f aca="false">BC152</f>
        <v>0</v>
      </c>
      <c r="G153" s="0" t="n">
        <f aca="false">BD152</f>
        <v>0</v>
      </c>
      <c r="H153" s="0" t="n">
        <f aca="false">BE152</f>
        <v>0</v>
      </c>
      <c r="I153" s="0" t="n">
        <f aca="false">BF152</f>
        <v>0</v>
      </c>
      <c r="J153" s="0" t="n">
        <f aca="false">B153*N('Debt Payoff'!D9)/12</f>
        <v>0</v>
      </c>
      <c r="K153" s="0" t="n">
        <f aca="false">C153*N('Debt Payoff'!D10)/12</f>
        <v>0</v>
      </c>
      <c r="L153" s="0" t="n">
        <f aca="false">D153*N('Debt Payoff'!D11)/12</f>
        <v>0</v>
      </c>
      <c r="M153" s="0" t="n">
        <f aca="false">E153*N('Debt Payoff'!D12)/12</f>
        <v>0</v>
      </c>
      <c r="N153" s="0" t="n">
        <f aca="false">F153*N('Debt Payoff'!D13)/12</f>
        <v>0</v>
      </c>
      <c r="O153" s="0" t="n">
        <f aca="false">G153*N('Debt Payoff'!D14)/12</f>
        <v>0</v>
      </c>
      <c r="P153" s="0" t="n">
        <f aca="false">H153*N('Debt Payoff'!D15)/12</f>
        <v>0</v>
      </c>
      <c r="Q153" s="0" t="n">
        <f aca="false">I153*N('Debt Payoff'!D16)/12</f>
        <v>0</v>
      </c>
      <c r="R153" s="0" t="n">
        <f aca="false">B153+J153</f>
        <v>0</v>
      </c>
      <c r="S153" s="0" t="n">
        <f aca="false">C153+K153</f>
        <v>0</v>
      </c>
      <c r="T153" s="0" t="n">
        <f aca="false">D153+L153</f>
        <v>0</v>
      </c>
      <c r="U153" s="0" t="n">
        <f aca="false">E153+M153</f>
        <v>0</v>
      </c>
      <c r="V153" s="0" t="n">
        <f aca="false">F153+N153</f>
        <v>0</v>
      </c>
      <c r="W153" s="0" t="n">
        <f aca="false">G153+O153</f>
        <v>0</v>
      </c>
      <c r="X153" s="0" t="n">
        <f aca="false">H153+P153</f>
        <v>0</v>
      </c>
      <c r="Y153" s="0" t="n">
        <f aca="false">I153+Q153</f>
        <v>0</v>
      </c>
      <c r="Z153" s="0" t="n">
        <f aca="false">MIN(R153,N('Debt Payoff'!E9))</f>
        <v>0</v>
      </c>
      <c r="AA153" s="0" t="n">
        <f aca="false">MIN(S153,N('Debt Payoff'!E10))</f>
        <v>0</v>
      </c>
      <c r="AB153" s="0" t="n">
        <f aca="false">MIN(T153,N('Debt Payoff'!E11))</f>
        <v>0</v>
      </c>
      <c r="AC153" s="0" t="n">
        <f aca="false">MIN(U153,N('Debt Payoff'!E12))</f>
        <v>0</v>
      </c>
      <c r="AD153" s="0" t="n">
        <f aca="false">MIN(V153,N('Debt Payoff'!E13))</f>
        <v>0</v>
      </c>
      <c r="AE153" s="0" t="n">
        <f aca="false">MIN(W153,N('Debt Payoff'!E14))</f>
        <v>0</v>
      </c>
      <c r="AF153" s="0" t="n">
        <f aca="false">MIN(X153,N('Debt Payoff'!E15))</f>
        <v>0</v>
      </c>
      <c r="AG153" s="0" t="n">
        <f aca="false">MIN(Y153,N('Debt Payoff'!E16))</f>
        <v>0</v>
      </c>
      <c r="AH153" s="0" t="n">
        <f aca="false">R153-Z153</f>
        <v>0</v>
      </c>
      <c r="AI153" s="0" t="n">
        <f aca="false">S153-AA153</f>
        <v>0</v>
      </c>
      <c r="AJ153" s="0" t="n">
        <f aca="false">T153-AB153</f>
        <v>0</v>
      </c>
      <c r="AK153" s="0" t="n">
        <f aca="false">U153-AC153</f>
        <v>0</v>
      </c>
      <c r="AL153" s="0" t="n">
        <f aca="false">V153-AD153</f>
        <v>0</v>
      </c>
      <c r="AM153" s="0" t="n">
        <f aca="false">W153-AE153</f>
        <v>0</v>
      </c>
      <c r="AN153" s="0" t="n">
        <f aca="false">X153-AF153</f>
        <v>0</v>
      </c>
      <c r="AO153" s="0" t="n">
        <f aca="false">Y153-AG153</f>
        <v>0</v>
      </c>
      <c r="AP153" s="0" t="n">
        <f aca="false">MAX(0,'Debt Payoff'!$D$17-SUM(Z153:AG153))</f>
        <v>805</v>
      </c>
      <c r="AQ153" s="0" t="n">
        <f aca="false">MIN(AH153,MAX(0,$AP153-SUMPRODUCT(($AH$1:$AO$1&lt;AH$1)*$AH153:$AO153)))</f>
        <v>0</v>
      </c>
      <c r="AR153" s="0" t="n">
        <f aca="false">MIN(AI153,MAX(0,$AP153-SUMPRODUCT(($AH$1:$AO$1&lt;AI$1)*$AH153:$AO153)))</f>
        <v>0</v>
      </c>
      <c r="AS153" s="0" t="n">
        <f aca="false">MIN(AJ153,MAX(0,$AP153-SUMPRODUCT(($AH$1:$AO$1&lt;AJ$1)*$AH153:$AO153)))</f>
        <v>0</v>
      </c>
      <c r="AT153" s="0" t="n">
        <f aca="false">MIN(AK153,MAX(0,$AP153-SUMPRODUCT(($AH$1:$AO$1&lt;AK$1)*$AH153:$AO153)))</f>
        <v>0</v>
      </c>
      <c r="AU153" s="0" t="n">
        <f aca="false">MIN(AL153,MAX(0,$AP153-SUMPRODUCT(($AH$1:$AO$1&lt;AL$1)*$AH153:$AO153)))</f>
        <v>0</v>
      </c>
      <c r="AV153" s="0" t="n">
        <f aca="false">MIN(AM153,MAX(0,$AP153-SUMPRODUCT(($AH$1:$AO$1&lt;AM$1)*$AH153:$AO153)))</f>
        <v>0</v>
      </c>
      <c r="AW153" s="0" t="n">
        <f aca="false">MIN(AN153,MAX(0,$AP153-SUMPRODUCT(($AH$1:$AO$1&lt;AN$1)*$AH153:$AO153)))</f>
        <v>0</v>
      </c>
      <c r="AX153" s="0" t="n">
        <f aca="false">MIN(AO153,MAX(0,$AP153-SUMPRODUCT(($AH$1:$AO$1&lt;AO$1)*$AH153:$AO153)))</f>
        <v>0</v>
      </c>
      <c r="AY153" s="0" t="n">
        <f aca="false">ROUND(AH153-AQ153,2)</f>
        <v>0</v>
      </c>
      <c r="AZ153" s="0" t="n">
        <f aca="false">ROUND(AI153-AR153,2)</f>
        <v>0</v>
      </c>
      <c r="BA153" s="0" t="n">
        <f aca="false">ROUND(AJ153-AS153,2)</f>
        <v>0</v>
      </c>
      <c r="BB153" s="0" t="n">
        <f aca="false">ROUND(AK153-AT153,2)</f>
        <v>0</v>
      </c>
      <c r="BC153" s="0" t="n">
        <f aca="false">ROUND(AL153-AU153,2)</f>
        <v>0</v>
      </c>
      <c r="BD153" s="0" t="n">
        <f aca="false">ROUND(AM153-AV153,2)</f>
        <v>0</v>
      </c>
      <c r="BE153" s="0" t="n">
        <f aca="false">ROUND(AN153-AW153,2)</f>
        <v>0</v>
      </c>
      <c r="BF153" s="0" t="n">
        <f aca="false">ROUND(AO153-AX153,2)</f>
        <v>0</v>
      </c>
      <c r="BG153" s="0" t="n">
        <f aca="false">SUM(AY153:BF153)</f>
        <v>0</v>
      </c>
    </row>
    <row r="154" customFormat="false" ht="15" hidden="false" customHeight="false" outlineLevel="0" collapsed="false">
      <c r="A154" s="0" t="n">
        <v>152</v>
      </c>
      <c r="B154" s="0" t="n">
        <f aca="false">AY153</f>
        <v>0</v>
      </c>
      <c r="C154" s="0" t="n">
        <f aca="false">AZ153</f>
        <v>0</v>
      </c>
      <c r="D154" s="0" t="n">
        <f aca="false">BA153</f>
        <v>0</v>
      </c>
      <c r="E154" s="0" t="n">
        <f aca="false">BB153</f>
        <v>0</v>
      </c>
      <c r="F154" s="0" t="n">
        <f aca="false">BC153</f>
        <v>0</v>
      </c>
      <c r="G154" s="0" t="n">
        <f aca="false">BD153</f>
        <v>0</v>
      </c>
      <c r="H154" s="0" t="n">
        <f aca="false">BE153</f>
        <v>0</v>
      </c>
      <c r="I154" s="0" t="n">
        <f aca="false">BF153</f>
        <v>0</v>
      </c>
      <c r="J154" s="0" t="n">
        <f aca="false">B154*N('Debt Payoff'!D9)/12</f>
        <v>0</v>
      </c>
      <c r="K154" s="0" t="n">
        <f aca="false">C154*N('Debt Payoff'!D10)/12</f>
        <v>0</v>
      </c>
      <c r="L154" s="0" t="n">
        <f aca="false">D154*N('Debt Payoff'!D11)/12</f>
        <v>0</v>
      </c>
      <c r="M154" s="0" t="n">
        <f aca="false">E154*N('Debt Payoff'!D12)/12</f>
        <v>0</v>
      </c>
      <c r="N154" s="0" t="n">
        <f aca="false">F154*N('Debt Payoff'!D13)/12</f>
        <v>0</v>
      </c>
      <c r="O154" s="0" t="n">
        <f aca="false">G154*N('Debt Payoff'!D14)/12</f>
        <v>0</v>
      </c>
      <c r="P154" s="0" t="n">
        <f aca="false">H154*N('Debt Payoff'!D15)/12</f>
        <v>0</v>
      </c>
      <c r="Q154" s="0" t="n">
        <f aca="false">I154*N('Debt Payoff'!D16)/12</f>
        <v>0</v>
      </c>
      <c r="R154" s="0" t="n">
        <f aca="false">B154+J154</f>
        <v>0</v>
      </c>
      <c r="S154" s="0" t="n">
        <f aca="false">C154+K154</f>
        <v>0</v>
      </c>
      <c r="T154" s="0" t="n">
        <f aca="false">D154+L154</f>
        <v>0</v>
      </c>
      <c r="U154" s="0" t="n">
        <f aca="false">E154+M154</f>
        <v>0</v>
      </c>
      <c r="V154" s="0" t="n">
        <f aca="false">F154+N154</f>
        <v>0</v>
      </c>
      <c r="W154" s="0" t="n">
        <f aca="false">G154+O154</f>
        <v>0</v>
      </c>
      <c r="X154" s="0" t="n">
        <f aca="false">H154+P154</f>
        <v>0</v>
      </c>
      <c r="Y154" s="0" t="n">
        <f aca="false">I154+Q154</f>
        <v>0</v>
      </c>
      <c r="Z154" s="0" t="n">
        <f aca="false">MIN(R154,N('Debt Payoff'!E9))</f>
        <v>0</v>
      </c>
      <c r="AA154" s="0" t="n">
        <f aca="false">MIN(S154,N('Debt Payoff'!E10))</f>
        <v>0</v>
      </c>
      <c r="AB154" s="0" t="n">
        <f aca="false">MIN(T154,N('Debt Payoff'!E11))</f>
        <v>0</v>
      </c>
      <c r="AC154" s="0" t="n">
        <f aca="false">MIN(U154,N('Debt Payoff'!E12))</f>
        <v>0</v>
      </c>
      <c r="AD154" s="0" t="n">
        <f aca="false">MIN(V154,N('Debt Payoff'!E13))</f>
        <v>0</v>
      </c>
      <c r="AE154" s="0" t="n">
        <f aca="false">MIN(W154,N('Debt Payoff'!E14))</f>
        <v>0</v>
      </c>
      <c r="AF154" s="0" t="n">
        <f aca="false">MIN(X154,N('Debt Payoff'!E15))</f>
        <v>0</v>
      </c>
      <c r="AG154" s="0" t="n">
        <f aca="false">MIN(Y154,N('Debt Payoff'!E16))</f>
        <v>0</v>
      </c>
      <c r="AH154" s="0" t="n">
        <f aca="false">R154-Z154</f>
        <v>0</v>
      </c>
      <c r="AI154" s="0" t="n">
        <f aca="false">S154-AA154</f>
        <v>0</v>
      </c>
      <c r="AJ154" s="0" t="n">
        <f aca="false">T154-AB154</f>
        <v>0</v>
      </c>
      <c r="AK154" s="0" t="n">
        <f aca="false">U154-AC154</f>
        <v>0</v>
      </c>
      <c r="AL154" s="0" t="n">
        <f aca="false">V154-AD154</f>
        <v>0</v>
      </c>
      <c r="AM154" s="0" t="n">
        <f aca="false">W154-AE154</f>
        <v>0</v>
      </c>
      <c r="AN154" s="0" t="n">
        <f aca="false">X154-AF154</f>
        <v>0</v>
      </c>
      <c r="AO154" s="0" t="n">
        <f aca="false">Y154-AG154</f>
        <v>0</v>
      </c>
      <c r="AP154" s="0" t="n">
        <f aca="false">MAX(0,'Debt Payoff'!$D$17-SUM(Z154:AG154))</f>
        <v>805</v>
      </c>
      <c r="AQ154" s="0" t="n">
        <f aca="false">MIN(AH154,MAX(0,$AP154-SUMPRODUCT(($AH$1:$AO$1&lt;AH$1)*$AH154:$AO154)))</f>
        <v>0</v>
      </c>
      <c r="AR154" s="0" t="n">
        <f aca="false">MIN(AI154,MAX(0,$AP154-SUMPRODUCT(($AH$1:$AO$1&lt;AI$1)*$AH154:$AO154)))</f>
        <v>0</v>
      </c>
      <c r="AS154" s="0" t="n">
        <f aca="false">MIN(AJ154,MAX(0,$AP154-SUMPRODUCT(($AH$1:$AO$1&lt;AJ$1)*$AH154:$AO154)))</f>
        <v>0</v>
      </c>
      <c r="AT154" s="0" t="n">
        <f aca="false">MIN(AK154,MAX(0,$AP154-SUMPRODUCT(($AH$1:$AO$1&lt;AK$1)*$AH154:$AO154)))</f>
        <v>0</v>
      </c>
      <c r="AU154" s="0" t="n">
        <f aca="false">MIN(AL154,MAX(0,$AP154-SUMPRODUCT(($AH$1:$AO$1&lt;AL$1)*$AH154:$AO154)))</f>
        <v>0</v>
      </c>
      <c r="AV154" s="0" t="n">
        <f aca="false">MIN(AM154,MAX(0,$AP154-SUMPRODUCT(($AH$1:$AO$1&lt;AM$1)*$AH154:$AO154)))</f>
        <v>0</v>
      </c>
      <c r="AW154" s="0" t="n">
        <f aca="false">MIN(AN154,MAX(0,$AP154-SUMPRODUCT(($AH$1:$AO$1&lt;AN$1)*$AH154:$AO154)))</f>
        <v>0</v>
      </c>
      <c r="AX154" s="0" t="n">
        <f aca="false">MIN(AO154,MAX(0,$AP154-SUMPRODUCT(($AH$1:$AO$1&lt;AO$1)*$AH154:$AO154)))</f>
        <v>0</v>
      </c>
      <c r="AY154" s="0" t="n">
        <f aca="false">ROUND(AH154-AQ154,2)</f>
        <v>0</v>
      </c>
      <c r="AZ154" s="0" t="n">
        <f aca="false">ROUND(AI154-AR154,2)</f>
        <v>0</v>
      </c>
      <c r="BA154" s="0" t="n">
        <f aca="false">ROUND(AJ154-AS154,2)</f>
        <v>0</v>
      </c>
      <c r="BB154" s="0" t="n">
        <f aca="false">ROUND(AK154-AT154,2)</f>
        <v>0</v>
      </c>
      <c r="BC154" s="0" t="n">
        <f aca="false">ROUND(AL154-AU154,2)</f>
        <v>0</v>
      </c>
      <c r="BD154" s="0" t="n">
        <f aca="false">ROUND(AM154-AV154,2)</f>
        <v>0</v>
      </c>
      <c r="BE154" s="0" t="n">
        <f aca="false">ROUND(AN154-AW154,2)</f>
        <v>0</v>
      </c>
      <c r="BF154" s="0" t="n">
        <f aca="false">ROUND(AO154-AX154,2)</f>
        <v>0</v>
      </c>
      <c r="BG154" s="0" t="n">
        <f aca="false">SUM(AY154:BF154)</f>
        <v>0</v>
      </c>
    </row>
    <row r="155" customFormat="false" ht="15" hidden="false" customHeight="false" outlineLevel="0" collapsed="false">
      <c r="A155" s="0" t="n">
        <v>153</v>
      </c>
      <c r="B155" s="0" t="n">
        <f aca="false">AY154</f>
        <v>0</v>
      </c>
      <c r="C155" s="0" t="n">
        <f aca="false">AZ154</f>
        <v>0</v>
      </c>
      <c r="D155" s="0" t="n">
        <f aca="false">BA154</f>
        <v>0</v>
      </c>
      <c r="E155" s="0" t="n">
        <f aca="false">BB154</f>
        <v>0</v>
      </c>
      <c r="F155" s="0" t="n">
        <f aca="false">BC154</f>
        <v>0</v>
      </c>
      <c r="G155" s="0" t="n">
        <f aca="false">BD154</f>
        <v>0</v>
      </c>
      <c r="H155" s="0" t="n">
        <f aca="false">BE154</f>
        <v>0</v>
      </c>
      <c r="I155" s="0" t="n">
        <f aca="false">BF154</f>
        <v>0</v>
      </c>
      <c r="J155" s="0" t="n">
        <f aca="false">B155*N('Debt Payoff'!D9)/12</f>
        <v>0</v>
      </c>
      <c r="K155" s="0" t="n">
        <f aca="false">C155*N('Debt Payoff'!D10)/12</f>
        <v>0</v>
      </c>
      <c r="L155" s="0" t="n">
        <f aca="false">D155*N('Debt Payoff'!D11)/12</f>
        <v>0</v>
      </c>
      <c r="M155" s="0" t="n">
        <f aca="false">E155*N('Debt Payoff'!D12)/12</f>
        <v>0</v>
      </c>
      <c r="N155" s="0" t="n">
        <f aca="false">F155*N('Debt Payoff'!D13)/12</f>
        <v>0</v>
      </c>
      <c r="O155" s="0" t="n">
        <f aca="false">G155*N('Debt Payoff'!D14)/12</f>
        <v>0</v>
      </c>
      <c r="P155" s="0" t="n">
        <f aca="false">H155*N('Debt Payoff'!D15)/12</f>
        <v>0</v>
      </c>
      <c r="Q155" s="0" t="n">
        <f aca="false">I155*N('Debt Payoff'!D16)/12</f>
        <v>0</v>
      </c>
      <c r="R155" s="0" t="n">
        <f aca="false">B155+J155</f>
        <v>0</v>
      </c>
      <c r="S155" s="0" t="n">
        <f aca="false">C155+K155</f>
        <v>0</v>
      </c>
      <c r="T155" s="0" t="n">
        <f aca="false">D155+L155</f>
        <v>0</v>
      </c>
      <c r="U155" s="0" t="n">
        <f aca="false">E155+M155</f>
        <v>0</v>
      </c>
      <c r="V155" s="0" t="n">
        <f aca="false">F155+N155</f>
        <v>0</v>
      </c>
      <c r="W155" s="0" t="n">
        <f aca="false">G155+O155</f>
        <v>0</v>
      </c>
      <c r="X155" s="0" t="n">
        <f aca="false">H155+P155</f>
        <v>0</v>
      </c>
      <c r="Y155" s="0" t="n">
        <f aca="false">I155+Q155</f>
        <v>0</v>
      </c>
      <c r="Z155" s="0" t="n">
        <f aca="false">MIN(R155,N('Debt Payoff'!E9))</f>
        <v>0</v>
      </c>
      <c r="AA155" s="0" t="n">
        <f aca="false">MIN(S155,N('Debt Payoff'!E10))</f>
        <v>0</v>
      </c>
      <c r="AB155" s="0" t="n">
        <f aca="false">MIN(T155,N('Debt Payoff'!E11))</f>
        <v>0</v>
      </c>
      <c r="AC155" s="0" t="n">
        <f aca="false">MIN(U155,N('Debt Payoff'!E12))</f>
        <v>0</v>
      </c>
      <c r="AD155" s="0" t="n">
        <f aca="false">MIN(V155,N('Debt Payoff'!E13))</f>
        <v>0</v>
      </c>
      <c r="AE155" s="0" t="n">
        <f aca="false">MIN(W155,N('Debt Payoff'!E14))</f>
        <v>0</v>
      </c>
      <c r="AF155" s="0" t="n">
        <f aca="false">MIN(X155,N('Debt Payoff'!E15))</f>
        <v>0</v>
      </c>
      <c r="AG155" s="0" t="n">
        <f aca="false">MIN(Y155,N('Debt Payoff'!E16))</f>
        <v>0</v>
      </c>
      <c r="AH155" s="0" t="n">
        <f aca="false">R155-Z155</f>
        <v>0</v>
      </c>
      <c r="AI155" s="0" t="n">
        <f aca="false">S155-AA155</f>
        <v>0</v>
      </c>
      <c r="AJ155" s="0" t="n">
        <f aca="false">T155-AB155</f>
        <v>0</v>
      </c>
      <c r="AK155" s="0" t="n">
        <f aca="false">U155-AC155</f>
        <v>0</v>
      </c>
      <c r="AL155" s="0" t="n">
        <f aca="false">V155-AD155</f>
        <v>0</v>
      </c>
      <c r="AM155" s="0" t="n">
        <f aca="false">W155-AE155</f>
        <v>0</v>
      </c>
      <c r="AN155" s="0" t="n">
        <f aca="false">X155-AF155</f>
        <v>0</v>
      </c>
      <c r="AO155" s="0" t="n">
        <f aca="false">Y155-AG155</f>
        <v>0</v>
      </c>
      <c r="AP155" s="0" t="n">
        <f aca="false">MAX(0,'Debt Payoff'!$D$17-SUM(Z155:AG155))</f>
        <v>805</v>
      </c>
      <c r="AQ155" s="0" t="n">
        <f aca="false">MIN(AH155,MAX(0,$AP155-SUMPRODUCT(($AH$1:$AO$1&lt;AH$1)*$AH155:$AO155)))</f>
        <v>0</v>
      </c>
      <c r="AR155" s="0" t="n">
        <f aca="false">MIN(AI155,MAX(0,$AP155-SUMPRODUCT(($AH$1:$AO$1&lt;AI$1)*$AH155:$AO155)))</f>
        <v>0</v>
      </c>
      <c r="AS155" s="0" t="n">
        <f aca="false">MIN(AJ155,MAX(0,$AP155-SUMPRODUCT(($AH$1:$AO$1&lt;AJ$1)*$AH155:$AO155)))</f>
        <v>0</v>
      </c>
      <c r="AT155" s="0" t="n">
        <f aca="false">MIN(AK155,MAX(0,$AP155-SUMPRODUCT(($AH$1:$AO$1&lt;AK$1)*$AH155:$AO155)))</f>
        <v>0</v>
      </c>
      <c r="AU155" s="0" t="n">
        <f aca="false">MIN(AL155,MAX(0,$AP155-SUMPRODUCT(($AH$1:$AO$1&lt;AL$1)*$AH155:$AO155)))</f>
        <v>0</v>
      </c>
      <c r="AV155" s="0" t="n">
        <f aca="false">MIN(AM155,MAX(0,$AP155-SUMPRODUCT(($AH$1:$AO$1&lt;AM$1)*$AH155:$AO155)))</f>
        <v>0</v>
      </c>
      <c r="AW155" s="0" t="n">
        <f aca="false">MIN(AN155,MAX(0,$AP155-SUMPRODUCT(($AH$1:$AO$1&lt;AN$1)*$AH155:$AO155)))</f>
        <v>0</v>
      </c>
      <c r="AX155" s="0" t="n">
        <f aca="false">MIN(AO155,MAX(0,$AP155-SUMPRODUCT(($AH$1:$AO$1&lt;AO$1)*$AH155:$AO155)))</f>
        <v>0</v>
      </c>
      <c r="AY155" s="0" t="n">
        <f aca="false">ROUND(AH155-AQ155,2)</f>
        <v>0</v>
      </c>
      <c r="AZ155" s="0" t="n">
        <f aca="false">ROUND(AI155-AR155,2)</f>
        <v>0</v>
      </c>
      <c r="BA155" s="0" t="n">
        <f aca="false">ROUND(AJ155-AS155,2)</f>
        <v>0</v>
      </c>
      <c r="BB155" s="0" t="n">
        <f aca="false">ROUND(AK155-AT155,2)</f>
        <v>0</v>
      </c>
      <c r="BC155" s="0" t="n">
        <f aca="false">ROUND(AL155-AU155,2)</f>
        <v>0</v>
      </c>
      <c r="BD155" s="0" t="n">
        <f aca="false">ROUND(AM155-AV155,2)</f>
        <v>0</v>
      </c>
      <c r="BE155" s="0" t="n">
        <f aca="false">ROUND(AN155-AW155,2)</f>
        <v>0</v>
      </c>
      <c r="BF155" s="0" t="n">
        <f aca="false">ROUND(AO155-AX155,2)</f>
        <v>0</v>
      </c>
      <c r="BG155" s="0" t="n">
        <f aca="false">SUM(AY155:BF155)</f>
        <v>0</v>
      </c>
    </row>
    <row r="156" customFormat="false" ht="15" hidden="false" customHeight="false" outlineLevel="0" collapsed="false">
      <c r="A156" s="0" t="n">
        <v>154</v>
      </c>
      <c r="B156" s="0" t="n">
        <f aca="false">AY155</f>
        <v>0</v>
      </c>
      <c r="C156" s="0" t="n">
        <f aca="false">AZ155</f>
        <v>0</v>
      </c>
      <c r="D156" s="0" t="n">
        <f aca="false">BA155</f>
        <v>0</v>
      </c>
      <c r="E156" s="0" t="n">
        <f aca="false">BB155</f>
        <v>0</v>
      </c>
      <c r="F156" s="0" t="n">
        <f aca="false">BC155</f>
        <v>0</v>
      </c>
      <c r="G156" s="0" t="n">
        <f aca="false">BD155</f>
        <v>0</v>
      </c>
      <c r="H156" s="0" t="n">
        <f aca="false">BE155</f>
        <v>0</v>
      </c>
      <c r="I156" s="0" t="n">
        <f aca="false">BF155</f>
        <v>0</v>
      </c>
      <c r="J156" s="0" t="n">
        <f aca="false">B156*N('Debt Payoff'!D9)/12</f>
        <v>0</v>
      </c>
      <c r="K156" s="0" t="n">
        <f aca="false">C156*N('Debt Payoff'!D10)/12</f>
        <v>0</v>
      </c>
      <c r="L156" s="0" t="n">
        <f aca="false">D156*N('Debt Payoff'!D11)/12</f>
        <v>0</v>
      </c>
      <c r="M156" s="0" t="n">
        <f aca="false">E156*N('Debt Payoff'!D12)/12</f>
        <v>0</v>
      </c>
      <c r="N156" s="0" t="n">
        <f aca="false">F156*N('Debt Payoff'!D13)/12</f>
        <v>0</v>
      </c>
      <c r="O156" s="0" t="n">
        <f aca="false">G156*N('Debt Payoff'!D14)/12</f>
        <v>0</v>
      </c>
      <c r="P156" s="0" t="n">
        <f aca="false">H156*N('Debt Payoff'!D15)/12</f>
        <v>0</v>
      </c>
      <c r="Q156" s="0" t="n">
        <f aca="false">I156*N('Debt Payoff'!D16)/12</f>
        <v>0</v>
      </c>
      <c r="R156" s="0" t="n">
        <f aca="false">B156+J156</f>
        <v>0</v>
      </c>
      <c r="S156" s="0" t="n">
        <f aca="false">C156+K156</f>
        <v>0</v>
      </c>
      <c r="T156" s="0" t="n">
        <f aca="false">D156+L156</f>
        <v>0</v>
      </c>
      <c r="U156" s="0" t="n">
        <f aca="false">E156+M156</f>
        <v>0</v>
      </c>
      <c r="V156" s="0" t="n">
        <f aca="false">F156+N156</f>
        <v>0</v>
      </c>
      <c r="W156" s="0" t="n">
        <f aca="false">G156+O156</f>
        <v>0</v>
      </c>
      <c r="X156" s="0" t="n">
        <f aca="false">H156+P156</f>
        <v>0</v>
      </c>
      <c r="Y156" s="0" t="n">
        <f aca="false">I156+Q156</f>
        <v>0</v>
      </c>
      <c r="Z156" s="0" t="n">
        <f aca="false">MIN(R156,N('Debt Payoff'!E9))</f>
        <v>0</v>
      </c>
      <c r="AA156" s="0" t="n">
        <f aca="false">MIN(S156,N('Debt Payoff'!E10))</f>
        <v>0</v>
      </c>
      <c r="AB156" s="0" t="n">
        <f aca="false">MIN(T156,N('Debt Payoff'!E11))</f>
        <v>0</v>
      </c>
      <c r="AC156" s="0" t="n">
        <f aca="false">MIN(U156,N('Debt Payoff'!E12))</f>
        <v>0</v>
      </c>
      <c r="AD156" s="0" t="n">
        <f aca="false">MIN(V156,N('Debt Payoff'!E13))</f>
        <v>0</v>
      </c>
      <c r="AE156" s="0" t="n">
        <f aca="false">MIN(W156,N('Debt Payoff'!E14))</f>
        <v>0</v>
      </c>
      <c r="AF156" s="0" t="n">
        <f aca="false">MIN(X156,N('Debt Payoff'!E15))</f>
        <v>0</v>
      </c>
      <c r="AG156" s="0" t="n">
        <f aca="false">MIN(Y156,N('Debt Payoff'!E16))</f>
        <v>0</v>
      </c>
      <c r="AH156" s="0" t="n">
        <f aca="false">R156-Z156</f>
        <v>0</v>
      </c>
      <c r="AI156" s="0" t="n">
        <f aca="false">S156-AA156</f>
        <v>0</v>
      </c>
      <c r="AJ156" s="0" t="n">
        <f aca="false">T156-AB156</f>
        <v>0</v>
      </c>
      <c r="AK156" s="0" t="n">
        <f aca="false">U156-AC156</f>
        <v>0</v>
      </c>
      <c r="AL156" s="0" t="n">
        <f aca="false">V156-AD156</f>
        <v>0</v>
      </c>
      <c r="AM156" s="0" t="n">
        <f aca="false">W156-AE156</f>
        <v>0</v>
      </c>
      <c r="AN156" s="0" t="n">
        <f aca="false">X156-AF156</f>
        <v>0</v>
      </c>
      <c r="AO156" s="0" t="n">
        <f aca="false">Y156-AG156</f>
        <v>0</v>
      </c>
      <c r="AP156" s="0" t="n">
        <f aca="false">MAX(0,'Debt Payoff'!$D$17-SUM(Z156:AG156))</f>
        <v>805</v>
      </c>
      <c r="AQ156" s="0" t="n">
        <f aca="false">MIN(AH156,MAX(0,$AP156-SUMPRODUCT(($AH$1:$AO$1&lt;AH$1)*$AH156:$AO156)))</f>
        <v>0</v>
      </c>
      <c r="AR156" s="0" t="n">
        <f aca="false">MIN(AI156,MAX(0,$AP156-SUMPRODUCT(($AH$1:$AO$1&lt;AI$1)*$AH156:$AO156)))</f>
        <v>0</v>
      </c>
      <c r="AS156" s="0" t="n">
        <f aca="false">MIN(AJ156,MAX(0,$AP156-SUMPRODUCT(($AH$1:$AO$1&lt;AJ$1)*$AH156:$AO156)))</f>
        <v>0</v>
      </c>
      <c r="AT156" s="0" t="n">
        <f aca="false">MIN(AK156,MAX(0,$AP156-SUMPRODUCT(($AH$1:$AO$1&lt;AK$1)*$AH156:$AO156)))</f>
        <v>0</v>
      </c>
      <c r="AU156" s="0" t="n">
        <f aca="false">MIN(AL156,MAX(0,$AP156-SUMPRODUCT(($AH$1:$AO$1&lt;AL$1)*$AH156:$AO156)))</f>
        <v>0</v>
      </c>
      <c r="AV156" s="0" t="n">
        <f aca="false">MIN(AM156,MAX(0,$AP156-SUMPRODUCT(($AH$1:$AO$1&lt;AM$1)*$AH156:$AO156)))</f>
        <v>0</v>
      </c>
      <c r="AW156" s="0" t="n">
        <f aca="false">MIN(AN156,MAX(0,$AP156-SUMPRODUCT(($AH$1:$AO$1&lt;AN$1)*$AH156:$AO156)))</f>
        <v>0</v>
      </c>
      <c r="AX156" s="0" t="n">
        <f aca="false">MIN(AO156,MAX(0,$AP156-SUMPRODUCT(($AH$1:$AO$1&lt;AO$1)*$AH156:$AO156)))</f>
        <v>0</v>
      </c>
      <c r="AY156" s="0" t="n">
        <f aca="false">ROUND(AH156-AQ156,2)</f>
        <v>0</v>
      </c>
      <c r="AZ156" s="0" t="n">
        <f aca="false">ROUND(AI156-AR156,2)</f>
        <v>0</v>
      </c>
      <c r="BA156" s="0" t="n">
        <f aca="false">ROUND(AJ156-AS156,2)</f>
        <v>0</v>
      </c>
      <c r="BB156" s="0" t="n">
        <f aca="false">ROUND(AK156-AT156,2)</f>
        <v>0</v>
      </c>
      <c r="BC156" s="0" t="n">
        <f aca="false">ROUND(AL156-AU156,2)</f>
        <v>0</v>
      </c>
      <c r="BD156" s="0" t="n">
        <f aca="false">ROUND(AM156-AV156,2)</f>
        <v>0</v>
      </c>
      <c r="BE156" s="0" t="n">
        <f aca="false">ROUND(AN156-AW156,2)</f>
        <v>0</v>
      </c>
      <c r="BF156" s="0" t="n">
        <f aca="false">ROUND(AO156-AX156,2)</f>
        <v>0</v>
      </c>
      <c r="BG156" s="0" t="n">
        <f aca="false">SUM(AY156:BF156)</f>
        <v>0</v>
      </c>
    </row>
    <row r="157" customFormat="false" ht="15" hidden="false" customHeight="false" outlineLevel="0" collapsed="false">
      <c r="A157" s="0" t="n">
        <v>155</v>
      </c>
      <c r="B157" s="0" t="n">
        <f aca="false">AY156</f>
        <v>0</v>
      </c>
      <c r="C157" s="0" t="n">
        <f aca="false">AZ156</f>
        <v>0</v>
      </c>
      <c r="D157" s="0" t="n">
        <f aca="false">BA156</f>
        <v>0</v>
      </c>
      <c r="E157" s="0" t="n">
        <f aca="false">BB156</f>
        <v>0</v>
      </c>
      <c r="F157" s="0" t="n">
        <f aca="false">BC156</f>
        <v>0</v>
      </c>
      <c r="G157" s="0" t="n">
        <f aca="false">BD156</f>
        <v>0</v>
      </c>
      <c r="H157" s="0" t="n">
        <f aca="false">BE156</f>
        <v>0</v>
      </c>
      <c r="I157" s="0" t="n">
        <f aca="false">BF156</f>
        <v>0</v>
      </c>
      <c r="J157" s="0" t="n">
        <f aca="false">B157*N('Debt Payoff'!D9)/12</f>
        <v>0</v>
      </c>
      <c r="K157" s="0" t="n">
        <f aca="false">C157*N('Debt Payoff'!D10)/12</f>
        <v>0</v>
      </c>
      <c r="L157" s="0" t="n">
        <f aca="false">D157*N('Debt Payoff'!D11)/12</f>
        <v>0</v>
      </c>
      <c r="M157" s="0" t="n">
        <f aca="false">E157*N('Debt Payoff'!D12)/12</f>
        <v>0</v>
      </c>
      <c r="N157" s="0" t="n">
        <f aca="false">F157*N('Debt Payoff'!D13)/12</f>
        <v>0</v>
      </c>
      <c r="O157" s="0" t="n">
        <f aca="false">G157*N('Debt Payoff'!D14)/12</f>
        <v>0</v>
      </c>
      <c r="P157" s="0" t="n">
        <f aca="false">H157*N('Debt Payoff'!D15)/12</f>
        <v>0</v>
      </c>
      <c r="Q157" s="0" t="n">
        <f aca="false">I157*N('Debt Payoff'!D16)/12</f>
        <v>0</v>
      </c>
      <c r="R157" s="0" t="n">
        <f aca="false">B157+J157</f>
        <v>0</v>
      </c>
      <c r="S157" s="0" t="n">
        <f aca="false">C157+K157</f>
        <v>0</v>
      </c>
      <c r="T157" s="0" t="n">
        <f aca="false">D157+L157</f>
        <v>0</v>
      </c>
      <c r="U157" s="0" t="n">
        <f aca="false">E157+M157</f>
        <v>0</v>
      </c>
      <c r="V157" s="0" t="n">
        <f aca="false">F157+N157</f>
        <v>0</v>
      </c>
      <c r="W157" s="0" t="n">
        <f aca="false">G157+O157</f>
        <v>0</v>
      </c>
      <c r="X157" s="0" t="n">
        <f aca="false">H157+P157</f>
        <v>0</v>
      </c>
      <c r="Y157" s="0" t="n">
        <f aca="false">I157+Q157</f>
        <v>0</v>
      </c>
      <c r="Z157" s="0" t="n">
        <f aca="false">MIN(R157,N('Debt Payoff'!E9))</f>
        <v>0</v>
      </c>
      <c r="AA157" s="0" t="n">
        <f aca="false">MIN(S157,N('Debt Payoff'!E10))</f>
        <v>0</v>
      </c>
      <c r="AB157" s="0" t="n">
        <f aca="false">MIN(T157,N('Debt Payoff'!E11))</f>
        <v>0</v>
      </c>
      <c r="AC157" s="0" t="n">
        <f aca="false">MIN(U157,N('Debt Payoff'!E12))</f>
        <v>0</v>
      </c>
      <c r="AD157" s="0" t="n">
        <f aca="false">MIN(V157,N('Debt Payoff'!E13))</f>
        <v>0</v>
      </c>
      <c r="AE157" s="0" t="n">
        <f aca="false">MIN(W157,N('Debt Payoff'!E14))</f>
        <v>0</v>
      </c>
      <c r="AF157" s="0" t="n">
        <f aca="false">MIN(X157,N('Debt Payoff'!E15))</f>
        <v>0</v>
      </c>
      <c r="AG157" s="0" t="n">
        <f aca="false">MIN(Y157,N('Debt Payoff'!E16))</f>
        <v>0</v>
      </c>
      <c r="AH157" s="0" t="n">
        <f aca="false">R157-Z157</f>
        <v>0</v>
      </c>
      <c r="AI157" s="0" t="n">
        <f aca="false">S157-AA157</f>
        <v>0</v>
      </c>
      <c r="AJ157" s="0" t="n">
        <f aca="false">T157-AB157</f>
        <v>0</v>
      </c>
      <c r="AK157" s="0" t="n">
        <f aca="false">U157-AC157</f>
        <v>0</v>
      </c>
      <c r="AL157" s="0" t="n">
        <f aca="false">V157-AD157</f>
        <v>0</v>
      </c>
      <c r="AM157" s="0" t="n">
        <f aca="false">W157-AE157</f>
        <v>0</v>
      </c>
      <c r="AN157" s="0" t="n">
        <f aca="false">X157-AF157</f>
        <v>0</v>
      </c>
      <c r="AO157" s="0" t="n">
        <f aca="false">Y157-AG157</f>
        <v>0</v>
      </c>
      <c r="AP157" s="0" t="n">
        <f aca="false">MAX(0,'Debt Payoff'!$D$17-SUM(Z157:AG157))</f>
        <v>805</v>
      </c>
      <c r="AQ157" s="0" t="n">
        <f aca="false">MIN(AH157,MAX(0,$AP157-SUMPRODUCT(($AH$1:$AO$1&lt;AH$1)*$AH157:$AO157)))</f>
        <v>0</v>
      </c>
      <c r="AR157" s="0" t="n">
        <f aca="false">MIN(AI157,MAX(0,$AP157-SUMPRODUCT(($AH$1:$AO$1&lt;AI$1)*$AH157:$AO157)))</f>
        <v>0</v>
      </c>
      <c r="AS157" s="0" t="n">
        <f aca="false">MIN(AJ157,MAX(0,$AP157-SUMPRODUCT(($AH$1:$AO$1&lt;AJ$1)*$AH157:$AO157)))</f>
        <v>0</v>
      </c>
      <c r="AT157" s="0" t="n">
        <f aca="false">MIN(AK157,MAX(0,$AP157-SUMPRODUCT(($AH$1:$AO$1&lt;AK$1)*$AH157:$AO157)))</f>
        <v>0</v>
      </c>
      <c r="AU157" s="0" t="n">
        <f aca="false">MIN(AL157,MAX(0,$AP157-SUMPRODUCT(($AH$1:$AO$1&lt;AL$1)*$AH157:$AO157)))</f>
        <v>0</v>
      </c>
      <c r="AV157" s="0" t="n">
        <f aca="false">MIN(AM157,MAX(0,$AP157-SUMPRODUCT(($AH$1:$AO$1&lt;AM$1)*$AH157:$AO157)))</f>
        <v>0</v>
      </c>
      <c r="AW157" s="0" t="n">
        <f aca="false">MIN(AN157,MAX(0,$AP157-SUMPRODUCT(($AH$1:$AO$1&lt;AN$1)*$AH157:$AO157)))</f>
        <v>0</v>
      </c>
      <c r="AX157" s="0" t="n">
        <f aca="false">MIN(AO157,MAX(0,$AP157-SUMPRODUCT(($AH$1:$AO$1&lt;AO$1)*$AH157:$AO157)))</f>
        <v>0</v>
      </c>
      <c r="AY157" s="0" t="n">
        <f aca="false">ROUND(AH157-AQ157,2)</f>
        <v>0</v>
      </c>
      <c r="AZ157" s="0" t="n">
        <f aca="false">ROUND(AI157-AR157,2)</f>
        <v>0</v>
      </c>
      <c r="BA157" s="0" t="n">
        <f aca="false">ROUND(AJ157-AS157,2)</f>
        <v>0</v>
      </c>
      <c r="BB157" s="0" t="n">
        <f aca="false">ROUND(AK157-AT157,2)</f>
        <v>0</v>
      </c>
      <c r="BC157" s="0" t="n">
        <f aca="false">ROUND(AL157-AU157,2)</f>
        <v>0</v>
      </c>
      <c r="BD157" s="0" t="n">
        <f aca="false">ROUND(AM157-AV157,2)</f>
        <v>0</v>
      </c>
      <c r="BE157" s="0" t="n">
        <f aca="false">ROUND(AN157-AW157,2)</f>
        <v>0</v>
      </c>
      <c r="BF157" s="0" t="n">
        <f aca="false">ROUND(AO157-AX157,2)</f>
        <v>0</v>
      </c>
      <c r="BG157" s="0" t="n">
        <f aca="false">SUM(AY157:BF157)</f>
        <v>0</v>
      </c>
    </row>
    <row r="158" customFormat="false" ht="15" hidden="false" customHeight="false" outlineLevel="0" collapsed="false">
      <c r="A158" s="0" t="n">
        <v>156</v>
      </c>
      <c r="B158" s="0" t="n">
        <f aca="false">AY157</f>
        <v>0</v>
      </c>
      <c r="C158" s="0" t="n">
        <f aca="false">AZ157</f>
        <v>0</v>
      </c>
      <c r="D158" s="0" t="n">
        <f aca="false">BA157</f>
        <v>0</v>
      </c>
      <c r="E158" s="0" t="n">
        <f aca="false">BB157</f>
        <v>0</v>
      </c>
      <c r="F158" s="0" t="n">
        <f aca="false">BC157</f>
        <v>0</v>
      </c>
      <c r="G158" s="0" t="n">
        <f aca="false">BD157</f>
        <v>0</v>
      </c>
      <c r="H158" s="0" t="n">
        <f aca="false">BE157</f>
        <v>0</v>
      </c>
      <c r="I158" s="0" t="n">
        <f aca="false">BF157</f>
        <v>0</v>
      </c>
      <c r="J158" s="0" t="n">
        <f aca="false">B158*N('Debt Payoff'!D9)/12</f>
        <v>0</v>
      </c>
      <c r="K158" s="0" t="n">
        <f aca="false">C158*N('Debt Payoff'!D10)/12</f>
        <v>0</v>
      </c>
      <c r="L158" s="0" t="n">
        <f aca="false">D158*N('Debt Payoff'!D11)/12</f>
        <v>0</v>
      </c>
      <c r="M158" s="0" t="n">
        <f aca="false">E158*N('Debt Payoff'!D12)/12</f>
        <v>0</v>
      </c>
      <c r="N158" s="0" t="n">
        <f aca="false">F158*N('Debt Payoff'!D13)/12</f>
        <v>0</v>
      </c>
      <c r="O158" s="0" t="n">
        <f aca="false">G158*N('Debt Payoff'!D14)/12</f>
        <v>0</v>
      </c>
      <c r="P158" s="0" t="n">
        <f aca="false">H158*N('Debt Payoff'!D15)/12</f>
        <v>0</v>
      </c>
      <c r="Q158" s="0" t="n">
        <f aca="false">I158*N('Debt Payoff'!D16)/12</f>
        <v>0</v>
      </c>
      <c r="R158" s="0" t="n">
        <f aca="false">B158+J158</f>
        <v>0</v>
      </c>
      <c r="S158" s="0" t="n">
        <f aca="false">C158+K158</f>
        <v>0</v>
      </c>
      <c r="T158" s="0" t="n">
        <f aca="false">D158+L158</f>
        <v>0</v>
      </c>
      <c r="U158" s="0" t="n">
        <f aca="false">E158+M158</f>
        <v>0</v>
      </c>
      <c r="V158" s="0" t="n">
        <f aca="false">F158+N158</f>
        <v>0</v>
      </c>
      <c r="W158" s="0" t="n">
        <f aca="false">G158+O158</f>
        <v>0</v>
      </c>
      <c r="X158" s="0" t="n">
        <f aca="false">H158+P158</f>
        <v>0</v>
      </c>
      <c r="Y158" s="0" t="n">
        <f aca="false">I158+Q158</f>
        <v>0</v>
      </c>
      <c r="Z158" s="0" t="n">
        <f aca="false">MIN(R158,N('Debt Payoff'!E9))</f>
        <v>0</v>
      </c>
      <c r="AA158" s="0" t="n">
        <f aca="false">MIN(S158,N('Debt Payoff'!E10))</f>
        <v>0</v>
      </c>
      <c r="AB158" s="0" t="n">
        <f aca="false">MIN(T158,N('Debt Payoff'!E11))</f>
        <v>0</v>
      </c>
      <c r="AC158" s="0" t="n">
        <f aca="false">MIN(U158,N('Debt Payoff'!E12))</f>
        <v>0</v>
      </c>
      <c r="AD158" s="0" t="n">
        <f aca="false">MIN(V158,N('Debt Payoff'!E13))</f>
        <v>0</v>
      </c>
      <c r="AE158" s="0" t="n">
        <f aca="false">MIN(W158,N('Debt Payoff'!E14))</f>
        <v>0</v>
      </c>
      <c r="AF158" s="0" t="n">
        <f aca="false">MIN(X158,N('Debt Payoff'!E15))</f>
        <v>0</v>
      </c>
      <c r="AG158" s="0" t="n">
        <f aca="false">MIN(Y158,N('Debt Payoff'!E16))</f>
        <v>0</v>
      </c>
      <c r="AH158" s="0" t="n">
        <f aca="false">R158-Z158</f>
        <v>0</v>
      </c>
      <c r="AI158" s="0" t="n">
        <f aca="false">S158-AA158</f>
        <v>0</v>
      </c>
      <c r="AJ158" s="0" t="n">
        <f aca="false">T158-AB158</f>
        <v>0</v>
      </c>
      <c r="AK158" s="0" t="n">
        <f aca="false">U158-AC158</f>
        <v>0</v>
      </c>
      <c r="AL158" s="0" t="n">
        <f aca="false">V158-AD158</f>
        <v>0</v>
      </c>
      <c r="AM158" s="0" t="n">
        <f aca="false">W158-AE158</f>
        <v>0</v>
      </c>
      <c r="AN158" s="0" t="n">
        <f aca="false">X158-AF158</f>
        <v>0</v>
      </c>
      <c r="AO158" s="0" t="n">
        <f aca="false">Y158-AG158</f>
        <v>0</v>
      </c>
      <c r="AP158" s="0" t="n">
        <f aca="false">MAX(0,'Debt Payoff'!$D$17-SUM(Z158:AG158))</f>
        <v>805</v>
      </c>
      <c r="AQ158" s="0" t="n">
        <f aca="false">MIN(AH158,MAX(0,$AP158-SUMPRODUCT(($AH$1:$AO$1&lt;AH$1)*$AH158:$AO158)))</f>
        <v>0</v>
      </c>
      <c r="AR158" s="0" t="n">
        <f aca="false">MIN(AI158,MAX(0,$AP158-SUMPRODUCT(($AH$1:$AO$1&lt;AI$1)*$AH158:$AO158)))</f>
        <v>0</v>
      </c>
      <c r="AS158" s="0" t="n">
        <f aca="false">MIN(AJ158,MAX(0,$AP158-SUMPRODUCT(($AH$1:$AO$1&lt;AJ$1)*$AH158:$AO158)))</f>
        <v>0</v>
      </c>
      <c r="AT158" s="0" t="n">
        <f aca="false">MIN(AK158,MAX(0,$AP158-SUMPRODUCT(($AH$1:$AO$1&lt;AK$1)*$AH158:$AO158)))</f>
        <v>0</v>
      </c>
      <c r="AU158" s="0" t="n">
        <f aca="false">MIN(AL158,MAX(0,$AP158-SUMPRODUCT(($AH$1:$AO$1&lt;AL$1)*$AH158:$AO158)))</f>
        <v>0</v>
      </c>
      <c r="AV158" s="0" t="n">
        <f aca="false">MIN(AM158,MAX(0,$AP158-SUMPRODUCT(($AH$1:$AO$1&lt;AM$1)*$AH158:$AO158)))</f>
        <v>0</v>
      </c>
      <c r="AW158" s="0" t="n">
        <f aca="false">MIN(AN158,MAX(0,$AP158-SUMPRODUCT(($AH$1:$AO$1&lt;AN$1)*$AH158:$AO158)))</f>
        <v>0</v>
      </c>
      <c r="AX158" s="0" t="n">
        <f aca="false">MIN(AO158,MAX(0,$AP158-SUMPRODUCT(($AH$1:$AO$1&lt;AO$1)*$AH158:$AO158)))</f>
        <v>0</v>
      </c>
      <c r="AY158" s="0" t="n">
        <f aca="false">ROUND(AH158-AQ158,2)</f>
        <v>0</v>
      </c>
      <c r="AZ158" s="0" t="n">
        <f aca="false">ROUND(AI158-AR158,2)</f>
        <v>0</v>
      </c>
      <c r="BA158" s="0" t="n">
        <f aca="false">ROUND(AJ158-AS158,2)</f>
        <v>0</v>
      </c>
      <c r="BB158" s="0" t="n">
        <f aca="false">ROUND(AK158-AT158,2)</f>
        <v>0</v>
      </c>
      <c r="BC158" s="0" t="n">
        <f aca="false">ROUND(AL158-AU158,2)</f>
        <v>0</v>
      </c>
      <c r="BD158" s="0" t="n">
        <f aca="false">ROUND(AM158-AV158,2)</f>
        <v>0</v>
      </c>
      <c r="BE158" s="0" t="n">
        <f aca="false">ROUND(AN158-AW158,2)</f>
        <v>0</v>
      </c>
      <c r="BF158" s="0" t="n">
        <f aca="false">ROUND(AO158-AX158,2)</f>
        <v>0</v>
      </c>
      <c r="BG158" s="0" t="n">
        <f aca="false">SUM(AY158:BF158)</f>
        <v>0</v>
      </c>
    </row>
    <row r="159" customFormat="false" ht="15" hidden="false" customHeight="false" outlineLevel="0" collapsed="false">
      <c r="A159" s="0" t="n">
        <v>157</v>
      </c>
      <c r="B159" s="0" t="n">
        <f aca="false">AY158</f>
        <v>0</v>
      </c>
      <c r="C159" s="0" t="n">
        <f aca="false">AZ158</f>
        <v>0</v>
      </c>
      <c r="D159" s="0" t="n">
        <f aca="false">BA158</f>
        <v>0</v>
      </c>
      <c r="E159" s="0" t="n">
        <f aca="false">BB158</f>
        <v>0</v>
      </c>
      <c r="F159" s="0" t="n">
        <f aca="false">BC158</f>
        <v>0</v>
      </c>
      <c r="G159" s="0" t="n">
        <f aca="false">BD158</f>
        <v>0</v>
      </c>
      <c r="H159" s="0" t="n">
        <f aca="false">BE158</f>
        <v>0</v>
      </c>
      <c r="I159" s="0" t="n">
        <f aca="false">BF158</f>
        <v>0</v>
      </c>
      <c r="J159" s="0" t="n">
        <f aca="false">B159*N('Debt Payoff'!D9)/12</f>
        <v>0</v>
      </c>
      <c r="K159" s="0" t="n">
        <f aca="false">C159*N('Debt Payoff'!D10)/12</f>
        <v>0</v>
      </c>
      <c r="L159" s="0" t="n">
        <f aca="false">D159*N('Debt Payoff'!D11)/12</f>
        <v>0</v>
      </c>
      <c r="M159" s="0" t="n">
        <f aca="false">E159*N('Debt Payoff'!D12)/12</f>
        <v>0</v>
      </c>
      <c r="N159" s="0" t="n">
        <f aca="false">F159*N('Debt Payoff'!D13)/12</f>
        <v>0</v>
      </c>
      <c r="O159" s="0" t="n">
        <f aca="false">G159*N('Debt Payoff'!D14)/12</f>
        <v>0</v>
      </c>
      <c r="P159" s="0" t="n">
        <f aca="false">H159*N('Debt Payoff'!D15)/12</f>
        <v>0</v>
      </c>
      <c r="Q159" s="0" t="n">
        <f aca="false">I159*N('Debt Payoff'!D16)/12</f>
        <v>0</v>
      </c>
      <c r="R159" s="0" t="n">
        <f aca="false">B159+J159</f>
        <v>0</v>
      </c>
      <c r="S159" s="0" t="n">
        <f aca="false">C159+K159</f>
        <v>0</v>
      </c>
      <c r="T159" s="0" t="n">
        <f aca="false">D159+L159</f>
        <v>0</v>
      </c>
      <c r="U159" s="0" t="n">
        <f aca="false">E159+M159</f>
        <v>0</v>
      </c>
      <c r="V159" s="0" t="n">
        <f aca="false">F159+N159</f>
        <v>0</v>
      </c>
      <c r="W159" s="0" t="n">
        <f aca="false">G159+O159</f>
        <v>0</v>
      </c>
      <c r="X159" s="0" t="n">
        <f aca="false">H159+P159</f>
        <v>0</v>
      </c>
      <c r="Y159" s="0" t="n">
        <f aca="false">I159+Q159</f>
        <v>0</v>
      </c>
      <c r="Z159" s="0" t="n">
        <f aca="false">MIN(R159,N('Debt Payoff'!E9))</f>
        <v>0</v>
      </c>
      <c r="AA159" s="0" t="n">
        <f aca="false">MIN(S159,N('Debt Payoff'!E10))</f>
        <v>0</v>
      </c>
      <c r="AB159" s="0" t="n">
        <f aca="false">MIN(T159,N('Debt Payoff'!E11))</f>
        <v>0</v>
      </c>
      <c r="AC159" s="0" t="n">
        <f aca="false">MIN(U159,N('Debt Payoff'!E12))</f>
        <v>0</v>
      </c>
      <c r="AD159" s="0" t="n">
        <f aca="false">MIN(V159,N('Debt Payoff'!E13))</f>
        <v>0</v>
      </c>
      <c r="AE159" s="0" t="n">
        <f aca="false">MIN(W159,N('Debt Payoff'!E14))</f>
        <v>0</v>
      </c>
      <c r="AF159" s="0" t="n">
        <f aca="false">MIN(X159,N('Debt Payoff'!E15))</f>
        <v>0</v>
      </c>
      <c r="AG159" s="0" t="n">
        <f aca="false">MIN(Y159,N('Debt Payoff'!E16))</f>
        <v>0</v>
      </c>
      <c r="AH159" s="0" t="n">
        <f aca="false">R159-Z159</f>
        <v>0</v>
      </c>
      <c r="AI159" s="0" t="n">
        <f aca="false">S159-AA159</f>
        <v>0</v>
      </c>
      <c r="AJ159" s="0" t="n">
        <f aca="false">T159-AB159</f>
        <v>0</v>
      </c>
      <c r="AK159" s="0" t="n">
        <f aca="false">U159-AC159</f>
        <v>0</v>
      </c>
      <c r="AL159" s="0" t="n">
        <f aca="false">V159-AD159</f>
        <v>0</v>
      </c>
      <c r="AM159" s="0" t="n">
        <f aca="false">W159-AE159</f>
        <v>0</v>
      </c>
      <c r="AN159" s="0" t="n">
        <f aca="false">X159-AF159</f>
        <v>0</v>
      </c>
      <c r="AO159" s="0" t="n">
        <f aca="false">Y159-AG159</f>
        <v>0</v>
      </c>
      <c r="AP159" s="0" t="n">
        <f aca="false">MAX(0,'Debt Payoff'!$D$17-SUM(Z159:AG159))</f>
        <v>805</v>
      </c>
      <c r="AQ159" s="0" t="n">
        <f aca="false">MIN(AH159,MAX(0,$AP159-SUMPRODUCT(($AH$1:$AO$1&lt;AH$1)*$AH159:$AO159)))</f>
        <v>0</v>
      </c>
      <c r="AR159" s="0" t="n">
        <f aca="false">MIN(AI159,MAX(0,$AP159-SUMPRODUCT(($AH$1:$AO$1&lt;AI$1)*$AH159:$AO159)))</f>
        <v>0</v>
      </c>
      <c r="AS159" s="0" t="n">
        <f aca="false">MIN(AJ159,MAX(0,$AP159-SUMPRODUCT(($AH$1:$AO$1&lt;AJ$1)*$AH159:$AO159)))</f>
        <v>0</v>
      </c>
      <c r="AT159" s="0" t="n">
        <f aca="false">MIN(AK159,MAX(0,$AP159-SUMPRODUCT(($AH$1:$AO$1&lt;AK$1)*$AH159:$AO159)))</f>
        <v>0</v>
      </c>
      <c r="AU159" s="0" t="n">
        <f aca="false">MIN(AL159,MAX(0,$AP159-SUMPRODUCT(($AH$1:$AO$1&lt;AL$1)*$AH159:$AO159)))</f>
        <v>0</v>
      </c>
      <c r="AV159" s="0" t="n">
        <f aca="false">MIN(AM159,MAX(0,$AP159-SUMPRODUCT(($AH$1:$AO$1&lt;AM$1)*$AH159:$AO159)))</f>
        <v>0</v>
      </c>
      <c r="AW159" s="0" t="n">
        <f aca="false">MIN(AN159,MAX(0,$AP159-SUMPRODUCT(($AH$1:$AO$1&lt;AN$1)*$AH159:$AO159)))</f>
        <v>0</v>
      </c>
      <c r="AX159" s="0" t="n">
        <f aca="false">MIN(AO159,MAX(0,$AP159-SUMPRODUCT(($AH$1:$AO$1&lt;AO$1)*$AH159:$AO159)))</f>
        <v>0</v>
      </c>
      <c r="AY159" s="0" t="n">
        <f aca="false">ROUND(AH159-AQ159,2)</f>
        <v>0</v>
      </c>
      <c r="AZ159" s="0" t="n">
        <f aca="false">ROUND(AI159-AR159,2)</f>
        <v>0</v>
      </c>
      <c r="BA159" s="0" t="n">
        <f aca="false">ROUND(AJ159-AS159,2)</f>
        <v>0</v>
      </c>
      <c r="BB159" s="0" t="n">
        <f aca="false">ROUND(AK159-AT159,2)</f>
        <v>0</v>
      </c>
      <c r="BC159" s="0" t="n">
        <f aca="false">ROUND(AL159-AU159,2)</f>
        <v>0</v>
      </c>
      <c r="BD159" s="0" t="n">
        <f aca="false">ROUND(AM159-AV159,2)</f>
        <v>0</v>
      </c>
      <c r="BE159" s="0" t="n">
        <f aca="false">ROUND(AN159-AW159,2)</f>
        <v>0</v>
      </c>
      <c r="BF159" s="0" t="n">
        <f aca="false">ROUND(AO159-AX159,2)</f>
        <v>0</v>
      </c>
      <c r="BG159" s="0" t="n">
        <f aca="false">SUM(AY159:BF159)</f>
        <v>0</v>
      </c>
    </row>
    <row r="160" customFormat="false" ht="15" hidden="false" customHeight="false" outlineLevel="0" collapsed="false">
      <c r="A160" s="0" t="n">
        <v>158</v>
      </c>
      <c r="B160" s="0" t="n">
        <f aca="false">AY159</f>
        <v>0</v>
      </c>
      <c r="C160" s="0" t="n">
        <f aca="false">AZ159</f>
        <v>0</v>
      </c>
      <c r="D160" s="0" t="n">
        <f aca="false">BA159</f>
        <v>0</v>
      </c>
      <c r="E160" s="0" t="n">
        <f aca="false">BB159</f>
        <v>0</v>
      </c>
      <c r="F160" s="0" t="n">
        <f aca="false">BC159</f>
        <v>0</v>
      </c>
      <c r="G160" s="0" t="n">
        <f aca="false">BD159</f>
        <v>0</v>
      </c>
      <c r="H160" s="0" t="n">
        <f aca="false">BE159</f>
        <v>0</v>
      </c>
      <c r="I160" s="0" t="n">
        <f aca="false">BF159</f>
        <v>0</v>
      </c>
      <c r="J160" s="0" t="n">
        <f aca="false">B160*N('Debt Payoff'!D9)/12</f>
        <v>0</v>
      </c>
      <c r="K160" s="0" t="n">
        <f aca="false">C160*N('Debt Payoff'!D10)/12</f>
        <v>0</v>
      </c>
      <c r="L160" s="0" t="n">
        <f aca="false">D160*N('Debt Payoff'!D11)/12</f>
        <v>0</v>
      </c>
      <c r="M160" s="0" t="n">
        <f aca="false">E160*N('Debt Payoff'!D12)/12</f>
        <v>0</v>
      </c>
      <c r="N160" s="0" t="n">
        <f aca="false">F160*N('Debt Payoff'!D13)/12</f>
        <v>0</v>
      </c>
      <c r="O160" s="0" t="n">
        <f aca="false">G160*N('Debt Payoff'!D14)/12</f>
        <v>0</v>
      </c>
      <c r="P160" s="0" t="n">
        <f aca="false">H160*N('Debt Payoff'!D15)/12</f>
        <v>0</v>
      </c>
      <c r="Q160" s="0" t="n">
        <f aca="false">I160*N('Debt Payoff'!D16)/12</f>
        <v>0</v>
      </c>
      <c r="R160" s="0" t="n">
        <f aca="false">B160+J160</f>
        <v>0</v>
      </c>
      <c r="S160" s="0" t="n">
        <f aca="false">C160+K160</f>
        <v>0</v>
      </c>
      <c r="T160" s="0" t="n">
        <f aca="false">D160+L160</f>
        <v>0</v>
      </c>
      <c r="U160" s="0" t="n">
        <f aca="false">E160+M160</f>
        <v>0</v>
      </c>
      <c r="V160" s="0" t="n">
        <f aca="false">F160+N160</f>
        <v>0</v>
      </c>
      <c r="W160" s="0" t="n">
        <f aca="false">G160+O160</f>
        <v>0</v>
      </c>
      <c r="X160" s="0" t="n">
        <f aca="false">H160+P160</f>
        <v>0</v>
      </c>
      <c r="Y160" s="0" t="n">
        <f aca="false">I160+Q160</f>
        <v>0</v>
      </c>
      <c r="Z160" s="0" t="n">
        <f aca="false">MIN(R160,N('Debt Payoff'!E9))</f>
        <v>0</v>
      </c>
      <c r="AA160" s="0" t="n">
        <f aca="false">MIN(S160,N('Debt Payoff'!E10))</f>
        <v>0</v>
      </c>
      <c r="AB160" s="0" t="n">
        <f aca="false">MIN(T160,N('Debt Payoff'!E11))</f>
        <v>0</v>
      </c>
      <c r="AC160" s="0" t="n">
        <f aca="false">MIN(U160,N('Debt Payoff'!E12))</f>
        <v>0</v>
      </c>
      <c r="AD160" s="0" t="n">
        <f aca="false">MIN(V160,N('Debt Payoff'!E13))</f>
        <v>0</v>
      </c>
      <c r="AE160" s="0" t="n">
        <f aca="false">MIN(W160,N('Debt Payoff'!E14))</f>
        <v>0</v>
      </c>
      <c r="AF160" s="0" t="n">
        <f aca="false">MIN(X160,N('Debt Payoff'!E15))</f>
        <v>0</v>
      </c>
      <c r="AG160" s="0" t="n">
        <f aca="false">MIN(Y160,N('Debt Payoff'!E16))</f>
        <v>0</v>
      </c>
      <c r="AH160" s="0" t="n">
        <f aca="false">R160-Z160</f>
        <v>0</v>
      </c>
      <c r="AI160" s="0" t="n">
        <f aca="false">S160-AA160</f>
        <v>0</v>
      </c>
      <c r="AJ160" s="0" t="n">
        <f aca="false">T160-AB160</f>
        <v>0</v>
      </c>
      <c r="AK160" s="0" t="n">
        <f aca="false">U160-AC160</f>
        <v>0</v>
      </c>
      <c r="AL160" s="0" t="n">
        <f aca="false">V160-AD160</f>
        <v>0</v>
      </c>
      <c r="AM160" s="0" t="n">
        <f aca="false">W160-AE160</f>
        <v>0</v>
      </c>
      <c r="AN160" s="0" t="n">
        <f aca="false">X160-AF160</f>
        <v>0</v>
      </c>
      <c r="AO160" s="0" t="n">
        <f aca="false">Y160-AG160</f>
        <v>0</v>
      </c>
      <c r="AP160" s="0" t="n">
        <f aca="false">MAX(0,'Debt Payoff'!$D$17-SUM(Z160:AG160))</f>
        <v>805</v>
      </c>
      <c r="AQ160" s="0" t="n">
        <f aca="false">MIN(AH160,MAX(0,$AP160-SUMPRODUCT(($AH$1:$AO$1&lt;AH$1)*$AH160:$AO160)))</f>
        <v>0</v>
      </c>
      <c r="AR160" s="0" t="n">
        <f aca="false">MIN(AI160,MAX(0,$AP160-SUMPRODUCT(($AH$1:$AO$1&lt;AI$1)*$AH160:$AO160)))</f>
        <v>0</v>
      </c>
      <c r="AS160" s="0" t="n">
        <f aca="false">MIN(AJ160,MAX(0,$AP160-SUMPRODUCT(($AH$1:$AO$1&lt;AJ$1)*$AH160:$AO160)))</f>
        <v>0</v>
      </c>
      <c r="AT160" s="0" t="n">
        <f aca="false">MIN(AK160,MAX(0,$AP160-SUMPRODUCT(($AH$1:$AO$1&lt;AK$1)*$AH160:$AO160)))</f>
        <v>0</v>
      </c>
      <c r="AU160" s="0" t="n">
        <f aca="false">MIN(AL160,MAX(0,$AP160-SUMPRODUCT(($AH$1:$AO$1&lt;AL$1)*$AH160:$AO160)))</f>
        <v>0</v>
      </c>
      <c r="AV160" s="0" t="n">
        <f aca="false">MIN(AM160,MAX(0,$AP160-SUMPRODUCT(($AH$1:$AO$1&lt;AM$1)*$AH160:$AO160)))</f>
        <v>0</v>
      </c>
      <c r="AW160" s="0" t="n">
        <f aca="false">MIN(AN160,MAX(0,$AP160-SUMPRODUCT(($AH$1:$AO$1&lt;AN$1)*$AH160:$AO160)))</f>
        <v>0</v>
      </c>
      <c r="AX160" s="0" t="n">
        <f aca="false">MIN(AO160,MAX(0,$AP160-SUMPRODUCT(($AH$1:$AO$1&lt;AO$1)*$AH160:$AO160)))</f>
        <v>0</v>
      </c>
      <c r="AY160" s="0" t="n">
        <f aca="false">ROUND(AH160-AQ160,2)</f>
        <v>0</v>
      </c>
      <c r="AZ160" s="0" t="n">
        <f aca="false">ROUND(AI160-AR160,2)</f>
        <v>0</v>
      </c>
      <c r="BA160" s="0" t="n">
        <f aca="false">ROUND(AJ160-AS160,2)</f>
        <v>0</v>
      </c>
      <c r="BB160" s="0" t="n">
        <f aca="false">ROUND(AK160-AT160,2)</f>
        <v>0</v>
      </c>
      <c r="BC160" s="0" t="n">
        <f aca="false">ROUND(AL160-AU160,2)</f>
        <v>0</v>
      </c>
      <c r="BD160" s="0" t="n">
        <f aca="false">ROUND(AM160-AV160,2)</f>
        <v>0</v>
      </c>
      <c r="BE160" s="0" t="n">
        <f aca="false">ROUND(AN160-AW160,2)</f>
        <v>0</v>
      </c>
      <c r="BF160" s="0" t="n">
        <f aca="false">ROUND(AO160-AX160,2)</f>
        <v>0</v>
      </c>
      <c r="BG160" s="0" t="n">
        <f aca="false">SUM(AY160:BF160)</f>
        <v>0</v>
      </c>
    </row>
    <row r="161" customFormat="false" ht="15" hidden="false" customHeight="false" outlineLevel="0" collapsed="false">
      <c r="A161" s="0" t="n">
        <v>159</v>
      </c>
      <c r="B161" s="0" t="n">
        <f aca="false">AY160</f>
        <v>0</v>
      </c>
      <c r="C161" s="0" t="n">
        <f aca="false">AZ160</f>
        <v>0</v>
      </c>
      <c r="D161" s="0" t="n">
        <f aca="false">BA160</f>
        <v>0</v>
      </c>
      <c r="E161" s="0" t="n">
        <f aca="false">BB160</f>
        <v>0</v>
      </c>
      <c r="F161" s="0" t="n">
        <f aca="false">BC160</f>
        <v>0</v>
      </c>
      <c r="G161" s="0" t="n">
        <f aca="false">BD160</f>
        <v>0</v>
      </c>
      <c r="H161" s="0" t="n">
        <f aca="false">BE160</f>
        <v>0</v>
      </c>
      <c r="I161" s="0" t="n">
        <f aca="false">BF160</f>
        <v>0</v>
      </c>
      <c r="J161" s="0" t="n">
        <f aca="false">B161*N('Debt Payoff'!D9)/12</f>
        <v>0</v>
      </c>
      <c r="K161" s="0" t="n">
        <f aca="false">C161*N('Debt Payoff'!D10)/12</f>
        <v>0</v>
      </c>
      <c r="L161" s="0" t="n">
        <f aca="false">D161*N('Debt Payoff'!D11)/12</f>
        <v>0</v>
      </c>
      <c r="M161" s="0" t="n">
        <f aca="false">E161*N('Debt Payoff'!D12)/12</f>
        <v>0</v>
      </c>
      <c r="N161" s="0" t="n">
        <f aca="false">F161*N('Debt Payoff'!D13)/12</f>
        <v>0</v>
      </c>
      <c r="O161" s="0" t="n">
        <f aca="false">G161*N('Debt Payoff'!D14)/12</f>
        <v>0</v>
      </c>
      <c r="P161" s="0" t="n">
        <f aca="false">H161*N('Debt Payoff'!D15)/12</f>
        <v>0</v>
      </c>
      <c r="Q161" s="0" t="n">
        <f aca="false">I161*N('Debt Payoff'!D16)/12</f>
        <v>0</v>
      </c>
      <c r="R161" s="0" t="n">
        <f aca="false">B161+J161</f>
        <v>0</v>
      </c>
      <c r="S161" s="0" t="n">
        <f aca="false">C161+K161</f>
        <v>0</v>
      </c>
      <c r="T161" s="0" t="n">
        <f aca="false">D161+L161</f>
        <v>0</v>
      </c>
      <c r="U161" s="0" t="n">
        <f aca="false">E161+M161</f>
        <v>0</v>
      </c>
      <c r="V161" s="0" t="n">
        <f aca="false">F161+N161</f>
        <v>0</v>
      </c>
      <c r="W161" s="0" t="n">
        <f aca="false">G161+O161</f>
        <v>0</v>
      </c>
      <c r="X161" s="0" t="n">
        <f aca="false">H161+P161</f>
        <v>0</v>
      </c>
      <c r="Y161" s="0" t="n">
        <f aca="false">I161+Q161</f>
        <v>0</v>
      </c>
      <c r="Z161" s="0" t="n">
        <f aca="false">MIN(R161,N('Debt Payoff'!E9))</f>
        <v>0</v>
      </c>
      <c r="AA161" s="0" t="n">
        <f aca="false">MIN(S161,N('Debt Payoff'!E10))</f>
        <v>0</v>
      </c>
      <c r="AB161" s="0" t="n">
        <f aca="false">MIN(T161,N('Debt Payoff'!E11))</f>
        <v>0</v>
      </c>
      <c r="AC161" s="0" t="n">
        <f aca="false">MIN(U161,N('Debt Payoff'!E12))</f>
        <v>0</v>
      </c>
      <c r="AD161" s="0" t="n">
        <f aca="false">MIN(V161,N('Debt Payoff'!E13))</f>
        <v>0</v>
      </c>
      <c r="AE161" s="0" t="n">
        <f aca="false">MIN(W161,N('Debt Payoff'!E14))</f>
        <v>0</v>
      </c>
      <c r="AF161" s="0" t="n">
        <f aca="false">MIN(X161,N('Debt Payoff'!E15))</f>
        <v>0</v>
      </c>
      <c r="AG161" s="0" t="n">
        <f aca="false">MIN(Y161,N('Debt Payoff'!E16))</f>
        <v>0</v>
      </c>
      <c r="AH161" s="0" t="n">
        <f aca="false">R161-Z161</f>
        <v>0</v>
      </c>
      <c r="AI161" s="0" t="n">
        <f aca="false">S161-AA161</f>
        <v>0</v>
      </c>
      <c r="AJ161" s="0" t="n">
        <f aca="false">T161-AB161</f>
        <v>0</v>
      </c>
      <c r="AK161" s="0" t="n">
        <f aca="false">U161-AC161</f>
        <v>0</v>
      </c>
      <c r="AL161" s="0" t="n">
        <f aca="false">V161-AD161</f>
        <v>0</v>
      </c>
      <c r="AM161" s="0" t="n">
        <f aca="false">W161-AE161</f>
        <v>0</v>
      </c>
      <c r="AN161" s="0" t="n">
        <f aca="false">X161-AF161</f>
        <v>0</v>
      </c>
      <c r="AO161" s="0" t="n">
        <f aca="false">Y161-AG161</f>
        <v>0</v>
      </c>
      <c r="AP161" s="0" t="n">
        <f aca="false">MAX(0,'Debt Payoff'!$D$17-SUM(Z161:AG161))</f>
        <v>805</v>
      </c>
      <c r="AQ161" s="0" t="n">
        <f aca="false">MIN(AH161,MAX(0,$AP161-SUMPRODUCT(($AH$1:$AO$1&lt;AH$1)*$AH161:$AO161)))</f>
        <v>0</v>
      </c>
      <c r="AR161" s="0" t="n">
        <f aca="false">MIN(AI161,MAX(0,$AP161-SUMPRODUCT(($AH$1:$AO$1&lt;AI$1)*$AH161:$AO161)))</f>
        <v>0</v>
      </c>
      <c r="AS161" s="0" t="n">
        <f aca="false">MIN(AJ161,MAX(0,$AP161-SUMPRODUCT(($AH$1:$AO$1&lt;AJ$1)*$AH161:$AO161)))</f>
        <v>0</v>
      </c>
      <c r="AT161" s="0" t="n">
        <f aca="false">MIN(AK161,MAX(0,$AP161-SUMPRODUCT(($AH$1:$AO$1&lt;AK$1)*$AH161:$AO161)))</f>
        <v>0</v>
      </c>
      <c r="AU161" s="0" t="n">
        <f aca="false">MIN(AL161,MAX(0,$AP161-SUMPRODUCT(($AH$1:$AO$1&lt;AL$1)*$AH161:$AO161)))</f>
        <v>0</v>
      </c>
      <c r="AV161" s="0" t="n">
        <f aca="false">MIN(AM161,MAX(0,$AP161-SUMPRODUCT(($AH$1:$AO$1&lt;AM$1)*$AH161:$AO161)))</f>
        <v>0</v>
      </c>
      <c r="AW161" s="0" t="n">
        <f aca="false">MIN(AN161,MAX(0,$AP161-SUMPRODUCT(($AH$1:$AO$1&lt;AN$1)*$AH161:$AO161)))</f>
        <v>0</v>
      </c>
      <c r="AX161" s="0" t="n">
        <f aca="false">MIN(AO161,MAX(0,$AP161-SUMPRODUCT(($AH$1:$AO$1&lt;AO$1)*$AH161:$AO161)))</f>
        <v>0</v>
      </c>
      <c r="AY161" s="0" t="n">
        <f aca="false">ROUND(AH161-AQ161,2)</f>
        <v>0</v>
      </c>
      <c r="AZ161" s="0" t="n">
        <f aca="false">ROUND(AI161-AR161,2)</f>
        <v>0</v>
      </c>
      <c r="BA161" s="0" t="n">
        <f aca="false">ROUND(AJ161-AS161,2)</f>
        <v>0</v>
      </c>
      <c r="BB161" s="0" t="n">
        <f aca="false">ROUND(AK161-AT161,2)</f>
        <v>0</v>
      </c>
      <c r="BC161" s="0" t="n">
        <f aca="false">ROUND(AL161-AU161,2)</f>
        <v>0</v>
      </c>
      <c r="BD161" s="0" t="n">
        <f aca="false">ROUND(AM161-AV161,2)</f>
        <v>0</v>
      </c>
      <c r="BE161" s="0" t="n">
        <f aca="false">ROUND(AN161-AW161,2)</f>
        <v>0</v>
      </c>
      <c r="BF161" s="0" t="n">
        <f aca="false">ROUND(AO161-AX161,2)</f>
        <v>0</v>
      </c>
      <c r="BG161" s="0" t="n">
        <f aca="false">SUM(AY161:BF161)</f>
        <v>0</v>
      </c>
    </row>
    <row r="162" customFormat="false" ht="15" hidden="false" customHeight="false" outlineLevel="0" collapsed="false">
      <c r="A162" s="0" t="n">
        <v>160</v>
      </c>
      <c r="B162" s="0" t="n">
        <f aca="false">AY161</f>
        <v>0</v>
      </c>
      <c r="C162" s="0" t="n">
        <f aca="false">AZ161</f>
        <v>0</v>
      </c>
      <c r="D162" s="0" t="n">
        <f aca="false">BA161</f>
        <v>0</v>
      </c>
      <c r="E162" s="0" t="n">
        <f aca="false">BB161</f>
        <v>0</v>
      </c>
      <c r="F162" s="0" t="n">
        <f aca="false">BC161</f>
        <v>0</v>
      </c>
      <c r="G162" s="0" t="n">
        <f aca="false">BD161</f>
        <v>0</v>
      </c>
      <c r="H162" s="0" t="n">
        <f aca="false">BE161</f>
        <v>0</v>
      </c>
      <c r="I162" s="0" t="n">
        <f aca="false">BF161</f>
        <v>0</v>
      </c>
      <c r="J162" s="0" t="n">
        <f aca="false">B162*N('Debt Payoff'!D9)/12</f>
        <v>0</v>
      </c>
      <c r="K162" s="0" t="n">
        <f aca="false">C162*N('Debt Payoff'!D10)/12</f>
        <v>0</v>
      </c>
      <c r="L162" s="0" t="n">
        <f aca="false">D162*N('Debt Payoff'!D11)/12</f>
        <v>0</v>
      </c>
      <c r="M162" s="0" t="n">
        <f aca="false">E162*N('Debt Payoff'!D12)/12</f>
        <v>0</v>
      </c>
      <c r="N162" s="0" t="n">
        <f aca="false">F162*N('Debt Payoff'!D13)/12</f>
        <v>0</v>
      </c>
      <c r="O162" s="0" t="n">
        <f aca="false">G162*N('Debt Payoff'!D14)/12</f>
        <v>0</v>
      </c>
      <c r="P162" s="0" t="n">
        <f aca="false">H162*N('Debt Payoff'!D15)/12</f>
        <v>0</v>
      </c>
      <c r="Q162" s="0" t="n">
        <f aca="false">I162*N('Debt Payoff'!D16)/12</f>
        <v>0</v>
      </c>
      <c r="R162" s="0" t="n">
        <f aca="false">B162+J162</f>
        <v>0</v>
      </c>
      <c r="S162" s="0" t="n">
        <f aca="false">C162+K162</f>
        <v>0</v>
      </c>
      <c r="T162" s="0" t="n">
        <f aca="false">D162+L162</f>
        <v>0</v>
      </c>
      <c r="U162" s="0" t="n">
        <f aca="false">E162+M162</f>
        <v>0</v>
      </c>
      <c r="V162" s="0" t="n">
        <f aca="false">F162+N162</f>
        <v>0</v>
      </c>
      <c r="W162" s="0" t="n">
        <f aca="false">G162+O162</f>
        <v>0</v>
      </c>
      <c r="X162" s="0" t="n">
        <f aca="false">H162+P162</f>
        <v>0</v>
      </c>
      <c r="Y162" s="0" t="n">
        <f aca="false">I162+Q162</f>
        <v>0</v>
      </c>
      <c r="Z162" s="0" t="n">
        <f aca="false">MIN(R162,N('Debt Payoff'!E9))</f>
        <v>0</v>
      </c>
      <c r="AA162" s="0" t="n">
        <f aca="false">MIN(S162,N('Debt Payoff'!E10))</f>
        <v>0</v>
      </c>
      <c r="AB162" s="0" t="n">
        <f aca="false">MIN(T162,N('Debt Payoff'!E11))</f>
        <v>0</v>
      </c>
      <c r="AC162" s="0" t="n">
        <f aca="false">MIN(U162,N('Debt Payoff'!E12))</f>
        <v>0</v>
      </c>
      <c r="AD162" s="0" t="n">
        <f aca="false">MIN(V162,N('Debt Payoff'!E13))</f>
        <v>0</v>
      </c>
      <c r="AE162" s="0" t="n">
        <f aca="false">MIN(W162,N('Debt Payoff'!E14))</f>
        <v>0</v>
      </c>
      <c r="AF162" s="0" t="n">
        <f aca="false">MIN(X162,N('Debt Payoff'!E15))</f>
        <v>0</v>
      </c>
      <c r="AG162" s="0" t="n">
        <f aca="false">MIN(Y162,N('Debt Payoff'!E16))</f>
        <v>0</v>
      </c>
      <c r="AH162" s="0" t="n">
        <f aca="false">R162-Z162</f>
        <v>0</v>
      </c>
      <c r="AI162" s="0" t="n">
        <f aca="false">S162-AA162</f>
        <v>0</v>
      </c>
      <c r="AJ162" s="0" t="n">
        <f aca="false">T162-AB162</f>
        <v>0</v>
      </c>
      <c r="AK162" s="0" t="n">
        <f aca="false">U162-AC162</f>
        <v>0</v>
      </c>
      <c r="AL162" s="0" t="n">
        <f aca="false">V162-AD162</f>
        <v>0</v>
      </c>
      <c r="AM162" s="0" t="n">
        <f aca="false">W162-AE162</f>
        <v>0</v>
      </c>
      <c r="AN162" s="0" t="n">
        <f aca="false">X162-AF162</f>
        <v>0</v>
      </c>
      <c r="AO162" s="0" t="n">
        <f aca="false">Y162-AG162</f>
        <v>0</v>
      </c>
      <c r="AP162" s="0" t="n">
        <f aca="false">MAX(0,'Debt Payoff'!$D$17-SUM(Z162:AG162))</f>
        <v>805</v>
      </c>
      <c r="AQ162" s="0" t="n">
        <f aca="false">MIN(AH162,MAX(0,$AP162-SUMPRODUCT(($AH$1:$AO$1&lt;AH$1)*$AH162:$AO162)))</f>
        <v>0</v>
      </c>
      <c r="AR162" s="0" t="n">
        <f aca="false">MIN(AI162,MAX(0,$AP162-SUMPRODUCT(($AH$1:$AO$1&lt;AI$1)*$AH162:$AO162)))</f>
        <v>0</v>
      </c>
      <c r="AS162" s="0" t="n">
        <f aca="false">MIN(AJ162,MAX(0,$AP162-SUMPRODUCT(($AH$1:$AO$1&lt;AJ$1)*$AH162:$AO162)))</f>
        <v>0</v>
      </c>
      <c r="AT162" s="0" t="n">
        <f aca="false">MIN(AK162,MAX(0,$AP162-SUMPRODUCT(($AH$1:$AO$1&lt;AK$1)*$AH162:$AO162)))</f>
        <v>0</v>
      </c>
      <c r="AU162" s="0" t="n">
        <f aca="false">MIN(AL162,MAX(0,$AP162-SUMPRODUCT(($AH$1:$AO$1&lt;AL$1)*$AH162:$AO162)))</f>
        <v>0</v>
      </c>
      <c r="AV162" s="0" t="n">
        <f aca="false">MIN(AM162,MAX(0,$AP162-SUMPRODUCT(($AH$1:$AO$1&lt;AM$1)*$AH162:$AO162)))</f>
        <v>0</v>
      </c>
      <c r="AW162" s="0" t="n">
        <f aca="false">MIN(AN162,MAX(0,$AP162-SUMPRODUCT(($AH$1:$AO$1&lt;AN$1)*$AH162:$AO162)))</f>
        <v>0</v>
      </c>
      <c r="AX162" s="0" t="n">
        <f aca="false">MIN(AO162,MAX(0,$AP162-SUMPRODUCT(($AH$1:$AO$1&lt;AO$1)*$AH162:$AO162)))</f>
        <v>0</v>
      </c>
      <c r="AY162" s="0" t="n">
        <f aca="false">ROUND(AH162-AQ162,2)</f>
        <v>0</v>
      </c>
      <c r="AZ162" s="0" t="n">
        <f aca="false">ROUND(AI162-AR162,2)</f>
        <v>0</v>
      </c>
      <c r="BA162" s="0" t="n">
        <f aca="false">ROUND(AJ162-AS162,2)</f>
        <v>0</v>
      </c>
      <c r="BB162" s="0" t="n">
        <f aca="false">ROUND(AK162-AT162,2)</f>
        <v>0</v>
      </c>
      <c r="BC162" s="0" t="n">
        <f aca="false">ROUND(AL162-AU162,2)</f>
        <v>0</v>
      </c>
      <c r="BD162" s="0" t="n">
        <f aca="false">ROUND(AM162-AV162,2)</f>
        <v>0</v>
      </c>
      <c r="BE162" s="0" t="n">
        <f aca="false">ROUND(AN162-AW162,2)</f>
        <v>0</v>
      </c>
      <c r="BF162" s="0" t="n">
        <f aca="false">ROUND(AO162-AX162,2)</f>
        <v>0</v>
      </c>
      <c r="BG162" s="0" t="n">
        <f aca="false">SUM(AY162:BF162)</f>
        <v>0</v>
      </c>
    </row>
    <row r="163" customFormat="false" ht="15" hidden="false" customHeight="false" outlineLevel="0" collapsed="false">
      <c r="A163" s="0" t="n">
        <v>161</v>
      </c>
      <c r="B163" s="0" t="n">
        <f aca="false">AY162</f>
        <v>0</v>
      </c>
      <c r="C163" s="0" t="n">
        <f aca="false">AZ162</f>
        <v>0</v>
      </c>
      <c r="D163" s="0" t="n">
        <f aca="false">BA162</f>
        <v>0</v>
      </c>
      <c r="E163" s="0" t="n">
        <f aca="false">BB162</f>
        <v>0</v>
      </c>
      <c r="F163" s="0" t="n">
        <f aca="false">BC162</f>
        <v>0</v>
      </c>
      <c r="G163" s="0" t="n">
        <f aca="false">BD162</f>
        <v>0</v>
      </c>
      <c r="H163" s="0" t="n">
        <f aca="false">BE162</f>
        <v>0</v>
      </c>
      <c r="I163" s="0" t="n">
        <f aca="false">BF162</f>
        <v>0</v>
      </c>
      <c r="J163" s="0" t="n">
        <f aca="false">B163*N('Debt Payoff'!D9)/12</f>
        <v>0</v>
      </c>
      <c r="K163" s="0" t="n">
        <f aca="false">C163*N('Debt Payoff'!D10)/12</f>
        <v>0</v>
      </c>
      <c r="L163" s="0" t="n">
        <f aca="false">D163*N('Debt Payoff'!D11)/12</f>
        <v>0</v>
      </c>
      <c r="M163" s="0" t="n">
        <f aca="false">E163*N('Debt Payoff'!D12)/12</f>
        <v>0</v>
      </c>
      <c r="N163" s="0" t="n">
        <f aca="false">F163*N('Debt Payoff'!D13)/12</f>
        <v>0</v>
      </c>
      <c r="O163" s="0" t="n">
        <f aca="false">G163*N('Debt Payoff'!D14)/12</f>
        <v>0</v>
      </c>
      <c r="P163" s="0" t="n">
        <f aca="false">H163*N('Debt Payoff'!D15)/12</f>
        <v>0</v>
      </c>
      <c r="Q163" s="0" t="n">
        <f aca="false">I163*N('Debt Payoff'!D16)/12</f>
        <v>0</v>
      </c>
      <c r="R163" s="0" t="n">
        <f aca="false">B163+J163</f>
        <v>0</v>
      </c>
      <c r="S163" s="0" t="n">
        <f aca="false">C163+K163</f>
        <v>0</v>
      </c>
      <c r="T163" s="0" t="n">
        <f aca="false">D163+L163</f>
        <v>0</v>
      </c>
      <c r="U163" s="0" t="n">
        <f aca="false">E163+M163</f>
        <v>0</v>
      </c>
      <c r="V163" s="0" t="n">
        <f aca="false">F163+N163</f>
        <v>0</v>
      </c>
      <c r="W163" s="0" t="n">
        <f aca="false">G163+O163</f>
        <v>0</v>
      </c>
      <c r="X163" s="0" t="n">
        <f aca="false">H163+P163</f>
        <v>0</v>
      </c>
      <c r="Y163" s="0" t="n">
        <f aca="false">I163+Q163</f>
        <v>0</v>
      </c>
      <c r="Z163" s="0" t="n">
        <f aca="false">MIN(R163,N('Debt Payoff'!E9))</f>
        <v>0</v>
      </c>
      <c r="AA163" s="0" t="n">
        <f aca="false">MIN(S163,N('Debt Payoff'!E10))</f>
        <v>0</v>
      </c>
      <c r="AB163" s="0" t="n">
        <f aca="false">MIN(T163,N('Debt Payoff'!E11))</f>
        <v>0</v>
      </c>
      <c r="AC163" s="0" t="n">
        <f aca="false">MIN(U163,N('Debt Payoff'!E12))</f>
        <v>0</v>
      </c>
      <c r="AD163" s="0" t="n">
        <f aca="false">MIN(V163,N('Debt Payoff'!E13))</f>
        <v>0</v>
      </c>
      <c r="AE163" s="0" t="n">
        <f aca="false">MIN(W163,N('Debt Payoff'!E14))</f>
        <v>0</v>
      </c>
      <c r="AF163" s="0" t="n">
        <f aca="false">MIN(X163,N('Debt Payoff'!E15))</f>
        <v>0</v>
      </c>
      <c r="AG163" s="0" t="n">
        <f aca="false">MIN(Y163,N('Debt Payoff'!E16))</f>
        <v>0</v>
      </c>
      <c r="AH163" s="0" t="n">
        <f aca="false">R163-Z163</f>
        <v>0</v>
      </c>
      <c r="AI163" s="0" t="n">
        <f aca="false">S163-AA163</f>
        <v>0</v>
      </c>
      <c r="AJ163" s="0" t="n">
        <f aca="false">T163-AB163</f>
        <v>0</v>
      </c>
      <c r="AK163" s="0" t="n">
        <f aca="false">U163-AC163</f>
        <v>0</v>
      </c>
      <c r="AL163" s="0" t="n">
        <f aca="false">V163-AD163</f>
        <v>0</v>
      </c>
      <c r="AM163" s="0" t="n">
        <f aca="false">W163-AE163</f>
        <v>0</v>
      </c>
      <c r="AN163" s="0" t="n">
        <f aca="false">X163-AF163</f>
        <v>0</v>
      </c>
      <c r="AO163" s="0" t="n">
        <f aca="false">Y163-AG163</f>
        <v>0</v>
      </c>
      <c r="AP163" s="0" t="n">
        <f aca="false">MAX(0,'Debt Payoff'!$D$17-SUM(Z163:AG163))</f>
        <v>805</v>
      </c>
      <c r="AQ163" s="0" t="n">
        <f aca="false">MIN(AH163,MAX(0,$AP163-SUMPRODUCT(($AH$1:$AO$1&lt;AH$1)*$AH163:$AO163)))</f>
        <v>0</v>
      </c>
      <c r="AR163" s="0" t="n">
        <f aca="false">MIN(AI163,MAX(0,$AP163-SUMPRODUCT(($AH$1:$AO$1&lt;AI$1)*$AH163:$AO163)))</f>
        <v>0</v>
      </c>
      <c r="AS163" s="0" t="n">
        <f aca="false">MIN(AJ163,MAX(0,$AP163-SUMPRODUCT(($AH$1:$AO$1&lt;AJ$1)*$AH163:$AO163)))</f>
        <v>0</v>
      </c>
      <c r="AT163" s="0" t="n">
        <f aca="false">MIN(AK163,MAX(0,$AP163-SUMPRODUCT(($AH$1:$AO$1&lt;AK$1)*$AH163:$AO163)))</f>
        <v>0</v>
      </c>
      <c r="AU163" s="0" t="n">
        <f aca="false">MIN(AL163,MAX(0,$AP163-SUMPRODUCT(($AH$1:$AO$1&lt;AL$1)*$AH163:$AO163)))</f>
        <v>0</v>
      </c>
      <c r="AV163" s="0" t="n">
        <f aca="false">MIN(AM163,MAX(0,$AP163-SUMPRODUCT(($AH$1:$AO$1&lt;AM$1)*$AH163:$AO163)))</f>
        <v>0</v>
      </c>
      <c r="AW163" s="0" t="n">
        <f aca="false">MIN(AN163,MAX(0,$AP163-SUMPRODUCT(($AH$1:$AO$1&lt;AN$1)*$AH163:$AO163)))</f>
        <v>0</v>
      </c>
      <c r="AX163" s="0" t="n">
        <f aca="false">MIN(AO163,MAX(0,$AP163-SUMPRODUCT(($AH$1:$AO$1&lt;AO$1)*$AH163:$AO163)))</f>
        <v>0</v>
      </c>
      <c r="AY163" s="0" t="n">
        <f aca="false">ROUND(AH163-AQ163,2)</f>
        <v>0</v>
      </c>
      <c r="AZ163" s="0" t="n">
        <f aca="false">ROUND(AI163-AR163,2)</f>
        <v>0</v>
      </c>
      <c r="BA163" s="0" t="n">
        <f aca="false">ROUND(AJ163-AS163,2)</f>
        <v>0</v>
      </c>
      <c r="BB163" s="0" t="n">
        <f aca="false">ROUND(AK163-AT163,2)</f>
        <v>0</v>
      </c>
      <c r="BC163" s="0" t="n">
        <f aca="false">ROUND(AL163-AU163,2)</f>
        <v>0</v>
      </c>
      <c r="BD163" s="0" t="n">
        <f aca="false">ROUND(AM163-AV163,2)</f>
        <v>0</v>
      </c>
      <c r="BE163" s="0" t="n">
        <f aca="false">ROUND(AN163-AW163,2)</f>
        <v>0</v>
      </c>
      <c r="BF163" s="0" t="n">
        <f aca="false">ROUND(AO163-AX163,2)</f>
        <v>0</v>
      </c>
      <c r="BG163" s="0" t="n">
        <f aca="false">SUM(AY163:BF163)</f>
        <v>0</v>
      </c>
    </row>
    <row r="164" customFormat="false" ht="15" hidden="false" customHeight="false" outlineLevel="0" collapsed="false">
      <c r="A164" s="0" t="n">
        <v>162</v>
      </c>
      <c r="B164" s="0" t="n">
        <f aca="false">AY163</f>
        <v>0</v>
      </c>
      <c r="C164" s="0" t="n">
        <f aca="false">AZ163</f>
        <v>0</v>
      </c>
      <c r="D164" s="0" t="n">
        <f aca="false">BA163</f>
        <v>0</v>
      </c>
      <c r="E164" s="0" t="n">
        <f aca="false">BB163</f>
        <v>0</v>
      </c>
      <c r="F164" s="0" t="n">
        <f aca="false">BC163</f>
        <v>0</v>
      </c>
      <c r="G164" s="0" t="n">
        <f aca="false">BD163</f>
        <v>0</v>
      </c>
      <c r="H164" s="0" t="n">
        <f aca="false">BE163</f>
        <v>0</v>
      </c>
      <c r="I164" s="0" t="n">
        <f aca="false">BF163</f>
        <v>0</v>
      </c>
      <c r="J164" s="0" t="n">
        <f aca="false">B164*N('Debt Payoff'!D9)/12</f>
        <v>0</v>
      </c>
      <c r="K164" s="0" t="n">
        <f aca="false">C164*N('Debt Payoff'!D10)/12</f>
        <v>0</v>
      </c>
      <c r="L164" s="0" t="n">
        <f aca="false">D164*N('Debt Payoff'!D11)/12</f>
        <v>0</v>
      </c>
      <c r="M164" s="0" t="n">
        <f aca="false">E164*N('Debt Payoff'!D12)/12</f>
        <v>0</v>
      </c>
      <c r="N164" s="0" t="n">
        <f aca="false">F164*N('Debt Payoff'!D13)/12</f>
        <v>0</v>
      </c>
      <c r="O164" s="0" t="n">
        <f aca="false">G164*N('Debt Payoff'!D14)/12</f>
        <v>0</v>
      </c>
      <c r="P164" s="0" t="n">
        <f aca="false">H164*N('Debt Payoff'!D15)/12</f>
        <v>0</v>
      </c>
      <c r="Q164" s="0" t="n">
        <f aca="false">I164*N('Debt Payoff'!D16)/12</f>
        <v>0</v>
      </c>
      <c r="R164" s="0" t="n">
        <f aca="false">B164+J164</f>
        <v>0</v>
      </c>
      <c r="S164" s="0" t="n">
        <f aca="false">C164+K164</f>
        <v>0</v>
      </c>
      <c r="T164" s="0" t="n">
        <f aca="false">D164+L164</f>
        <v>0</v>
      </c>
      <c r="U164" s="0" t="n">
        <f aca="false">E164+M164</f>
        <v>0</v>
      </c>
      <c r="V164" s="0" t="n">
        <f aca="false">F164+N164</f>
        <v>0</v>
      </c>
      <c r="W164" s="0" t="n">
        <f aca="false">G164+O164</f>
        <v>0</v>
      </c>
      <c r="X164" s="0" t="n">
        <f aca="false">H164+P164</f>
        <v>0</v>
      </c>
      <c r="Y164" s="0" t="n">
        <f aca="false">I164+Q164</f>
        <v>0</v>
      </c>
      <c r="Z164" s="0" t="n">
        <f aca="false">MIN(R164,N('Debt Payoff'!E9))</f>
        <v>0</v>
      </c>
      <c r="AA164" s="0" t="n">
        <f aca="false">MIN(S164,N('Debt Payoff'!E10))</f>
        <v>0</v>
      </c>
      <c r="AB164" s="0" t="n">
        <f aca="false">MIN(T164,N('Debt Payoff'!E11))</f>
        <v>0</v>
      </c>
      <c r="AC164" s="0" t="n">
        <f aca="false">MIN(U164,N('Debt Payoff'!E12))</f>
        <v>0</v>
      </c>
      <c r="AD164" s="0" t="n">
        <f aca="false">MIN(V164,N('Debt Payoff'!E13))</f>
        <v>0</v>
      </c>
      <c r="AE164" s="0" t="n">
        <f aca="false">MIN(W164,N('Debt Payoff'!E14))</f>
        <v>0</v>
      </c>
      <c r="AF164" s="0" t="n">
        <f aca="false">MIN(X164,N('Debt Payoff'!E15))</f>
        <v>0</v>
      </c>
      <c r="AG164" s="0" t="n">
        <f aca="false">MIN(Y164,N('Debt Payoff'!E16))</f>
        <v>0</v>
      </c>
      <c r="AH164" s="0" t="n">
        <f aca="false">R164-Z164</f>
        <v>0</v>
      </c>
      <c r="AI164" s="0" t="n">
        <f aca="false">S164-AA164</f>
        <v>0</v>
      </c>
      <c r="AJ164" s="0" t="n">
        <f aca="false">T164-AB164</f>
        <v>0</v>
      </c>
      <c r="AK164" s="0" t="n">
        <f aca="false">U164-AC164</f>
        <v>0</v>
      </c>
      <c r="AL164" s="0" t="n">
        <f aca="false">V164-AD164</f>
        <v>0</v>
      </c>
      <c r="AM164" s="0" t="n">
        <f aca="false">W164-AE164</f>
        <v>0</v>
      </c>
      <c r="AN164" s="0" t="n">
        <f aca="false">X164-AF164</f>
        <v>0</v>
      </c>
      <c r="AO164" s="0" t="n">
        <f aca="false">Y164-AG164</f>
        <v>0</v>
      </c>
      <c r="AP164" s="0" t="n">
        <f aca="false">MAX(0,'Debt Payoff'!$D$17-SUM(Z164:AG164))</f>
        <v>805</v>
      </c>
      <c r="AQ164" s="0" t="n">
        <f aca="false">MIN(AH164,MAX(0,$AP164-SUMPRODUCT(($AH$1:$AO$1&lt;AH$1)*$AH164:$AO164)))</f>
        <v>0</v>
      </c>
      <c r="AR164" s="0" t="n">
        <f aca="false">MIN(AI164,MAX(0,$AP164-SUMPRODUCT(($AH$1:$AO$1&lt;AI$1)*$AH164:$AO164)))</f>
        <v>0</v>
      </c>
      <c r="AS164" s="0" t="n">
        <f aca="false">MIN(AJ164,MAX(0,$AP164-SUMPRODUCT(($AH$1:$AO$1&lt;AJ$1)*$AH164:$AO164)))</f>
        <v>0</v>
      </c>
      <c r="AT164" s="0" t="n">
        <f aca="false">MIN(AK164,MAX(0,$AP164-SUMPRODUCT(($AH$1:$AO$1&lt;AK$1)*$AH164:$AO164)))</f>
        <v>0</v>
      </c>
      <c r="AU164" s="0" t="n">
        <f aca="false">MIN(AL164,MAX(0,$AP164-SUMPRODUCT(($AH$1:$AO$1&lt;AL$1)*$AH164:$AO164)))</f>
        <v>0</v>
      </c>
      <c r="AV164" s="0" t="n">
        <f aca="false">MIN(AM164,MAX(0,$AP164-SUMPRODUCT(($AH$1:$AO$1&lt;AM$1)*$AH164:$AO164)))</f>
        <v>0</v>
      </c>
      <c r="AW164" s="0" t="n">
        <f aca="false">MIN(AN164,MAX(0,$AP164-SUMPRODUCT(($AH$1:$AO$1&lt;AN$1)*$AH164:$AO164)))</f>
        <v>0</v>
      </c>
      <c r="AX164" s="0" t="n">
        <f aca="false">MIN(AO164,MAX(0,$AP164-SUMPRODUCT(($AH$1:$AO$1&lt;AO$1)*$AH164:$AO164)))</f>
        <v>0</v>
      </c>
      <c r="AY164" s="0" t="n">
        <f aca="false">ROUND(AH164-AQ164,2)</f>
        <v>0</v>
      </c>
      <c r="AZ164" s="0" t="n">
        <f aca="false">ROUND(AI164-AR164,2)</f>
        <v>0</v>
      </c>
      <c r="BA164" s="0" t="n">
        <f aca="false">ROUND(AJ164-AS164,2)</f>
        <v>0</v>
      </c>
      <c r="BB164" s="0" t="n">
        <f aca="false">ROUND(AK164-AT164,2)</f>
        <v>0</v>
      </c>
      <c r="BC164" s="0" t="n">
        <f aca="false">ROUND(AL164-AU164,2)</f>
        <v>0</v>
      </c>
      <c r="BD164" s="0" t="n">
        <f aca="false">ROUND(AM164-AV164,2)</f>
        <v>0</v>
      </c>
      <c r="BE164" s="0" t="n">
        <f aca="false">ROUND(AN164-AW164,2)</f>
        <v>0</v>
      </c>
      <c r="BF164" s="0" t="n">
        <f aca="false">ROUND(AO164-AX164,2)</f>
        <v>0</v>
      </c>
      <c r="BG164" s="0" t="n">
        <f aca="false">SUM(AY164:BF164)</f>
        <v>0</v>
      </c>
    </row>
    <row r="165" customFormat="false" ht="15" hidden="false" customHeight="false" outlineLevel="0" collapsed="false">
      <c r="A165" s="0" t="n">
        <v>163</v>
      </c>
      <c r="B165" s="0" t="n">
        <f aca="false">AY164</f>
        <v>0</v>
      </c>
      <c r="C165" s="0" t="n">
        <f aca="false">AZ164</f>
        <v>0</v>
      </c>
      <c r="D165" s="0" t="n">
        <f aca="false">BA164</f>
        <v>0</v>
      </c>
      <c r="E165" s="0" t="n">
        <f aca="false">BB164</f>
        <v>0</v>
      </c>
      <c r="F165" s="0" t="n">
        <f aca="false">BC164</f>
        <v>0</v>
      </c>
      <c r="G165" s="0" t="n">
        <f aca="false">BD164</f>
        <v>0</v>
      </c>
      <c r="H165" s="0" t="n">
        <f aca="false">BE164</f>
        <v>0</v>
      </c>
      <c r="I165" s="0" t="n">
        <f aca="false">BF164</f>
        <v>0</v>
      </c>
      <c r="J165" s="0" t="n">
        <f aca="false">B165*N('Debt Payoff'!D9)/12</f>
        <v>0</v>
      </c>
      <c r="K165" s="0" t="n">
        <f aca="false">C165*N('Debt Payoff'!D10)/12</f>
        <v>0</v>
      </c>
      <c r="L165" s="0" t="n">
        <f aca="false">D165*N('Debt Payoff'!D11)/12</f>
        <v>0</v>
      </c>
      <c r="M165" s="0" t="n">
        <f aca="false">E165*N('Debt Payoff'!D12)/12</f>
        <v>0</v>
      </c>
      <c r="N165" s="0" t="n">
        <f aca="false">F165*N('Debt Payoff'!D13)/12</f>
        <v>0</v>
      </c>
      <c r="O165" s="0" t="n">
        <f aca="false">G165*N('Debt Payoff'!D14)/12</f>
        <v>0</v>
      </c>
      <c r="P165" s="0" t="n">
        <f aca="false">H165*N('Debt Payoff'!D15)/12</f>
        <v>0</v>
      </c>
      <c r="Q165" s="0" t="n">
        <f aca="false">I165*N('Debt Payoff'!D16)/12</f>
        <v>0</v>
      </c>
      <c r="R165" s="0" t="n">
        <f aca="false">B165+J165</f>
        <v>0</v>
      </c>
      <c r="S165" s="0" t="n">
        <f aca="false">C165+K165</f>
        <v>0</v>
      </c>
      <c r="T165" s="0" t="n">
        <f aca="false">D165+L165</f>
        <v>0</v>
      </c>
      <c r="U165" s="0" t="n">
        <f aca="false">E165+M165</f>
        <v>0</v>
      </c>
      <c r="V165" s="0" t="n">
        <f aca="false">F165+N165</f>
        <v>0</v>
      </c>
      <c r="W165" s="0" t="n">
        <f aca="false">G165+O165</f>
        <v>0</v>
      </c>
      <c r="X165" s="0" t="n">
        <f aca="false">H165+P165</f>
        <v>0</v>
      </c>
      <c r="Y165" s="0" t="n">
        <f aca="false">I165+Q165</f>
        <v>0</v>
      </c>
      <c r="Z165" s="0" t="n">
        <f aca="false">MIN(R165,N('Debt Payoff'!E9))</f>
        <v>0</v>
      </c>
      <c r="AA165" s="0" t="n">
        <f aca="false">MIN(S165,N('Debt Payoff'!E10))</f>
        <v>0</v>
      </c>
      <c r="AB165" s="0" t="n">
        <f aca="false">MIN(T165,N('Debt Payoff'!E11))</f>
        <v>0</v>
      </c>
      <c r="AC165" s="0" t="n">
        <f aca="false">MIN(U165,N('Debt Payoff'!E12))</f>
        <v>0</v>
      </c>
      <c r="AD165" s="0" t="n">
        <f aca="false">MIN(V165,N('Debt Payoff'!E13))</f>
        <v>0</v>
      </c>
      <c r="AE165" s="0" t="n">
        <f aca="false">MIN(W165,N('Debt Payoff'!E14))</f>
        <v>0</v>
      </c>
      <c r="AF165" s="0" t="n">
        <f aca="false">MIN(X165,N('Debt Payoff'!E15))</f>
        <v>0</v>
      </c>
      <c r="AG165" s="0" t="n">
        <f aca="false">MIN(Y165,N('Debt Payoff'!E16))</f>
        <v>0</v>
      </c>
      <c r="AH165" s="0" t="n">
        <f aca="false">R165-Z165</f>
        <v>0</v>
      </c>
      <c r="AI165" s="0" t="n">
        <f aca="false">S165-AA165</f>
        <v>0</v>
      </c>
      <c r="AJ165" s="0" t="n">
        <f aca="false">T165-AB165</f>
        <v>0</v>
      </c>
      <c r="AK165" s="0" t="n">
        <f aca="false">U165-AC165</f>
        <v>0</v>
      </c>
      <c r="AL165" s="0" t="n">
        <f aca="false">V165-AD165</f>
        <v>0</v>
      </c>
      <c r="AM165" s="0" t="n">
        <f aca="false">W165-AE165</f>
        <v>0</v>
      </c>
      <c r="AN165" s="0" t="n">
        <f aca="false">X165-AF165</f>
        <v>0</v>
      </c>
      <c r="AO165" s="0" t="n">
        <f aca="false">Y165-AG165</f>
        <v>0</v>
      </c>
      <c r="AP165" s="0" t="n">
        <f aca="false">MAX(0,'Debt Payoff'!$D$17-SUM(Z165:AG165))</f>
        <v>805</v>
      </c>
      <c r="AQ165" s="0" t="n">
        <f aca="false">MIN(AH165,MAX(0,$AP165-SUMPRODUCT(($AH$1:$AO$1&lt;AH$1)*$AH165:$AO165)))</f>
        <v>0</v>
      </c>
      <c r="AR165" s="0" t="n">
        <f aca="false">MIN(AI165,MAX(0,$AP165-SUMPRODUCT(($AH$1:$AO$1&lt;AI$1)*$AH165:$AO165)))</f>
        <v>0</v>
      </c>
      <c r="AS165" s="0" t="n">
        <f aca="false">MIN(AJ165,MAX(0,$AP165-SUMPRODUCT(($AH$1:$AO$1&lt;AJ$1)*$AH165:$AO165)))</f>
        <v>0</v>
      </c>
      <c r="AT165" s="0" t="n">
        <f aca="false">MIN(AK165,MAX(0,$AP165-SUMPRODUCT(($AH$1:$AO$1&lt;AK$1)*$AH165:$AO165)))</f>
        <v>0</v>
      </c>
      <c r="AU165" s="0" t="n">
        <f aca="false">MIN(AL165,MAX(0,$AP165-SUMPRODUCT(($AH$1:$AO$1&lt;AL$1)*$AH165:$AO165)))</f>
        <v>0</v>
      </c>
      <c r="AV165" s="0" t="n">
        <f aca="false">MIN(AM165,MAX(0,$AP165-SUMPRODUCT(($AH$1:$AO$1&lt;AM$1)*$AH165:$AO165)))</f>
        <v>0</v>
      </c>
      <c r="AW165" s="0" t="n">
        <f aca="false">MIN(AN165,MAX(0,$AP165-SUMPRODUCT(($AH$1:$AO$1&lt;AN$1)*$AH165:$AO165)))</f>
        <v>0</v>
      </c>
      <c r="AX165" s="0" t="n">
        <f aca="false">MIN(AO165,MAX(0,$AP165-SUMPRODUCT(($AH$1:$AO$1&lt;AO$1)*$AH165:$AO165)))</f>
        <v>0</v>
      </c>
      <c r="AY165" s="0" t="n">
        <f aca="false">ROUND(AH165-AQ165,2)</f>
        <v>0</v>
      </c>
      <c r="AZ165" s="0" t="n">
        <f aca="false">ROUND(AI165-AR165,2)</f>
        <v>0</v>
      </c>
      <c r="BA165" s="0" t="n">
        <f aca="false">ROUND(AJ165-AS165,2)</f>
        <v>0</v>
      </c>
      <c r="BB165" s="0" t="n">
        <f aca="false">ROUND(AK165-AT165,2)</f>
        <v>0</v>
      </c>
      <c r="BC165" s="0" t="n">
        <f aca="false">ROUND(AL165-AU165,2)</f>
        <v>0</v>
      </c>
      <c r="BD165" s="0" t="n">
        <f aca="false">ROUND(AM165-AV165,2)</f>
        <v>0</v>
      </c>
      <c r="BE165" s="0" t="n">
        <f aca="false">ROUND(AN165-AW165,2)</f>
        <v>0</v>
      </c>
      <c r="BF165" s="0" t="n">
        <f aca="false">ROUND(AO165-AX165,2)</f>
        <v>0</v>
      </c>
      <c r="BG165" s="0" t="n">
        <f aca="false">SUM(AY165:BF165)</f>
        <v>0</v>
      </c>
    </row>
    <row r="166" customFormat="false" ht="15" hidden="false" customHeight="false" outlineLevel="0" collapsed="false">
      <c r="A166" s="0" t="n">
        <v>164</v>
      </c>
      <c r="B166" s="0" t="n">
        <f aca="false">AY165</f>
        <v>0</v>
      </c>
      <c r="C166" s="0" t="n">
        <f aca="false">AZ165</f>
        <v>0</v>
      </c>
      <c r="D166" s="0" t="n">
        <f aca="false">BA165</f>
        <v>0</v>
      </c>
      <c r="E166" s="0" t="n">
        <f aca="false">BB165</f>
        <v>0</v>
      </c>
      <c r="F166" s="0" t="n">
        <f aca="false">BC165</f>
        <v>0</v>
      </c>
      <c r="G166" s="0" t="n">
        <f aca="false">BD165</f>
        <v>0</v>
      </c>
      <c r="H166" s="0" t="n">
        <f aca="false">BE165</f>
        <v>0</v>
      </c>
      <c r="I166" s="0" t="n">
        <f aca="false">BF165</f>
        <v>0</v>
      </c>
      <c r="J166" s="0" t="n">
        <f aca="false">B166*N('Debt Payoff'!D9)/12</f>
        <v>0</v>
      </c>
      <c r="K166" s="0" t="n">
        <f aca="false">C166*N('Debt Payoff'!D10)/12</f>
        <v>0</v>
      </c>
      <c r="L166" s="0" t="n">
        <f aca="false">D166*N('Debt Payoff'!D11)/12</f>
        <v>0</v>
      </c>
      <c r="M166" s="0" t="n">
        <f aca="false">E166*N('Debt Payoff'!D12)/12</f>
        <v>0</v>
      </c>
      <c r="N166" s="0" t="n">
        <f aca="false">F166*N('Debt Payoff'!D13)/12</f>
        <v>0</v>
      </c>
      <c r="O166" s="0" t="n">
        <f aca="false">G166*N('Debt Payoff'!D14)/12</f>
        <v>0</v>
      </c>
      <c r="P166" s="0" t="n">
        <f aca="false">H166*N('Debt Payoff'!D15)/12</f>
        <v>0</v>
      </c>
      <c r="Q166" s="0" t="n">
        <f aca="false">I166*N('Debt Payoff'!D16)/12</f>
        <v>0</v>
      </c>
      <c r="R166" s="0" t="n">
        <f aca="false">B166+J166</f>
        <v>0</v>
      </c>
      <c r="S166" s="0" t="n">
        <f aca="false">C166+K166</f>
        <v>0</v>
      </c>
      <c r="T166" s="0" t="n">
        <f aca="false">D166+L166</f>
        <v>0</v>
      </c>
      <c r="U166" s="0" t="n">
        <f aca="false">E166+M166</f>
        <v>0</v>
      </c>
      <c r="V166" s="0" t="n">
        <f aca="false">F166+N166</f>
        <v>0</v>
      </c>
      <c r="W166" s="0" t="n">
        <f aca="false">G166+O166</f>
        <v>0</v>
      </c>
      <c r="X166" s="0" t="n">
        <f aca="false">H166+P166</f>
        <v>0</v>
      </c>
      <c r="Y166" s="0" t="n">
        <f aca="false">I166+Q166</f>
        <v>0</v>
      </c>
      <c r="Z166" s="0" t="n">
        <f aca="false">MIN(R166,N('Debt Payoff'!E9))</f>
        <v>0</v>
      </c>
      <c r="AA166" s="0" t="n">
        <f aca="false">MIN(S166,N('Debt Payoff'!E10))</f>
        <v>0</v>
      </c>
      <c r="AB166" s="0" t="n">
        <f aca="false">MIN(T166,N('Debt Payoff'!E11))</f>
        <v>0</v>
      </c>
      <c r="AC166" s="0" t="n">
        <f aca="false">MIN(U166,N('Debt Payoff'!E12))</f>
        <v>0</v>
      </c>
      <c r="AD166" s="0" t="n">
        <f aca="false">MIN(V166,N('Debt Payoff'!E13))</f>
        <v>0</v>
      </c>
      <c r="AE166" s="0" t="n">
        <f aca="false">MIN(W166,N('Debt Payoff'!E14))</f>
        <v>0</v>
      </c>
      <c r="AF166" s="0" t="n">
        <f aca="false">MIN(X166,N('Debt Payoff'!E15))</f>
        <v>0</v>
      </c>
      <c r="AG166" s="0" t="n">
        <f aca="false">MIN(Y166,N('Debt Payoff'!E16))</f>
        <v>0</v>
      </c>
      <c r="AH166" s="0" t="n">
        <f aca="false">R166-Z166</f>
        <v>0</v>
      </c>
      <c r="AI166" s="0" t="n">
        <f aca="false">S166-AA166</f>
        <v>0</v>
      </c>
      <c r="AJ166" s="0" t="n">
        <f aca="false">T166-AB166</f>
        <v>0</v>
      </c>
      <c r="AK166" s="0" t="n">
        <f aca="false">U166-AC166</f>
        <v>0</v>
      </c>
      <c r="AL166" s="0" t="n">
        <f aca="false">V166-AD166</f>
        <v>0</v>
      </c>
      <c r="AM166" s="0" t="n">
        <f aca="false">W166-AE166</f>
        <v>0</v>
      </c>
      <c r="AN166" s="0" t="n">
        <f aca="false">X166-AF166</f>
        <v>0</v>
      </c>
      <c r="AO166" s="0" t="n">
        <f aca="false">Y166-AG166</f>
        <v>0</v>
      </c>
      <c r="AP166" s="0" t="n">
        <f aca="false">MAX(0,'Debt Payoff'!$D$17-SUM(Z166:AG166))</f>
        <v>805</v>
      </c>
      <c r="AQ166" s="0" t="n">
        <f aca="false">MIN(AH166,MAX(0,$AP166-SUMPRODUCT(($AH$1:$AO$1&lt;AH$1)*$AH166:$AO166)))</f>
        <v>0</v>
      </c>
      <c r="AR166" s="0" t="n">
        <f aca="false">MIN(AI166,MAX(0,$AP166-SUMPRODUCT(($AH$1:$AO$1&lt;AI$1)*$AH166:$AO166)))</f>
        <v>0</v>
      </c>
      <c r="AS166" s="0" t="n">
        <f aca="false">MIN(AJ166,MAX(0,$AP166-SUMPRODUCT(($AH$1:$AO$1&lt;AJ$1)*$AH166:$AO166)))</f>
        <v>0</v>
      </c>
      <c r="AT166" s="0" t="n">
        <f aca="false">MIN(AK166,MAX(0,$AP166-SUMPRODUCT(($AH$1:$AO$1&lt;AK$1)*$AH166:$AO166)))</f>
        <v>0</v>
      </c>
      <c r="AU166" s="0" t="n">
        <f aca="false">MIN(AL166,MAX(0,$AP166-SUMPRODUCT(($AH$1:$AO$1&lt;AL$1)*$AH166:$AO166)))</f>
        <v>0</v>
      </c>
      <c r="AV166" s="0" t="n">
        <f aca="false">MIN(AM166,MAX(0,$AP166-SUMPRODUCT(($AH$1:$AO$1&lt;AM$1)*$AH166:$AO166)))</f>
        <v>0</v>
      </c>
      <c r="AW166" s="0" t="n">
        <f aca="false">MIN(AN166,MAX(0,$AP166-SUMPRODUCT(($AH$1:$AO$1&lt;AN$1)*$AH166:$AO166)))</f>
        <v>0</v>
      </c>
      <c r="AX166" s="0" t="n">
        <f aca="false">MIN(AO166,MAX(0,$AP166-SUMPRODUCT(($AH$1:$AO$1&lt;AO$1)*$AH166:$AO166)))</f>
        <v>0</v>
      </c>
      <c r="AY166" s="0" t="n">
        <f aca="false">ROUND(AH166-AQ166,2)</f>
        <v>0</v>
      </c>
      <c r="AZ166" s="0" t="n">
        <f aca="false">ROUND(AI166-AR166,2)</f>
        <v>0</v>
      </c>
      <c r="BA166" s="0" t="n">
        <f aca="false">ROUND(AJ166-AS166,2)</f>
        <v>0</v>
      </c>
      <c r="BB166" s="0" t="n">
        <f aca="false">ROUND(AK166-AT166,2)</f>
        <v>0</v>
      </c>
      <c r="BC166" s="0" t="n">
        <f aca="false">ROUND(AL166-AU166,2)</f>
        <v>0</v>
      </c>
      <c r="BD166" s="0" t="n">
        <f aca="false">ROUND(AM166-AV166,2)</f>
        <v>0</v>
      </c>
      <c r="BE166" s="0" t="n">
        <f aca="false">ROUND(AN166-AW166,2)</f>
        <v>0</v>
      </c>
      <c r="BF166" s="0" t="n">
        <f aca="false">ROUND(AO166-AX166,2)</f>
        <v>0</v>
      </c>
      <c r="BG166" s="0" t="n">
        <f aca="false">SUM(AY166:BF166)</f>
        <v>0</v>
      </c>
    </row>
    <row r="167" customFormat="false" ht="15" hidden="false" customHeight="false" outlineLevel="0" collapsed="false">
      <c r="A167" s="0" t="n">
        <v>165</v>
      </c>
      <c r="B167" s="0" t="n">
        <f aca="false">AY166</f>
        <v>0</v>
      </c>
      <c r="C167" s="0" t="n">
        <f aca="false">AZ166</f>
        <v>0</v>
      </c>
      <c r="D167" s="0" t="n">
        <f aca="false">BA166</f>
        <v>0</v>
      </c>
      <c r="E167" s="0" t="n">
        <f aca="false">BB166</f>
        <v>0</v>
      </c>
      <c r="F167" s="0" t="n">
        <f aca="false">BC166</f>
        <v>0</v>
      </c>
      <c r="G167" s="0" t="n">
        <f aca="false">BD166</f>
        <v>0</v>
      </c>
      <c r="H167" s="0" t="n">
        <f aca="false">BE166</f>
        <v>0</v>
      </c>
      <c r="I167" s="0" t="n">
        <f aca="false">BF166</f>
        <v>0</v>
      </c>
      <c r="J167" s="0" t="n">
        <f aca="false">B167*N('Debt Payoff'!D9)/12</f>
        <v>0</v>
      </c>
      <c r="K167" s="0" t="n">
        <f aca="false">C167*N('Debt Payoff'!D10)/12</f>
        <v>0</v>
      </c>
      <c r="L167" s="0" t="n">
        <f aca="false">D167*N('Debt Payoff'!D11)/12</f>
        <v>0</v>
      </c>
      <c r="M167" s="0" t="n">
        <f aca="false">E167*N('Debt Payoff'!D12)/12</f>
        <v>0</v>
      </c>
      <c r="N167" s="0" t="n">
        <f aca="false">F167*N('Debt Payoff'!D13)/12</f>
        <v>0</v>
      </c>
      <c r="O167" s="0" t="n">
        <f aca="false">G167*N('Debt Payoff'!D14)/12</f>
        <v>0</v>
      </c>
      <c r="P167" s="0" t="n">
        <f aca="false">H167*N('Debt Payoff'!D15)/12</f>
        <v>0</v>
      </c>
      <c r="Q167" s="0" t="n">
        <f aca="false">I167*N('Debt Payoff'!D16)/12</f>
        <v>0</v>
      </c>
      <c r="R167" s="0" t="n">
        <f aca="false">B167+J167</f>
        <v>0</v>
      </c>
      <c r="S167" s="0" t="n">
        <f aca="false">C167+K167</f>
        <v>0</v>
      </c>
      <c r="T167" s="0" t="n">
        <f aca="false">D167+L167</f>
        <v>0</v>
      </c>
      <c r="U167" s="0" t="n">
        <f aca="false">E167+M167</f>
        <v>0</v>
      </c>
      <c r="V167" s="0" t="n">
        <f aca="false">F167+N167</f>
        <v>0</v>
      </c>
      <c r="W167" s="0" t="n">
        <f aca="false">G167+O167</f>
        <v>0</v>
      </c>
      <c r="X167" s="0" t="n">
        <f aca="false">H167+P167</f>
        <v>0</v>
      </c>
      <c r="Y167" s="0" t="n">
        <f aca="false">I167+Q167</f>
        <v>0</v>
      </c>
      <c r="Z167" s="0" t="n">
        <f aca="false">MIN(R167,N('Debt Payoff'!E9))</f>
        <v>0</v>
      </c>
      <c r="AA167" s="0" t="n">
        <f aca="false">MIN(S167,N('Debt Payoff'!E10))</f>
        <v>0</v>
      </c>
      <c r="AB167" s="0" t="n">
        <f aca="false">MIN(T167,N('Debt Payoff'!E11))</f>
        <v>0</v>
      </c>
      <c r="AC167" s="0" t="n">
        <f aca="false">MIN(U167,N('Debt Payoff'!E12))</f>
        <v>0</v>
      </c>
      <c r="AD167" s="0" t="n">
        <f aca="false">MIN(V167,N('Debt Payoff'!E13))</f>
        <v>0</v>
      </c>
      <c r="AE167" s="0" t="n">
        <f aca="false">MIN(W167,N('Debt Payoff'!E14))</f>
        <v>0</v>
      </c>
      <c r="AF167" s="0" t="n">
        <f aca="false">MIN(X167,N('Debt Payoff'!E15))</f>
        <v>0</v>
      </c>
      <c r="AG167" s="0" t="n">
        <f aca="false">MIN(Y167,N('Debt Payoff'!E16))</f>
        <v>0</v>
      </c>
      <c r="AH167" s="0" t="n">
        <f aca="false">R167-Z167</f>
        <v>0</v>
      </c>
      <c r="AI167" s="0" t="n">
        <f aca="false">S167-AA167</f>
        <v>0</v>
      </c>
      <c r="AJ167" s="0" t="n">
        <f aca="false">T167-AB167</f>
        <v>0</v>
      </c>
      <c r="AK167" s="0" t="n">
        <f aca="false">U167-AC167</f>
        <v>0</v>
      </c>
      <c r="AL167" s="0" t="n">
        <f aca="false">V167-AD167</f>
        <v>0</v>
      </c>
      <c r="AM167" s="0" t="n">
        <f aca="false">W167-AE167</f>
        <v>0</v>
      </c>
      <c r="AN167" s="0" t="n">
        <f aca="false">X167-AF167</f>
        <v>0</v>
      </c>
      <c r="AO167" s="0" t="n">
        <f aca="false">Y167-AG167</f>
        <v>0</v>
      </c>
      <c r="AP167" s="0" t="n">
        <f aca="false">MAX(0,'Debt Payoff'!$D$17-SUM(Z167:AG167))</f>
        <v>805</v>
      </c>
      <c r="AQ167" s="0" t="n">
        <f aca="false">MIN(AH167,MAX(0,$AP167-SUMPRODUCT(($AH$1:$AO$1&lt;AH$1)*$AH167:$AO167)))</f>
        <v>0</v>
      </c>
      <c r="AR167" s="0" t="n">
        <f aca="false">MIN(AI167,MAX(0,$AP167-SUMPRODUCT(($AH$1:$AO$1&lt;AI$1)*$AH167:$AO167)))</f>
        <v>0</v>
      </c>
      <c r="AS167" s="0" t="n">
        <f aca="false">MIN(AJ167,MAX(0,$AP167-SUMPRODUCT(($AH$1:$AO$1&lt;AJ$1)*$AH167:$AO167)))</f>
        <v>0</v>
      </c>
      <c r="AT167" s="0" t="n">
        <f aca="false">MIN(AK167,MAX(0,$AP167-SUMPRODUCT(($AH$1:$AO$1&lt;AK$1)*$AH167:$AO167)))</f>
        <v>0</v>
      </c>
      <c r="AU167" s="0" t="n">
        <f aca="false">MIN(AL167,MAX(0,$AP167-SUMPRODUCT(($AH$1:$AO$1&lt;AL$1)*$AH167:$AO167)))</f>
        <v>0</v>
      </c>
      <c r="AV167" s="0" t="n">
        <f aca="false">MIN(AM167,MAX(0,$AP167-SUMPRODUCT(($AH$1:$AO$1&lt;AM$1)*$AH167:$AO167)))</f>
        <v>0</v>
      </c>
      <c r="AW167" s="0" t="n">
        <f aca="false">MIN(AN167,MAX(0,$AP167-SUMPRODUCT(($AH$1:$AO$1&lt;AN$1)*$AH167:$AO167)))</f>
        <v>0</v>
      </c>
      <c r="AX167" s="0" t="n">
        <f aca="false">MIN(AO167,MAX(0,$AP167-SUMPRODUCT(($AH$1:$AO$1&lt;AO$1)*$AH167:$AO167)))</f>
        <v>0</v>
      </c>
      <c r="AY167" s="0" t="n">
        <f aca="false">ROUND(AH167-AQ167,2)</f>
        <v>0</v>
      </c>
      <c r="AZ167" s="0" t="n">
        <f aca="false">ROUND(AI167-AR167,2)</f>
        <v>0</v>
      </c>
      <c r="BA167" s="0" t="n">
        <f aca="false">ROUND(AJ167-AS167,2)</f>
        <v>0</v>
      </c>
      <c r="BB167" s="0" t="n">
        <f aca="false">ROUND(AK167-AT167,2)</f>
        <v>0</v>
      </c>
      <c r="BC167" s="0" t="n">
        <f aca="false">ROUND(AL167-AU167,2)</f>
        <v>0</v>
      </c>
      <c r="BD167" s="0" t="n">
        <f aca="false">ROUND(AM167-AV167,2)</f>
        <v>0</v>
      </c>
      <c r="BE167" s="0" t="n">
        <f aca="false">ROUND(AN167-AW167,2)</f>
        <v>0</v>
      </c>
      <c r="BF167" s="0" t="n">
        <f aca="false">ROUND(AO167-AX167,2)</f>
        <v>0</v>
      </c>
      <c r="BG167" s="0" t="n">
        <f aca="false">SUM(AY167:BF167)</f>
        <v>0</v>
      </c>
    </row>
    <row r="168" customFormat="false" ht="15" hidden="false" customHeight="false" outlineLevel="0" collapsed="false">
      <c r="A168" s="0" t="n">
        <v>166</v>
      </c>
      <c r="B168" s="0" t="n">
        <f aca="false">AY167</f>
        <v>0</v>
      </c>
      <c r="C168" s="0" t="n">
        <f aca="false">AZ167</f>
        <v>0</v>
      </c>
      <c r="D168" s="0" t="n">
        <f aca="false">BA167</f>
        <v>0</v>
      </c>
      <c r="E168" s="0" t="n">
        <f aca="false">BB167</f>
        <v>0</v>
      </c>
      <c r="F168" s="0" t="n">
        <f aca="false">BC167</f>
        <v>0</v>
      </c>
      <c r="G168" s="0" t="n">
        <f aca="false">BD167</f>
        <v>0</v>
      </c>
      <c r="H168" s="0" t="n">
        <f aca="false">BE167</f>
        <v>0</v>
      </c>
      <c r="I168" s="0" t="n">
        <f aca="false">BF167</f>
        <v>0</v>
      </c>
      <c r="J168" s="0" t="n">
        <f aca="false">B168*N('Debt Payoff'!D9)/12</f>
        <v>0</v>
      </c>
      <c r="K168" s="0" t="n">
        <f aca="false">C168*N('Debt Payoff'!D10)/12</f>
        <v>0</v>
      </c>
      <c r="L168" s="0" t="n">
        <f aca="false">D168*N('Debt Payoff'!D11)/12</f>
        <v>0</v>
      </c>
      <c r="M168" s="0" t="n">
        <f aca="false">E168*N('Debt Payoff'!D12)/12</f>
        <v>0</v>
      </c>
      <c r="N168" s="0" t="n">
        <f aca="false">F168*N('Debt Payoff'!D13)/12</f>
        <v>0</v>
      </c>
      <c r="O168" s="0" t="n">
        <f aca="false">G168*N('Debt Payoff'!D14)/12</f>
        <v>0</v>
      </c>
      <c r="P168" s="0" t="n">
        <f aca="false">H168*N('Debt Payoff'!D15)/12</f>
        <v>0</v>
      </c>
      <c r="Q168" s="0" t="n">
        <f aca="false">I168*N('Debt Payoff'!D16)/12</f>
        <v>0</v>
      </c>
      <c r="R168" s="0" t="n">
        <f aca="false">B168+J168</f>
        <v>0</v>
      </c>
      <c r="S168" s="0" t="n">
        <f aca="false">C168+K168</f>
        <v>0</v>
      </c>
      <c r="T168" s="0" t="n">
        <f aca="false">D168+L168</f>
        <v>0</v>
      </c>
      <c r="U168" s="0" t="n">
        <f aca="false">E168+M168</f>
        <v>0</v>
      </c>
      <c r="V168" s="0" t="n">
        <f aca="false">F168+N168</f>
        <v>0</v>
      </c>
      <c r="W168" s="0" t="n">
        <f aca="false">G168+O168</f>
        <v>0</v>
      </c>
      <c r="X168" s="0" t="n">
        <f aca="false">H168+P168</f>
        <v>0</v>
      </c>
      <c r="Y168" s="0" t="n">
        <f aca="false">I168+Q168</f>
        <v>0</v>
      </c>
      <c r="Z168" s="0" t="n">
        <f aca="false">MIN(R168,N('Debt Payoff'!E9))</f>
        <v>0</v>
      </c>
      <c r="AA168" s="0" t="n">
        <f aca="false">MIN(S168,N('Debt Payoff'!E10))</f>
        <v>0</v>
      </c>
      <c r="AB168" s="0" t="n">
        <f aca="false">MIN(T168,N('Debt Payoff'!E11))</f>
        <v>0</v>
      </c>
      <c r="AC168" s="0" t="n">
        <f aca="false">MIN(U168,N('Debt Payoff'!E12))</f>
        <v>0</v>
      </c>
      <c r="AD168" s="0" t="n">
        <f aca="false">MIN(V168,N('Debt Payoff'!E13))</f>
        <v>0</v>
      </c>
      <c r="AE168" s="0" t="n">
        <f aca="false">MIN(W168,N('Debt Payoff'!E14))</f>
        <v>0</v>
      </c>
      <c r="AF168" s="0" t="n">
        <f aca="false">MIN(X168,N('Debt Payoff'!E15))</f>
        <v>0</v>
      </c>
      <c r="AG168" s="0" t="n">
        <f aca="false">MIN(Y168,N('Debt Payoff'!E16))</f>
        <v>0</v>
      </c>
      <c r="AH168" s="0" t="n">
        <f aca="false">R168-Z168</f>
        <v>0</v>
      </c>
      <c r="AI168" s="0" t="n">
        <f aca="false">S168-AA168</f>
        <v>0</v>
      </c>
      <c r="AJ168" s="0" t="n">
        <f aca="false">T168-AB168</f>
        <v>0</v>
      </c>
      <c r="AK168" s="0" t="n">
        <f aca="false">U168-AC168</f>
        <v>0</v>
      </c>
      <c r="AL168" s="0" t="n">
        <f aca="false">V168-AD168</f>
        <v>0</v>
      </c>
      <c r="AM168" s="0" t="n">
        <f aca="false">W168-AE168</f>
        <v>0</v>
      </c>
      <c r="AN168" s="0" t="n">
        <f aca="false">X168-AF168</f>
        <v>0</v>
      </c>
      <c r="AO168" s="0" t="n">
        <f aca="false">Y168-AG168</f>
        <v>0</v>
      </c>
      <c r="AP168" s="0" t="n">
        <f aca="false">MAX(0,'Debt Payoff'!$D$17-SUM(Z168:AG168))</f>
        <v>805</v>
      </c>
      <c r="AQ168" s="0" t="n">
        <f aca="false">MIN(AH168,MAX(0,$AP168-SUMPRODUCT(($AH$1:$AO$1&lt;AH$1)*$AH168:$AO168)))</f>
        <v>0</v>
      </c>
      <c r="AR168" s="0" t="n">
        <f aca="false">MIN(AI168,MAX(0,$AP168-SUMPRODUCT(($AH$1:$AO$1&lt;AI$1)*$AH168:$AO168)))</f>
        <v>0</v>
      </c>
      <c r="AS168" s="0" t="n">
        <f aca="false">MIN(AJ168,MAX(0,$AP168-SUMPRODUCT(($AH$1:$AO$1&lt;AJ$1)*$AH168:$AO168)))</f>
        <v>0</v>
      </c>
      <c r="AT168" s="0" t="n">
        <f aca="false">MIN(AK168,MAX(0,$AP168-SUMPRODUCT(($AH$1:$AO$1&lt;AK$1)*$AH168:$AO168)))</f>
        <v>0</v>
      </c>
      <c r="AU168" s="0" t="n">
        <f aca="false">MIN(AL168,MAX(0,$AP168-SUMPRODUCT(($AH$1:$AO$1&lt;AL$1)*$AH168:$AO168)))</f>
        <v>0</v>
      </c>
      <c r="AV168" s="0" t="n">
        <f aca="false">MIN(AM168,MAX(0,$AP168-SUMPRODUCT(($AH$1:$AO$1&lt;AM$1)*$AH168:$AO168)))</f>
        <v>0</v>
      </c>
      <c r="AW168" s="0" t="n">
        <f aca="false">MIN(AN168,MAX(0,$AP168-SUMPRODUCT(($AH$1:$AO$1&lt;AN$1)*$AH168:$AO168)))</f>
        <v>0</v>
      </c>
      <c r="AX168" s="0" t="n">
        <f aca="false">MIN(AO168,MAX(0,$AP168-SUMPRODUCT(($AH$1:$AO$1&lt;AO$1)*$AH168:$AO168)))</f>
        <v>0</v>
      </c>
      <c r="AY168" s="0" t="n">
        <f aca="false">ROUND(AH168-AQ168,2)</f>
        <v>0</v>
      </c>
      <c r="AZ168" s="0" t="n">
        <f aca="false">ROUND(AI168-AR168,2)</f>
        <v>0</v>
      </c>
      <c r="BA168" s="0" t="n">
        <f aca="false">ROUND(AJ168-AS168,2)</f>
        <v>0</v>
      </c>
      <c r="BB168" s="0" t="n">
        <f aca="false">ROUND(AK168-AT168,2)</f>
        <v>0</v>
      </c>
      <c r="BC168" s="0" t="n">
        <f aca="false">ROUND(AL168-AU168,2)</f>
        <v>0</v>
      </c>
      <c r="BD168" s="0" t="n">
        <f aca="false">ROUND(AM168-AV168,2)</f>
        <v>0</v>
      </c>
      <c r="BE168" s="0" t="n">
        <f aca="false">ROUND(AN168-AW168,2)</f>
        <v>0</v>
      </c>
      <c r="BF168" s="0" t="n">
        <f aca="false">ROUND(AO168-AX168,2)</f>
        <v>0</v>
      </c>
      <c r="BG168" s="0" t="n">
        <f aca="false">SUM(AY168:BF168)</f>
        <v>0</v>
      </c>
    </row>
    <row r="169" customFormat="false" ht="15" hidden="false" customHeight="false" outlineLevel="0" collapsed="false">
      <c r="A169" s="0" t="n">
        <v>167</v>
      </c>
      <c r="B169" s="0" t="n">
        <f aca="false">AY168</f>
        <v>0</v>
      </c>
      <c r="C169" s="0" t="n">
        <f aca="false">AZ168</f>
        <v>0</v>
      </c>
      <c r="D169" s="0" t="n">
        <f aca="false">BA168</f>
        <v>0</v>
      </c>
      <c r="E169" s="0" t="n">
        <f aca="false">BB168</f>
        <v>0</v>
      </c>
      <c r="F169" s="0" t="n">
        <f aca="false">BC168</f>
        <v>0</v>
      </c>
      <c r="G169" s="0" t="n">
        <f aca="false">BD168</f>
        <v>0</v>
      </c>
      <c r="H169" s="0" t="n">
        <f aca="false">BE168</f>
        <v>0</v>
      </c>
      <c r="I169" s="0" t="n">
        <f aca="false">BF168</f>
        <v>0</v>
      </c>
      <c r="J169" s="0" t="n">
        <f aca="false">B169*N('Debt Payoff'!D9)/12</f>
        <v>0</v>
      </c>
      <c r="K169" s="0" t="n">
        <f aca="false">C169*N('Debt Payoff'!D10)/12</f>
        <v>0</v>
      </c>
      <c r="L169" s="0" t="n">
        <f aca="false">D169*N('Debt Payoff'!D11)/12</f>
        <v>0</v>
      </c>
      <c r="M169" s="0" t="n">
        <f aca="false">E169*N('Debt Payoff'!D12)/12</f>
        <v>0</v>
      </c>
      <c r="N169" s="0" t="n">
        <f aca="false">F169*N('Debt Payoff'!D13)/12</f>
        <v>0</v>
      </c>
      <c r="O169" s="0" t="n">
        <f aca="false">G169*N('Debt Payoff'!D14)/12</f>
        <v>0</v>
      </c>
      <c r="P169" s="0" t="n">
        <f aca="false">H169*N('Debt Payoff'!D15)/12</f>
        <v>0</v>
      </c>
      <c r="Q169" s="0" t="n">
        <f aca="false">I169*N('Debt Payoff'!D16)/12</f>
        <v>0</v>
      </c>
      <c r="R169" s="0" t="n">
        <f aca="false">B169+J169</f>
        <v>0</v>
      </c>
      <c r="S169" s="0" t="n">
        <f aca="false">C169+K169</f>
        <v>0</v>
      </c>
      <c r="T169" s="0" t="n">
        <f aca="false">D169+L169</f>
        <v>0</v>
      </c>
      <c r="U169" s="0" t="n">
        <f aca="false">E169+M169</f>
        <v>0</v>
      </c>
      <c r="V169" s="0" t="n">
        <f aca="false">F169+N169</f>
        <v>0</v>
      </c>
      <c r="W169" s="0" t="n">
        <f aca="false">G169+O169</f>
        <v>0</v>
      </c>
      <c r="X169" s="0" t="n">
        <f aca="false">H169+P169</f>
        <v>0</v>
      </c>
      <c r="Y169" s="0" t="n">
        <f aca="false">I169+Q169</f>
        <v>0</v>
      </c>
      <c r="Z169" s="0" t="n">
        <f aca="false">MIN(R169,N('Debt Payoff'!E9))</f>
        <v>0</v>
      </c>
      <c r="AA169" s="0" t="n">
        <f aca="false">MIN(S169,N('Debt Payoff'!E10))</f>
        <v>0</v>
      </c>
      <c r="AB169" s="0" t="n">
        <f aca="false">MIN(T169,N('Debt Payoff'!E11))</f>
        <v>0</v>
      </c>
      <c r="AC169" s="0" t="n">
        <f aca="false">MIN(U169,N('Debt Payoff'!E12))</f>
        <v>0</v>
      </c>
      <c r="AD169" s="0" t="n">
        <f aca="false">MIN(V169,N('Debt Payoff'!E13))</f>
        <v>0</v>
      </c>
      <c r="AE169" s="0" t="n">
        <f aca="false">MIN(W169,N('Debt Payoff'!E14))</f>
        <v>0</v>
      </c>
      <c r="AF169" s="0" t="n">
        <f aca="false">MIN(X169,N('Debt Payoff'!E15))</f>
        <v>0</v>
      </c>
      <c r="AG169" s="0" t="n">
        <f aca="false">MIN(Y169,N('Debt Payoff'!E16))</f>
        <v>0</v>
      </c>
      <c r="AH169" s="0" t="n">
        <f aca="false">R169-Z169</f>
        <v>0</v>
      </c>
      <c r="AI169" s="0" t="n">
        <f aca="false">S169-AA169</f>
        <v>0</v>
      </c>
      <c r="AJ169" s="0" t="n">
        <f aca="false">T169-AB169</f>
        <v>0</v>
      </c>
      <c r="AK169" s="0" t="n">
        <f aca="false">U169-AC169</f>
        <v>0</v>
      </c>
      <c r="AL169" s="0" t="n">
        <f aca="false">V169-AD169</f>
        <v>0</v>
      </c>
      <c r="AM169" s="0" t="n">
        <f aca="false">W169-AE169</f>
        <v>0</v>
      </c>
      <c r="AN169" s="0" t="n">
        <f aca="false">X169-AF169</f>
        <v>0</v>
      </c>
      <c r="AO169" s="0" t="n">
        <f aca="false">Y169-AG169</f>
        <v>0</v>
      </c>
      <c r="AP169" s="0" t="n">
        <f aca="false">MAX(0,'Debt Payoff'!$D$17-SUM(Z169:AG169))</f>
        <v>805</v>
      </c>
      <c r="AQ169" s="0" t="n">
        <f aca="false">MIN(AH169,MAX(0,$AP169-SUMPRODUCT(($AH$1:$AO$1&lt;AH$1)*$AH169:$AO169)))</f>
        <v>0</v>
      </c>
      <c r="AR169" s="0" t="n">
        <f aca="false">MIN(AI169,MAX(0,$AP169-SUMPRODUCT(($AH$1:$AO$1&lt;AI$1)*$AH169:$AO169)))</f>
        <v>0</v>
      </c>
      <c r="AS169" s="0" t="n">
        <f aca="false">MIN(AJ169,MAX(0,$AP169-SUMPRODUCT(($AH$1:$AO$1&lt;AJ$1)*$AH169:$AO169)))</f>
        <v>0</v>
      </c>
      <c r="AT169" s="0" t="n">
        <f aca="false">MIN(AK169,MAX(0,$AP169-SUMPRODUCT(($AH$1:$AO$1&lt;AK$1)*$AH169:$AO169)))</f>
        <v>0</v>
      </c>
      <c r="AU169" s="0" t="n">
        <f aca="false">MIN(AL169,MAX(0,$AP169-SUMPRODUCT(($AH$1:$AO$1&lt;AL$1)*$AH169:$AO169)))</f>
        <v>0</v>
      </c>
      <c r="AV169" s="0" t="n">
        <f aca="false">MIN(AM169,MAX(0,$AP169-SUMPRODUCT(($AH$1:$AO$1&lt;AM$1)*$AH169:$AO169)))</f>
        <v>0</v>
      </c>
      <c r="AW169" s="0" t="n">
        <f aca="false">MIN(AN169,MAX(0,$AP169-SUMPRODUCT(($AH$1:$AO$1&lt;AN$1)*$AH169:$AO169)))</f>
        <v>0</v>
      </c>
      <c r="AX169" s="0" t="n">
        <f aca="false">MIN(AO169,MAX(0,$AP169-SUMPRODUCT(($AH$1:$AO$1&lt;AO$1)*$AH169:$AO169)))</f>
        <v>0</v>
      </c>
      <c r="AY169" s="0" t="n">
        <f aca="false">ROUND(AH169-AQ169,2)</f>
        <v>0</v>
      </c>
      <c r="AZ169" s="0" t="n">
        <f aca="false">ROUND(AI169-AR169,2)</f>
        <v>0</v>
      </c>
      <c r="BA169" s="0" t="n">
        <f aca="false">ROUND(AJ169-AS169,2)</f>
        <v>0</v>
      </c>
      <c r="BB169" s="0" t="n">
        <f aca="false">ROUND(AK169-AT169,2)</f>
        <v>0</v>
      </c>
      <c r="BC169" s="0" t="n">
        <f aca="false">ROUND(AL169-AU169,2)</f>
        <v>0</v>
      </c>
      <c r="BD169" s="0" t="n">
        <f aca="false">ROUND(AM169-AV169,2)</f>
        <v>0</v>
      </c>
      <c r="BE169" s="0" t="n">
        <f aca="false">ROUND(AN169-AW169,2)</f>
        <v>0</v>
      </c>
      <c r="BF169" s="0" t="n">
        <f aca="false">ROUND(AO169-AX169,2)</f>
        <v>0</v>
      </c>
      <c r="BG169" s="0" t="n">
        <f aca="false">SUM(AY169:BF169)</f>
        <v>0</v>
      </c>
    </row>
    <row r="170" customFormat="false" ht="15" hidden="false" customHeight="false" outlineLevel="0" collapsed="false">
      <c r="A170" s="0" t="n">
        <v>168</v>
      </c>
      <c r="B170" s="0" t="n">
        <f aca="false">AY169</f>
        <v>0</v>
      </c>
      <c r="C170" s="0" t="n">
        <f aca="false">AZ169</f>
        <v>0</v>
      </c>
      <c r="D170" s="0" t="n">
        <f aca="false">BA169</f>
        <v>0</v>
      </c>
      <c r="E170" s="0" t="n">
        <f aca="false">BB169</f>
        <v>0</v>
      </c>
      <c r="F170" s="0" t="n">
        <f aca="false">BC169</f>
        <v>0</v>
      </c>
      <c r="G170" s="0" t="n">
        <f aca="false">BD169</f>
        <v>0</v>
      </c>
      <c r="H170" s="0" t="n">
        <f aca="false">BE169</f>
        <v>0</v>
      </c>
      <c r="I170" s="0" t="n">
        <f aca="false">BF169</f>
        <v>0</v>
      </c>
      <c r="J170" s="0" t="n">
        <f aca="false">B170*N('Debt Payoff'!D9)/12</f>
        <v>0</v>
      </c>
      <c r="K170" s="0" t="n">
        <f aca="false">C170*N('Debt Payoff'!D10)/12</f>
        <v>0</v>
      </c>
      <c r="L170" s="0" t="n">
        <f aca="false">D170*N('Debt Payoff'!D11)/12</f>
        <v>0</v>
      </c>
      <c r="M170" s="0" t="n">
        <f aca="false">E170*N('Debt Payoff'!D12)/12</f>
        <v>0</v>
      </c>
      <c r="N170" s="0" t="n">
        <f aca="false">F170*N('Debt Payoff'!D13)/12</f>
        <v>0</v>
      </c>
      <c r="O170" s="0" t="n">
        <f aca="false">G170*N('Debt Payoff'!D14)/12</f>
        <v>0</v>
      </c>
      <c r="P170" s="0" t="n">
        <f aca="false">H170*N('Debt Payoff'!D15)/12</f>
        <v>0</v>
      </c>
      <c r="Q170" s="0" t="n">
        <f aca="false">I170*N('Debt Payoff'!D16)/12</f>
        <v>0</v>
      </c>
      <c r="R170" s="0" t="n">
        <f aca="false">B170+J170</f>
        <v>0</v>
      </c>
      <c r="S170" s="0" t="n">
        <f aca="false">C170+K170</f>
        <v>0</v>
      </c>
      <c r="T170" s="0" t="n">
        <f aca="false">D170+L170</f>
        <v>0</v>
      </c>
      <c r="U170" s="0" t="n">
        <f aca="false">E170+M170</f>
        <v>0</v>
      </c>
      <c r="V170" s="0" t="n">
        <f aca="false">F170+N170</f>
        <v>0</v>
      </c>
      <c r="W170" s="0" t="n">
        <f aca="false">G170+O170</f>
        <v>0</v>
      </c>
      <c r="X170" s="0" t="n">
        <f aca="false">H170+P170</f>
        <v>0</v>
      </c>
      <c r="Y170" s="0" t="n">
        <f aca="false">I170+Q170</f>
        <v>0</v>
      </c>
      <c r="Z170" s="0" t="n">
        <f aca="false">MIN(R170,N('Debt Payoff'!E9))</f>
        <v>0</v>
      </c>
      <c r="AA170" s="0" t="n">
        <f aca="false">MIN(S170,N('Debt Payoff'!E10))</f>
        <v>0</v>
      </c>
      <c r="AB170" s="0" t="n">
        <f aca="false">MIN(T170,N('Debt Payoff'!E11))</f>
        <v>0</v>
      </c>
      <c r="AC170" s="0" t="n">
        <f aca="false">MIN(U170,N('Debt Payoff'!E12))</f>
        <v>0</v>
      </c>
      <c r="AD170" s="0" t="n">
        <f aca="false">MIN(V170,N('Debt Payoff'!E13))</f>
        <v>0</v>
      </c>
      <c r="AE170" s="0" t="n">
        <f aca="false">MIN(W170,N('Debt Payoff'!E14))</f>
        <v>0</v>
      </c>
      <c r="AF170" s="0" t="n">
        <f aca="false">MIN(X170,N('Debt Payoff'!E15))</f>
        <v>0</v>
      </c>
      <c r="AG170" s="0" t="n">
        <f aca="false">MIN(Y170,N('Debt Payoff'!E16))</f>
        <v>0</v>
      </c>
      <c r="AH170" s="0" t="n">
        <f aca="false">R170-Z170</f>
        <v>0</v>
      </c>
      <c r="AI170" s="0" t="n">
        <f aca="false">S170-AA170</f>
        <v>0</v>
      </c>
      <c r="AJ170" s="0" t="n">
        <f aca="false">T170-AB170</f>
        <v>0</v>
      </c>
      <c r="AK170" s="0" t="n">
        <f aca="false">U170-AC170</f>
        <v>0</v>
      </c>
      <c r="AL170" s="0" t="n">
        <f aca="false">V170-AD170</f>
        <v>0</v>
      </c>
      <c r="AM170" s="0" t="n">
        <f aca="false">W170-AE170</f>
        <v>0</v>
      </c>
      <c r="AN170" s="0" t="n">
        <f aca="false">X170-AF170</f>
        <v>0</v>
      </c>
      <c r="AO170" s="0" t="n">
        <f aca="false">Y170-AG170</f>
        <v>0</v>
      </c>
      <c r="AP170" s="0" t="n">
        <f aca="false">MAX(0,'Debt Payoff'!$D$17-SUM(Z170:AG170))</f>
        <v>805</v>
      </c>
      <c r="AQ170" s="0" t="n">
        <f aca="false">MIN(AH170,MAX(0,$AP170-SUMPRODUCT(($AH$1:$AO$1&lt;AH$1)*$AH170:$AO170)))</f>
        <v>0</v>
      </c>
      <c r="AR170" s="0" t="n">
        <f aca="false">MIN(AI170,MAX(0,$AP170-SUMPRODUCT(($AH$1:$AO$1&lt;AI$1)*$AH170:$AO170)))</f>
        <v>0</v>
      </c>
      <c r="AS170" s="0" t="n">
        <f aca="false">MIN(AJ170,MAX(0,$AP170-SUMPRODUCT(($AH$1:$AO$1&lt;AJ$1)*$AH170:$AO170)))</f>
        <v>0</v>
      </c>
      <c r="AT170" s="0" t="n">
        <f aca="false">MIN(AK170,MAX(0,$AP170-SUMPRODUCT(($AH$1:$AO$1&lt;AK$1)*$AH170:$AO170)))</f>
        <v>0</v>
      </c>
      <c r="AU170" s="0" t="n">
        <f aca="false">MIN(AL170,MAX(0,$AP170-SUMPRODUCT(($AH$1:$AO$1&lt;AL$1)*$AH170:$AO170)))</f>
        <v>0</v>
      </c>
      <c r="AV170" s="0" t="n">
        <f aca="false">MIN(AM170,MAX(0,$AP170-SUMPRODUCT(($AH$1:$AO$1&lt;AM$1)*$AH170:$AO170)))</f>
        <v>0</v>
      </c>
      <c r="AW170" s="0" t="n">
        <f aca="false">MIN(AN170,MAX(0,$AP170-SUMPRODUCT(($AH$1:$AO$1&lt;AN$1)*$AH170:$AO170)))</f>
        <v>0</v>
      </c>
      <c r="AX170" s="0" t="n">
        <f aca="false">MIN(AO170,MAX(0,$AP170-SUMPRODUCT(($AH$1:$AO$1&lt;AO$1)*$AH170:$AO170)))</f>
        <v>0</v>
      </c>
      <c r="AY170" s="0" t="n">
        <f aca="false">ROUND(AH170-AQ170,2)</f>
        <v>0</v>
      </c>
      <c r="AZ170" s="0" t="n">
        <f aca="false">ROUND(AI170-AR170,2)</f>
        <v>0</v>
      </c>
      <c r="BA170" s="0" t="n">
        <f aca="false">ROUND(AJ170-AS170,2)</f>
        <v>0</v>
      </c>
      <c r="BB170" s="0" t="n">
        <f aca="false">ROUND(AK170-AT170,2)</f>
        <v>0</v>
      </c>
      <c r="BC170" s="0" t="n">
        <f aca="false">ROUND(AL170-AU170,2)</f>
        <v>0</v>
      </c>
      <c r="BD170" s="0" t="n">
        <f aca="false">ROUND(AM170-AV170,2)</f>
        <v>0</v>
      </c>
      <c r="BE170" s="0" t="n">
        <f aca="false">ROUND(AN170-AW170,2)</f>
        <v>0</v>
      </c>
      <c r="BF170" s="0" t="n">
        <f aca="false">ROUND(AO170-AX170,2)</f>
        <v>0</v>
      </c>
      <c r="BG170" s="0" t="n">
        <f aca="false">SUM(AY170:BF170)</f>
        <v>0</v>
      </c>
    </row>
    <row r="171" customFormat="false" ht="15" hidden="false" customHeight="false" outlineLevel="0" collapsed="false">
      <c r="A171" s="0" t="n">
        <v>169</v>
      </c>
      <c r="B171" s="0" t="n">
        <f aca="false">AY170</f>
        <v>0</v>
      </c>
      <c r="C171" s="0" t="n">
        <f aca="false">AZ170</f>
        <v>0</v>
      </c>
      <c r="D171" s="0" t="n">
        <f aca="false">BA170</f>
        <v>0</v>
      </c>
      <c r="E171" s="0" t="n">
        <f aca="false">BB170</f>
        <v>0</v>
      </c>
      <c r="F171" s="0" t="n">
        <f aca="false">BC170</f>
        <v>0</v>
      </c>
      <c r="G171" s="0" t="n">
        <f aca="false">BD170</f>
        <v>0</v>
      </c>
      <c r="H171" s="0" t="n">
        <f aca="false">BE170</f>
        <v>0</v>
      </c>
      <c r="I171" s="0" t="n">
        <f aca="false">BF170</f>
        <v>0</v>
      </c>
      <c r="J171" s="0" t="n">
        <f aca="false">B171*N('Debt Payoff'!D9)/12</f>
        <v>0</v>
      </c>
      <c r="K171" s="0" t="n">
        <f aca="false">C171*N('Debt Payoff'!D10)/12</f>
        <v>0</v>
      </c>
      <c r="L171" s="0" t="n">
        <f aca="false">D171*N('Debt Payoff'!D11)/12</f>
        <v>0</v>
      </c>
      <c r="M171" s="0" t="n">
        <f aca="false">E171*N('Debt Payoff'!D12)/12</f>
        <v>0</v>
      </c>
      <c r="N171" s="0" t="n">
        <f aca="false">F171*N('Debt Payoff'!D13)/12</f>
        <v>0</v>
      </c>
      <c r="O171" s="0" t="n">
        <f aca="false">G171*N('Debt Payoff'!D14)/12</f>
        <v>0</v>
      </c>
      <c r="P171" s="0" t="n">
        <f aca="false">H171*N('Debt Payoff'!D15)/12</f>
        <v>0</v>
      </c>
      <c r="Q171" s="0" t="n">
        <f aca="false">I171*N('Debt Payoff'!D16)/12</f>
        <v>0</v>
      </c>
      <c r="R171" s="0" t="n">
        <f aca="false">B171+J171</f>
        <v>0</v>
      </c>
      <c r="S171" s="0" t="n">
        <f aca="false">C171+K171</f>
        <v>0</v>
      </c>
      <c r="T171" s="0" t="n">
        <f aca="false">D171+L171</f>
        <v>0</v>
      </c>
      <c r="U171" s="0" t="n">
        <f aca="false">E171+M171</f>
        <v>0</v>
      </c>
      <c r="V171" s="0" t="n">
        <f aca="false">F171+N171</f>
        <v>0</v>
      </c>
      <c r="W171" s="0" t="n">
        <f aca="false">G171+O171</f>
        <v>0</v>
      </c>
      <c r="X171" s="0" t="n">
        <f aca="false">H171+P171</f>
        <v>0</v>
      </c>
      <c r="Y171" s="0" t="n">
        <f aca="false">I171+Q171</f>
        <v>0</v>
      </c>
      <c r="Z171" s="0" t="n">
        <f aca="false">MIN(R171,N('Debt Payoff'!E9))</f>
        <v>0</v>
      </c>
      <c r="AA171" s="0" t="n">
        <f aca="false">MIN(S171,N('Debt Payoff'!E10))</f>
        <v>0</v>
      </c>
      <c r="AB171" s="0" t="n">
        <f aca="false">MIN(T171,N('Debt Payoff'!E11))</f>
        <v>0</v>
      </c>
      <c r="AC171" s="0" t="n">
        <f aca="false">MIN(U171,N('Debt Payoff'!E12))</f>
        <v>0</v>
      </c>
      <c r="AD171" s="0" t="n">
        <f aca="false">MIN(V171,N('Debt Payoff'!E13))</f>
        <v>0</v>
      </c>
      <c r="AE171" s="0" t="n">
        <f aca="false">MIN(W171,N('Debt Payoff'!E14))</f>
        <v>0</v>
      </c>
      <c r="AF171" s="0" t="n">
        <f aca="false">MIN(X171,N('Debt Payoff'!E15))</f>
        <v>0</v>
      </c>
      <c r="AG171" s="0" t="n">
        <f aca="false">MIN(Y171,N('Debt Payoff'!E16))</f>
        <v>0</v>
      </c>
      <c r="AH171" s="0" t="n">
        <f aca="false">R171-Z171</f>
        <v>0</v>
      </c>
      <c r="AI171" s="0" t="n">
        <f aca="false">S171-AA171</f>
        <v>0</v>
      </c>
      <c r="AJ171" s="0" t="n">
        <f aca="false">T171-AB171</f>
        <v>0</v>
      </c>
      <c r="AK171" s="0" t="n">
        <f aca="false">U171-AC171</f>
        <v>0</v>
      </c>
      <c r="AL171" s="0" t="n">
        <f aca="false">V171-AD171</f>
        <v>0</v>
      </c>
      <c r="AM171" s="0" t="n">
        <f aca="false">W171-AE171</f>
        <v>0</v>
      </c>
      <c r="AN171" s="0" t="n">
        <f aca="false">X171-AF171</f>
        <v>0</v>
      </c>
      <c r="AO171" s="0" t="n">
        <f aca="false">Y171-AG171</f>
        <v>0</v>
      </c>
      <c r="AP171" s="0" t="n">
        <f aca="false">MAX(0,'Debt Payoff'!$D$17-SUM(Z171:AG171))</f>
        <v>805</v>
      </c>
      <c r="AQ171" s="0" t="n">
        <f aca="false">MIN(AH171,MAX(0,$AP171-SUMPRODUCT(($AH$1:$AO$1&lt;AH$1)*$AH171:$AO171)))</f>
        <v>0</v>
      </c>
      <c r="AR171" s="0" t="n">
        <f aca="false">MIN(AI171,MAX(0,$AP171-SUMPRODUCT(($AH$1:$AO$1&lt;AI$1)*$AH171:$AO171)))</f>
        <v>0</v>
      </c>
      <c r="AS171" s="0" t="n">
        <f aca="false">MIN(AJ171,MAX(0,$AP171-SUMPRODUCT(($AH$1:$AO$1&lt;AJ$1)*$AH171:$AO171)))</f>
        <v>0</v>
      </c>
      <c r="AT171" s="0" t="n">
        <f aca="false">MIN(AK171,MAX(0,$AP171-SUMPRODUCT(($AH$1:$AO$1&lt;AK$1)*$AH171:$AO171)))</f>
        <v>0</v>
      </c>
      <c r="AU171" s="0" t="n">
        <f aca="false">MIN(AL171,MAX(0,$AP171-SUMPRODUCT(($AH$1:$AO$1&lt;AL$1)*$AH171:$AO171)))</f>
        <v>0</v>
      </c>
      <c r="AV171" s="0" t="n">
        <f aca="false">MIN(AM171,MAX(0,$AP171-SUMPRODUCT(($AH$1:$AO$1&lt;AM$1)*$AH171:$AO171)))</f>
        <v>0</v>
      </c>
      <c r="AW171" s="0" t="n">
        <f aca="false">MIN(AN171,MAX(0,$AP171-SUMPRODUCT(($AH$1:$AO$1&lt;AN$1)*$AH171:$AO171)))</f>
        <v>0</v>
      </c>
      <c r="AX171" s="0" t="n">
        <f aca="false">MIN(AO171,MAX(0,$AP171-SUMPRODUCT(($AH$1:$AO$1&lt;AO$1)*$AH171:$AO171)))</f>
        <v>0</v>
      </c>
      <c r="AY171" s="0" t="n">
        <f aca="false">ROUND(AH171-AQ171,2)</f>
        <v>0</v>
      </c>
      <c r="AZ171" s="0" t="n">
        <f aca="false">ROUND(AI171-AR171,2)</f>
        <v>0</v>
      </c>
      <c r="BA171" s="0" t="n">
        <f aca="false">ROUND(AJ171-AS171,2)</f>
        <v>0</v>
      </c>
      <c r="BB171" s="0" t="n">
        <f aca="false">ROUND(AK171-AT171,2)</f>
        <v>0</v>
      </c>
      <c r="BC171" s="0" t="n">
        <f aca="false">ROUND(AL171-AU171,2)</f>
        <v>0</v>
      </c>
      <c r="BD171" s="0" t="n">
        <f aca="false">ROUND(AM171-AV171,2)</f>
        <v>0</v>
      </c>
      <c r="BE171" s="0" t="n">
        <f aca="false">ROUND(AN171-AW171,2)</f>
        <v>0</v>
      </c>
      <c r="BF171" s="0" t="n">
        <f aca="false">ROUND(AO171-AX171,2)</f>
        <v>0</v>
      </c>
      <c r="BG171" s="0" t="n">
        <f aca="false">SUM(AY171:BF171)</f>
        <v>0</v>
      </c>
    </row>
    <row r="172" customFormat="false" ht="15" hidden="false" customHeight="false" outlineLevel="0" collapsed="false">
      <c r="A172" s="0" t="n">
        <v>170</v>
      </c>
      <c r="B172" s="0" t="n">
        <f aca="false">AY171</f>
        <v>0</v>
      </c>
      <c r="C172" s="0" t="n">
        <f aca="false">AZ171</f>
        <v>0</v>
      </c>
      <c r="D172" s="0" t="n">
        <f aca="false">BA171</f>
        <v>0</v>
      </c>
      <c r="E172" s="0" t="n">
        <f aca="false">BB171</f>
        <v>0</v>
      </c>
      <c r="F172" s="0" t="n">
        <f aca="false">BC171</f>
        <v>0</v>
      </c>
      <c r="G172" s="0" t="n">
        <f aca="false">BD171</f>
        <v>0</v>
      </c>
      <c r="H172" s="0" t="n">
        <f aca="false">BE171</f>
        <v>0</v>
      </c>
      <c r="I172" s="0" t="n">
        <f aca="false">BF171</f>
        <v>0</v>
      </c>
      <c r="J172" s="0" t="n">
        <f aca="false">B172*N('Debt Payoff'!D9)/12</f>
        <v>0</v>
      </c>
      <c r="K172" s="0" t="n">
        <f aca="false">C172*N('Debt Payoff'!D10)/12</f>
        <v>0</v>
      </c>
      <c r="L172" s="0" t="n">
        <f aca="false">D172*N('Debt Payoff'!D11)/12</f>
        <v>0</v>
      </c>
      <c r="M172" s="0" t="n">
        <f aca="false">E172*N('Debt Payoff'!D12)/12</f>
        <v>0</v>
      </c>
      <c r="N172" s="0" t="n">
        <f aca="false">F172*N('Debt Payoff'!D13)/12</f>
        <v>0</v>
      </c>
      <c r="O172" s="0" t="n">
        <f aca="false">G172*N('Debt Payoff'!D14)/12</f>
        <v>0</v>
      </c>
      <c r="P172" s="0" t="n">
        <f aca="false">H172*N('Debt Payoff'!D15)/12</f>
        <v>0</v>
      </c>
      <c r="Q172" s="0" t="n">
        <f aca="false">I172*N('Debt Payoff'!D16)/12</f>
        <v>0</v>
      </c>
      <c r="R172" s="0" t="n">
        <f aca="false">B172+J172</f>
        <v>0</v>
      </c>
      <c r="S172" s="0" t="n">
        <f aca="false">C172+K172</f>
        <v>0</v>
      </c>
      <c r="T172" s="0" t="n">
        <f aca="false">D172+L172</f>
        <v>0</v>
      </c>
      <c r="U172" s="0" t="n">
        <f aca="false">E172+M172</f>
        <v>0</v>
      </c>
      <c r="V172" s="0" t="n">
        <f aca="false">F172+N172</f>
        <v>0</v>
      </c>
      <c r="W172" s="0" t="n">
        <f aca="false">G172+O172</f>
        <v>0</v>
      </c>
      <c r="X172" s="0" t="n">
        <f aca="false">H172+P172</f>
        <v>0</v>
      </c>
      <c r="Y172" s="0" t="n">
        <f aca="false">I172+Q172</f>
        <v>0</v>
      </c>
      <c r="Z172" s="0" t="n">
        <f aca="false">MIN(R172,N('Debt Payoff'!E9))</f>
        <v>0</v>
      </c>
      <c r="AA172" s="0" t="n">
        <f aca="false">MIN(S172,N('Debt Payoff'!E10))</f>
        <v>0</v>
      </c>
      <c r="AB172" s="0" t="n">
        <f aca="false">MIN(T172,N('Debt Payoff'!E11))</f>
        <v>0</v>
      </c>
      <c r="AC172" s="0" t="n">
        <f aca="false">MIN(U172,N('Debt Payoff'!E12))</f>
        <v>0</v>
      </c>
      <c r="AD172" s="0" t="n">
        <f aca="false">MIN(V172,N('Debt Payoff'!E13))</f>
        <v>0</v>
      </c>
      <c r="AE172" s="0" t="n">
        <f aca="false">MIN(W172,N('Debt Payoff'!E14))</f>
        <v>0</v>
      </c>
      <c r="AF172" s="0" t="n">
        <f aca="false">MIN(X172,N('Debt Payoff'!E15))</f>
        <v>0</v>
      </c>
      <c r="AG172" s="0" t="n">
        <f aca="false">MIN(Y172,N('Debt Payoff'!E16))</f>
        <v>0</v>
      </c>
      <c r="AH172" s="0" t="n">
        <f aca="false">R172-Z172</f>
        <v>0</v>
      </c>
      <c r="AI172" s="0" t="n">
        <f aca="false">S172-AA172</f>
        <v>0</v>
      </c>
      <c r="AJ172" s="0" t="n">
        <f aca="false">T172-AB172</f>
        <v>0</v>
      </c>
      <c r="AK172" s="0" t="n">
        <f aca="false">U172-AC172</f>
        <v>0</v>
      </c>
      <c r="AL172" s="0" t="n">
        <f aca="false">V172-AD172</f>
        <v>0</v>
      </c>
      <c r="AM172" s="0" t="n">
        <f aca="false">W172-AE172</f>
        <v>0</v>
      </c>
      <c r="AN172" s="0" t="n">
        <f aca="false">X172-AF172</f>
        <v>0</v>
      </c>
      <c r="AO172" s="0" t="n">
        <f aca="false">Y172-AG172</f>
        <v>0</v>
      </c>
      <c r="AP172" s="0" t="n">
        <f aca="false">MAX(0,'Debt Payoff'!$D$17-SUM(Z172:AG172))</f>
        <v>805</v>
      </c>
      <c r="AQ172" s="0" t="n">
        <f aca="false">MIN(AH172,MAX(0,$AP172-SUMPRODUCT(($AH$1:$AO$1&lt;AH$1)*$AH172:$AO172)))</f>
        <v>0</v>
      </c>
      <c r="AR172" s="0" t="n">
        <f aca="false">MIN(AI172,MAX(0,$AP172-SUMPRODUCT(($AH$1:$AO$1&lt;AI$1)*$AH172:$AO172)))</f>
        <v>0</v>
      </c>
      <c r="AS172" s="0" t="n">
        <f aca="false">MIN(AJ172,MAX(0,$AP172-SUMPRODUCT(($AH$1:$AO$1&lt;AJ$1)*$AH172:$AO172)))</f>
        <v>0</v>
      </c>
      <c r="AT172" s="0" t="n">
        <f aca="false">MIN(AK172,MAX(0,$AP172-SUMPRODUCT(($AH$1:$AO$1&lt;AK$1)*$AH172:$AO172)))</f>
        <v>0</v>
      </c>
      <c r="AU172" s="0" t="n">
        <f aca="false">MIN(AL172,MAX(0,$AP172-SUMPRODUCT(($AH$1:$AO$1&lt;AL$1)*$AH172:$AO172)))</f>
        <v>0</v>
      </c>
      <c r="AV172" s="0" t="n">
        <f aca="false">MIN(AM172,MAX(0,$AP172-SUMPRODUCT(($AH$1:$AO$1&lt;AM$1)*$AH172:$AO172)))</f>
        <v>0</v>
      </c>
      <c r="AW172" s="0" t="n">
        <f aca="false">MIN(AN172,MAX(0,$AP172-SUMPRODUCT(($AH$1:$AO$1&lt;AN$1)*$AH172:$AO172)))</f>
        <v>0</v>
      </c>
      <c r="AX172" s="0" t="n">
        <f aca="false">MIN(AO172,MAX(0,$AP172-SUMPRODUCT(($AH$1:$AO$1&lt;AO$1)*$AH172:$AO172)))</f>
        <v>0</v>
      </c>
      <c r="AY172" s="0" t="n">
        <f aca="false">ROUND(AH172-AQ172,2)</f>
        <v>0</v>
      </c>
      <c r="AZ172" s="0" t="n">
        <f aca="false">ROUND(AI172-AR172,2)</f>
        <v>0</v>
      </c>
      <c r="BA172" s="0" t="n">
        <f aca="false">ROUND(AJ172-AS172,2)</f>
        <v>0</v>
      </c>
      <c r="BB172" s="0" t="n">
        <f aca="false">ROUND(AK172-AT172,2)</f>
        <v>0</v>
      </c>
      <c r="BC172" s="0" t="n">
        <f aca="false">ROUND(AL172-AU172,2)</f>
        <v>0</v>
      </c>
      <c r="BD172" s="0" t="n">
        <f aca="false">ROUND(AM172-AV172,2)</f>
        <v>0</v>
      </c>
      <c r="BE172" s="0" t="n">
        <f aca="false">ROUND(AN172-AW172,2)</f>
        <v>0</v>
      </c>
      <c r="BF172" s="0" t="n">
        <f aca="false">ROUND(AO172-AX172,2)</f>
        <v>0</v>
      </c>
      <c r="BG172" s="0" t="n">
        <f aca="false">SUM(AY172:BF172)</f>
        <v>0</v>
      </c>
    </row>
    <row r="173" customFormat="false" ht="15" hidden="false" customHeight="false" outlineLevel="0" collapsed="false">
      <c r="A173" s="0" t="n">
        <v>171</v>
      </c>
      <c r="B173" s="0" t="n">
        <f aca="false">AY172</f>
        <v>0</v>
      </c>
      <c r="C173" s="0" t="n">
        <f aca="false">AZ172</f>
        <v>0</v>
      </c>
      <c r="D173" s="0" t="n">
        <f aca="false">BA172</f>
        <v>0</v>
      </c>
      <c r="E173" s="0" t="n">
        <f aca="false">BB172</f>
        <v>0</v>
      </c>
      <c r="F173" s="0" t="n">
        <f aca="false">BC172</f>
        <v>0</v>
      </c>
      <c r="G173" s="0" t="n">
        <f aca="false">BD172</f>
        <v>0</v>
      </c>
      <c r="H173" s="0" t="n">
        <f aca="false">BE172</f>
        <v>0</v>
      </c>
      <c r="I173" s="0" t="n">
        <f aca="false">BF172</f>
        <v>0</v>
      </c>
      <c r="J173" s="0" t="n">
        <f aca="false">B173*N('Debt Payoff'!D9)/12</f>
        <v>0</v>
      </c>
      <c r="K173" s="0" t="n">
        <f aca="false">C173*N('Debt Payoff'!D10)/12</f>
        <v>0</v>
      </c>
      <c r="L173" s="0" t="n">
        <f aca="false">D173*N('Debt Payoff'!D11)/12</f>
        <v>0</v>
      </c>
      <c r="M173" s="0" t="n">
        <f aca="false">E173*N('Debt Payoff'!D12)/12</f>
        <v>0</v>
      </c>
      <c r="N173" s="0" t="n">
        <f aca="false">F173*N('Debt Payoff'!D13)/12</f>
        <v>0</v>
      </c>
      <c r="O173" s="0" t="n">
        <f aca="false">G173*N('Debt Payoff'!D14)/12</f>
        <v>0</v>
      </c>
      <c r="P173" s="0" t="n">
        <f aca="false">H173*N('Debt Payoff'!D15)/12</f>
        <v>0</v>
      </c>
      <c r="Q173" s="0" t="n">
        <f aca="false">I173*N('Debt Payoff'!D16)/12</f>
        <v>0</v>
      </c>
      <c r="R173" s="0" t="n">
        <f aca="false">B173+J173</f>
        <v>0</v>
      </c>
      <c r="S173" s="0" t="n">
        <f aca="false">C173+K173</f>
        <v>0</v>
      </c>
      <c r="T173" s="0" t="n">
        <f aca="false">D173+L173</f>
        <v>0</v>
      </c>
      <c r="U173" s="0" t="n">
        <f aca="false">E173+M173</f>
        <v>0</v>
      </c>
      <c r="V173" s="0" t="n">
        <f aca="false">F173+N173</f>
        <v>0</v>
      </c>
      <c r="W173" s="0" t="n">
        <f aca="false">G173+O173</f>
        <v>0</v>
      </c>
      <c r="X173" s="0" t="n">
        <f aca="false">H173+P173</f>
        <v>0</v>
      </c>
      <c r="Y173" s="0" t="n">
        <f aca="false">I173+Q173</f>
        <v>0</v>
      </c>
      <c r="Z173" s="0" t="n">
        <f aca="false">MIN(R173,N('Debt Payoff'!E9))</f>
        <v>0</v>
      </c>
      <c r="AA173" s="0" t="n">
        <f aca="false">MIN(S173,N('Debt Payoff'!E10))</f>
        <v>0</v>
      </c>
      <c r="AB173" s="0" t="n">
        <f aca="false">MIN(T173,N('Debt Payoff'!E11))</f>
        <v>0</v>
      </c>
      <c r="AC173" s="0" t="n">
        <f aca="false">MIN(U173,N('Debt Payoff'!E12))</f>
        <v>0</v>
      </c>
      <c r="AD173" s="0" t="n">
        <f aca="false">MIN(V173,N('Debt Payoff'!E13))</f>
        <v>0</v>
      </c>
      <c r="AE173" s="0" t="n">
        <f aca="false">MIN(W173,N('Debt Payoff'!E14))</f>
        <v>0</v>
      </c>
      <c r="AF173" s="0" t="n">
        <f aca="false">MIN(X173,N('Debt Payoff'!E15))</f>
        <v>0</v>
      </c>
      <c r="AG173" s="0" t="n">
        <f aca="false">MIN(Y173,N('Debt Payoff'!E16))</f>
        <v>0</v>
      </c>
      <c r="AH173" s="0" t="n">
        <f aca="false">R173-Z173</f>
        <v>0</v>
      </c>
      <c r="AI173" s="0" t="n">
        <f aca="false">S173-AA173</f>
        <v>0</v>
      </c>
      <c r="AJ173" s="0" t="n">
        <f aca="false">T173-AB173</f>
        <v>0</v>
      </c>
      <c r="AK173" s="0" t="n">
        <f aca="false">U173-AC173</f>
        <v>0</v>
      </c>
      <c r="AL173" s="0" t="n">
        <f aca="false">V173-AD173</f>
        <v>0</v>
      </c>
      <c r="AM173" s="0" t="n">
        <f aca="false">W173-AE173</f>
        <v>0</v>
      </c>
      <c r="AN173" s="0" t="n">
        <f aca="false">X173-AF173</f>
        <v>0</v>
      </c>
      <c r="AO173" s="0" t="n">
        <f aca="false">Y173-AG173</f>
        <v>0</v>
      </c>
      <c r="AP173" s="0" t="n">
        <f aca="false">MAX(0,'Debt Payoff'!$D$17-SUM(Z173:AG173))</f>
        <v>805</v>
      </c>
      <c r="AQ173" s="0" t="n">
        <f aca="false">MIN(AH173,MAX(0,$AP173-SUMPRODUCT(($AH$1:$AO$1&lt;AH$1)*$AH173:$AO173)))</f>
        <v>0</v>
      </c>
      <c r="AR173" s="0" t="n">
        <f aca="false">MIN(AI173,MAX(0,$AP173-SUMPRODUCT(($AH$1:$AO$1&lt;AI$1)*$AH173:$AO173)))</f>
        <v>0</v>
      </c>
      <c r="AS173" s="0" t="n">
        <f aca="false">MIN(AJ173,MAX(0,$AP173-SUMPRODUCT(($AH$1:$AO$1&lt;AJ$1)*$AH173:$AO173)))</f>
        <v>0</v>
      </c>
      <c r="AT173" s="0" t="n">
        <f aca="false">MIN(AK173,MAX(0,$AP173-SUMPRODUCT(($AH$1:$AO$1&lt;AK$1)*$AH173:$AO173)))</f>
        <v>0</v>
      </c>
      <c r="AU173" s="0" t="n">
        <f aca="false">MIN(AL173,MAX(0,$AP173-SUMPRODUCT(($AH$1:$AO$1&lt;AL$1)*$AH173:$AO173)))</f>
        <v>0</v>
      </c>
      <c r="AV173" s="0" t="n">
        <f aca="false">MIN(AM173,MAX(0,$AP173-SUMPRODUCT(($AH$1:$AO$1&lt;AM$1)*$AH173:$AO173)))</f>
        <v>0</v>
      </c>
      <c r="AW173" s="0" t="n">
        <f aca="false">MIN(AN173,MAX(0,$AP173-SUMPRODUCT(($AH$1:$AO$1&lt;AN$1)*$AH173:$AO173)))</f>
        <v>0</v>
      </c>
      <c r="AX173" s="0" t="n">
        <f aca="false">MIN(AO173,MAX(0,$AP173-SUMPRODUCT(($AH$1:$AO$1&lt;AO$1)*$AH173:$AO173)))</f>
        <v>0</v>
      </c>
      <c r="AY173" s="0" t="n">
        <f aca="false">ROUND(AH173-AQ173,2)</f>
        <v>0</v>
      </c>
      <c r="AZ173" s="0" t="n">
        <f aca="false">ROUND(AI173-AR173,2)</f>
        <v>0</v>
      </c>
      <c r="BA173" s="0" t="n">
        <f aca="false">ROUND(AJ173-AS173,2)</f>
        <v>0</v>
      </c>
      <c r="BB173" s="0" t="n">
        <f aca="false">ROUND(AK173-AT173,2)</f>
        <v>0</v>
      </c>
      <c r="BC173" s="0" t="n">
        <f aca="false">ROUND(AL173-AU173,2)</f>
        <v>0</v>
      </c>
      <c r="BD173" s="0" t="n">
        <f aca="false">ROUND(AM173-AV173,2)</f>
        <v>0</v>
      </c>
      <c r="BE173" s="0" t="n">
        <f aca="false">ROUND(AN173-AW173,2)</f>
        <v>0</v>
      </c>
      <c r="BF173" s="0" t="n">
        <f aca="false">ROUND(AO173-AX173,2)</f>
        <v>0</v>
      </c>
      <c r="BG173" s="0" t="n">
        <f aca="false">SUM(AY173:BF173)</f>
        <v>0</v>
      </c>
    </row>
    <row r="174" customFormat="false" ht="15" hidden="false" customHeight="false" outlineLevel="0" collapsed="false">
      <c r="A174" s="0" t="n">
        <v>172</v>
      </c>
      <c r="B174" s="0" t="n">
        <f aca="false">AY173</f>
        <v>0</v>
      </c>
      <c r="C174" s="0" t="n">
        <f aca="false">AZ173</f>
        <v>0</v>
      </c>
      <c r="D174" s="0" t="n">
        <f aca="false">BA173</f>
        <v>0</v>
      </c>
      <c r="E174" s="0" t="n">
        <f aca="false">BB173</f>
        <v>0</v>
      </c>
      <c r="F174" s="0" t="n">
        <f aca="false">BC173</f>
        <v>0</v>
      </c>
      <c r="G174" s="0" t="n">
        <f aca="false">BD173</f>
        <v>0</v>
      </c>
      <c r="H174" s="0" t="n">
        <f aca="false">BE173</f>
        <v>0</v>
      </c>
      <c r="I174" s="0" t="n">
        <f aca="false">BF173</f>
        <v>0</v>
      </c>
      <c r="J174" s="0" t="n">
        <f aca="false">B174*N('Debt Payoff'!D9)/12</f>
        <v>0</v>
      </c>
      <c r="K174" s="0" t="n">
        <f aca="false">C174*N('Debt Payoff'!D10)/12</f>
        <v>0</v>
      </c>
      <c r="L174" s="0" t="n">
        <f aca="false">D174*N('Debt Payoff'!D11)/12</f>
        <v>0</v>
      </c>
      <c r="M174" s="0" t="n">
        <f aca="false">E174*N('Debt Payoff'!D12)/12</f>
        <v>0</v>
      </c>
      <c r="N174" s="0" t="n">
        <f aca="false">F174*N('Debt Payoff'!D13)/12</f>
        <v>0</v>
      </c>
      <c r="O174" s="0" t="n">
        <f aca="false">G174*N('Debt Payoff'!D14)/12</f>
        <v>0</v>
      </c>
      <c r="P174" s="0" t="n">
        <f aca="false">H174*N('Debt Payoff'!D15)/12</f>
        <v>0</v>
      </c>
      <c r="Q174" s="0" t="n">
        <f aca="false">I174*N('Debt Payoff'!D16)/12</f>
        <v>0</v>
      </c>
      <c r="R174" s="0" t="n">
        <f aca="false">B174+J174</f>
        <v>0</v>
      </c>
      <c r="S174" s="0" t="n">
        <f aca="false">C174+K174</f>
        <v>0</v>
      </c>
      <c r="T174" s="0" t="n">
        <f aca="false">D174+L174</f>
        <v>0</v>
      </c>
      <c r="U174" s="0" t="n">
        <f aca="false">E174+M174</f>
        <v>0</v>
      </c>
      <c r="V174" s="0" t="n">
        <f aca="false">F174+N174</f>
        <v>0</v>
      </c>
      <c r="W174" s="0" t="n">
        <f aca="false">G174+O174</f>
        <v>0</v>
      </c>
      <c r="X174" s="0" t="n">
        <f aca="false">H174+P174</f>
        <v>0</v>
      </c>
      <c r="Y174" s="0" t="n">
        <f aca="false">I174+Q174</f>
        <v>0</v>
      </c>
      <c r="Z174" s="0" t="n">
        <f aca="false">MIN(R174,N('Debt Payoff'!E9))</f>
        <v>0</v>
      </c>
      <c r="AA174" s="0" t="n">
        <f aca="false">MIN(S174,N('Debt Payoff'!E10))</f>
        <v>0</v>
      </c>
      <c r="AB174" s="0" t="n">
        <f aca="false">MIN(T174,N('Debt Payoff'!E11))</f>
        <v>0</v>
      </c>
      <c r="AC174" s="0" t="n">
        <f aca="false">MIN(U174,N('Debt Payoff'!E12))</f>
        <v>0</v>
      </c>
      <c r="AD174" s="0" t="n">
        <f aca="false">MIN(V174,N('Debt Payoff'!E13))</f>
        <v>0</v>
      </c>
      <c r="AE174" s="0" t="n">
        <f aca="false">MIN(W174,N('Debt Payoff'!E14))</f>
        <v>0</v>
      </c>
      <c r="AF174" s="0" t="n">
        <f aca="false">MIN(X174,N('Debt Payoff'!E15))</f>
        <v>0</v>
      </c>
      <c r="AG174" s="0" t="n">
        <f aca="false">MIN(Y174,N('Debt Payoff'!E16))</f>
        <v>0</v>
      </c>
      <c r="AH174" s="0" t="n">
        <f aca="false">R174-Z174</f>
        <v>0</v>
      </c>
      <c r="AI174" s="0" t="n">
        <f aca="false">S174-AA174</f>
        <v>0</v>
      </c>
      <c r="AJ174" s="0" t="n">
        <f aca="false">T174-AB174</f>
        <v>0</v>
      </c>
      <c r="AK174" s="0" t="n">
        <f aca="false">U174-AC174</f>
        <v>0</v>
      </c>
      <c r="AL174" s="0" t="n">
        <f aca="false">V174-AD174</f>
        <v>0</v>
      </c>
      <c r="AM174" s="0" t="n">
        <f aca="false">W174-AE174</f>
        <v>0</v>
      </c>
      <c r="AN174" s="0" t="n">
        <f aca="false">X174-AF174</f>
        <v>0</v>
      </c>
      <c r="AO174" s="0" t="n">
        <f aca="false">Y174-AG174</f>
        <v>0</v>
      </c>
      <c r="AP174" s="0" t="n">
        <f aca="false">MAX(0,'Debt Payoff'!$D$17-SUM(Z174:AG174))</f>
        <v>805</v>
      </c>
      <c r="AQ174" s="0" t="n">
        <f aca="false">MIN(AH174,MAX(0,$AP174-SUMPRODUCT(($AH$1:$AO$1&lt;AH$1)*$AH174:$AO174)))</f>
        <v>0</v>
      </c>
      <c r="AR174" s="0" t="n">
        <f aca="false">MIN(AI174,MAX(0,$AP174-SUMPRODUCT(($AH$1:$AO$1&lt;AI$1)*$AH174:$AO174)))</f>
        <v>0</v>
      </c>
      <c r="AS174" s="0" t="n">
        <f aca="false">MIN(AJ174,MAX(0,$AP174-SUMPRODUCT(($AH$1:$AO$1&lt;AJ$1)*$AH174:$AO174)))</f>
        <v>0</v>
      </c>
      <c r="AT174" s="0" t="n">
        <f aca="false">MIN(AK174,MAX(0,$AP174-SUMPRODUCT(($AH$1:$AO$1&lt;AK$1)*$AH174:$AO174)))</f>
        <v>0</v>
      </c>
      <c r="AU174" s="0" t="n">
        <f aca="false">MIN(AL174,MAX(0,$AP174-SUMPRODUCT(($AH$1:$AO$1&lt;AL$1)*$AH174:$AO174)))</f>
        <v>0</v>
      </c>
      <c r="AV174" s="0" t="n">
        <f aca="false">MIN(AM174,MAX(0,$AP174-SUMPRODUCT(($AH$1:$AO$1&lt;AM$1)*$AH174:$AO174)))</f>
        <v>0</v>
      </c>
      <c r="AW174" s="0" t="n">
        <f aca="false">MIN(AN174,MAX(0,$AP174-SUMPRODUCT(($AH$1:$AO$1&lt;AN$1)*$AH174:$AO174)))</f>
        <v>0</v>
      </c>
      <c r="AX174" s="0" t="n">
        <f aca="false">MIN(AO174,MAX(0,$AP174-SUMPRODUCT(($AH$1:$AO$1&lt;AO$1)*$AH174:$AO174)))</f>
        <v>0</v>
      </c>
      <c r="AY174" s="0" t="n">
        <f aca="false">ROUND(AH174-AQ174,2)</f>
        <v>0</v>
      </c>
      <c r="AZ174" s="0" t="n">
        <f aca="false">ROUND(AI174-AR174,2)</f>
        <v>0</v>
      </c>
      <c r="BA174" s="0" t="n">
        <f aca="false">ROUND(AJ174-AS174,2)</f>
        <v>0</v>
      </c>
      <c r="BB174" s="0" t="n">
        <f aca="false">ROUND(AK174-AT174,2)</f>
        <v>0</v>
      </c>
      <c r="BC174" s="0" t="n">
        <f aca="false">ROUND(AL174-AU174,2)</f>
        <v>0</v>
      </c>
      <c r="BD174" s="0" t="n">
        <f aca="false">ROUND(AM174-AV174,2)</f>
        <v>0</v>
      </c>
      <c r="BE174" s="0" t="n">
        <f aca="false">ROUND(AN174-AW174,2)</f>
        <v>0</v>
      </c>
      <c r="BF174" s="0" t="n">
        <f aca="false">ROUND(AO174-AX174,2)</f>
        <v>0</v>
      </c>
      <c r="BG174" s="0" t="n">
        <f aca="false">SUM(AY174:BF174)</f>
        <v>0</v>
      </c>
    </row>
    <row r="175" customFormat="false" ht="15" hidden="false" customHeight="false" outlineLevel="0" collapsed="false">
      <c r="A175" s="0" t="n">
        <v>173</v>
      </c>
      <c r="B175" s="0" t="n">
        <f aca="false">AY174</f>
        <v>0</v>
      </c>
      <c r="C175" s="0" t="n">
        <f aca="false">AZ174</f>
        <v>0</v>
      </c>
      <c r="D175" s="0" t="n">
        <f aca="false">BA174</f>
        <v>0</v>
      </c>
      <c r="E175" s="0" t="n">
        <f aca="false">BB174</f>
        <v>0</v>
      </c>
      <c r="F175" s="0" t="n">
        <f aca="false">BC174</f>
        <v>0</v>
      </c>
      <c r="G175" s="0" t="n">
        <f aca="false">BD174</f>
        <v>0</v>
      </c>
      <c r="H175" s="0" t="n">
        <f aca="false">BE174</f>
        <v>0</v>
      </c>
      <c r="I175" s="0" t="n">
        <f aca="false">BF174</f>
        <v>0</v>
      </c>
      <c r="J175" s="0" t="n">
        <f aca="false">B175*N('Debt Payoff'!D9)/12</f>
        <v>0</v>
      </c>
      <c r="K175" s="0" t="n">
        <f aca="false">C175*N('Debt Payoff'!D10)/12</f>
        <v>0</v>
      </c>
      <c r="L175" s="0" t="n">
        <f aca="false">D175*N('Debt Payoff'!D11)/12</f>
        <v>0</v>
      </c>
      <c r="M175" s="0" t="n">
        <f aca="false">E175*N('Debt Payoff'!D12)/12</f>
        <v>0</v>
      </c>
      <c r="N175" s="0" t="n">
        <f aca="false">F175*N('Debt Payoff'!D13)/12</f>
        <v>0</v>
      </c>
      <c r="O175" s="0" t="n">
        <f aca="false">G175*N('Debt Payoff'!D14)/12</f>
        <v>0</v>
      </c>
      <c r="P175" s="0" t="n">
        <f aca="false">H175*N('Debt Payoff'!D15)/12</f>
        <v>0</v>
      </c>
      <c r="Q175" s="0" t="n">
        <f aca="false">I175*N('Debt Payoff'!D16)/12</f>
        <v>0</v>
      </c>
      <c r="R175" s="0" t="n">
        <f aca="false">B175+J175</f>
        <v>0</v>
      </c>
      <c r="S175" s="0" t="n">
        <f aca="false">C175+K175</f>
        <v>0</v>
      </c>
      <c r="T175" s="0" t="n">
        <f aca="false">D175+L175</f>
        <v>0</v>
      </c>
      <c r="U175" s="0" t="n">
        <f aca="false">E175+M175</f>
        <v>0</v>
      </c>
      <c r="V175" s="0" t="n">
        <f aca="false">F175+N175</f>
        <v>0</v>
      </c>
      <c r="W175" s="0" t="n">
        <f aca="false">G175+O175</f>
        <v>0</v>
      </c>
      <c r="X175" s="0" t="n">
        <f aca="false">H175+P175</f>
        <v>0</v>
      </c>
      <c r="Y175" s="0" t="n">
        <f aca="false">I175+Q175</f>
        <v>0</v>
      </c>
      <c r="Z175" s="0" t="n">
        <f aca="false">MIN(R175,N('Debt Payoff'!E9))</f>
        <v>0</v>
      </c>
      <c r="AA175" s="0" t="n">
        <f aca="false">MIN(S175,N('Debt Payoff'!E10))</f>
        <v>0</v>
      </c>
      <c r="AB175" s="0" t="n">
        <f aca="false">MIN(T175,N('Debt Payoff'!E11))</f>
        <v>0</v>
      </c>
      <c r="AC175" s="0" t="n">
        <f aca="false">MIN(U175,N('Debt Payoff'!E12))</f>
        <v>0</v>
      </c>
      <c r="AD175" s="0" t="n">
        <f aca="false">MIN(V175,N('Debt Payoff'!E13))</f>
        <v>0</v>
      </c>
      <c r="AE175" s="0" t="n">
        <f aca="false">MIN(W175,N('Debt Payoff'!E14))</f>
        <v>0</v>
      </c>
      <c r="AF175" s="0" t="n">
        <f aca="false">MIN(X175,N('Debt Payoff'!E15))</f>
        <v>0</v>
      </c>
      <c r="AG175" s="0" t="n">
        <f aca="false">MIN(Y175,N('Debt Payoff'!E16))</f>
        <v>0</v>
      </c>
      <c r="AH175" s="0" t="n">
        <f aca="false">R175-Z175</f>
        <v>0</v>
      </c>
      <c r="AI175" s="0" t="n">
        <f aca="false">S175-AA175</f>
        <v>0</v>
      </c>
      <c r="AJ175" s="0" t="n">
        <f aca="false">T175-AB175</f>
        <v>0</v>
      </c>
      <c r="AK175" s="0" t="n">
        <f aca="false">U175-AC175</f>
        <v>0</v>
      </c>
      <c r="AL175" s="0" t="n">
        <f aca="false">V175-AD175</f>
        <v>0</v>
      </c>
      <c r="AM175" s="0" t="n">
        <f aca="false">W175-AE175</f>
        <v>0</v>
      </c>
      <c r="AN175" s="0" t="n">
        <f aca="false">X175-AF175</f>
        <v>0</v>
      </c>
      <c r="AO175" s="0" t="n">
        <f aca="false">Y175-AG175</f>
        <v>0</v>
      </c>
      <c r="AP175" s="0" t="n">
        <f aca="false">MAX(0,'Debt Payoff'!$D$17-SUM(Z175:AG175))</f>
        <v>805</v>
      </c>
      <c r="AQ175" s="0" t="n">
        <f aca="false">MIN(AH175,MAX(0,$AP175-SUMPRODUCT(($AH$1:$AO$1&lt;AH$1)*$AH175:$AO175)))</f>
        <v>0</v>
      </c>
      <c r="AR175" s="0" t="n">
        <f aca="false">MIN(AI175,MAX(0,$AP175-SUMPRODUCT(($AH$1:$AO$1&lt;AI$1)*$AH175:$AO175)))</f>
        <v>0</v>
      </c>
      <c r="AS175" s="0" t="n">
        <f aca="false">MIN(AJ175,MAX(0,$AP175-SUMPRODUCT(($AH$1:$AO$1&lt;AJ$1)*$AH175:$AO175)))</f>
        <v>0</v>
      </c>
      <c r="AT175" s="0" t="n">
        <f aca="false">MIN(AK175,MAX(0,$AP175-SUMPRODUCT(($AH$1:$AO$1&lt;AK$1)*$AH175:$AO175)))</f>
        <v>0</v>
      </c>
      <c r="AU175" s="0" t="n">
        <f aca="false">MIN(AL175,MAX(0,$AP175-SUMPRODUCT(($AH$1:$AO$1&lt;AL$1)*$AH175:$AO175)))</f>
        <v>0</v>
      </c>
      <c r="AV175" s="0" t="n">
        <f aca="false">MIN(AM175,MAX(0,$AP175-SUMPRODUCT(($AH$1:$AO$1&lt;AM$1)*$AH175:$AO175)))</f>
        <v>0</v>
      </c>
      <c r="AW175" s="0" t="n">
        <f aca="false">MIN(AN175,MAX(0,$AP175-SUMPRODUCT(($AH$1:$AO$1&lt;AN$1)*$AH175:$AO175)))</f>
        <v>0</v>
      </c>
      <c r="AX175" s="0" t="n">
        <f aca="false">MIN(AO175,MAX(0,$AP175-SUMPRODUCT(($AH$1:$AO$1&lt;AO$1)*$AH175:$AO175)))</f>
        <v>0</v>
      </c>
      <c r="AY175" s="0" t="n">
        <f aca="false">ROUND(AH175-AQ175,2)</f>
        <v>0</v>
      </c>
      <c r="AZ175" s="0" t="n">
        <f aca="false">ROUND(AI175-AR175,2)</f>
        <v>0</v>
      </c>
      <c r="BA175" s="0" t="n">
        <f aca="false">ROUND(AJ175-AS175,2)</f>
        <v>0</v>
      </c>
      <c r="BB175" s="0" t="n">
        <f aca="false">ROUND(AK175-AT175,2)</f>
        <v>0</v>
      </c>
      <c r="BC175" s="0" t="n">
        <f aca="false">ROUND(AL175-AU175,2)</f>
        <v>0</v>
      </c>
      <c r="BD175" s="0" t="n">
        <f aca="false">ROUND(AM175-AV175,2)</f>
        <v>0</v>
      </c>
      <c r="BE175" s="0" t="n">
        <f aca="false">ROUND(AN175-AW175,2)</f>
        <v>0</v>
      </c>
      <c r="BF175" s="0" t="n">
        <f aca="false">ROUND(AO175-AX175,2)</f>
        <v>0</v>
      </c>
      <c r="BG175" s="0" t="n">
        <f aca="false">SUM(AY175:BF175)</f>
        <v>0</v>
      </c>
    </row>
    <row r="176" customFormat="false" ht="15" hidden="false" customHeight="false" outlineLevel="0" collapsed="false">
      <c r="A176" s="0" t="n">
        <v>174</v>
      </c>
      <c r="B176" s="0" t="n">
        <f aca="false">AY175</f>
        <v>0</v>
      </c>
      <c r="C176" s="0" t="n">
        <f aca="false">AZ175</f>
        <v>0</v>
      </c>
      <c r="D176" s="0" t="n">
        <f aca="false">BA175</f>
        <v>0</v>
      </c>
      <c r="E176" s="0" t="n">
        <f aca="false">BB175</f>
        <v>0</v>
      </c>
      <c r="F176" s="0" t="n">
        <f aca="false">BC175</f>
        <v>0</v>
      </c>
      <c r="G176" s="0" t="n">
        <f aca="false">BD175</f>
        <v>0</v>
      </c>
      <c r="H176" s="0" t="n">
        <f aca="false">BE175</f>
        <v>0</v>
      </c>
      <c r="I176" s="0" t="n">
        <f aca="false">BF175</f>
        <v>0</v>
      </c>
      <c r="J176" s="0" t="n">
        <f aca="false">B176*N('Debt Payoff'!D9)/12</f>
        <v>0</v>
      </c>
      <c r="K176" s="0" t="n">
        <f aca="false">C176*N('Debt Payoff'!D10)/12</f>
        <v>0</v>
      </c>
      <c r="L176" s="0" t="n">
        <f aca="false">D176*N('Debt Payoff'!D11)/12</f>
        <v>0</v>
      </c>
      <c r="M176" s="0" t="n">
        <f aca="false">E176*N('Debt Payoff'!D12)/12</f>
        <v>0</v>
      </c>
      <c r="N176" s="0" t="n">
        <f aca="false">F176*N('Debt Payoff'!D13)/12</f>
        <v>0</v>
      </c>
      <c r="O176" s="0" t="n">
        <f aca="false">G176*N('Debt Payoff'!D14)/12</f>
        <v>0</v>
      </c>
      <c r="P176" s="0" t="n">
        <f aca="false">H176*N('Debt Payoff'!D15)/12</f>
        <v>0</v>
      </c>
      <c r="Q176" s="0" t="n">
        <f aca="false">I176*N('Debt Payoff'!D16)/12</f>
        <v>0</v>
      </c>
      <c r="R176" s="0" t="n">
        <f aca="false">B176+J176</f>
        <v>0</v>
      </c>
      <c r="S176" s="0" t="n">
        <f aca="false">C176+K176</f>
        <v>0</v>
      </c>
      <c r="T176" s="0" t="n">
        <f aca="false">D176+L176</f>
        <v>0</v>
      </c>
      <c r="U176" s="0" t="n">
        <f aca="false">E176+M176</f>
        <v>0</v>
      </c>
      <c r="V176" s="0" t="n">
        <f aca="false">F176+N176</f>
        <v>0</v>
      </c>
      <c r="W176" s="0" t="n">
        <f aca="false">G176+O176</f>
        <v>0</v>
      </c>
      <c r="X176" s="0" t="n">
        <f aca="false">H176+P176</f>
        <v>0</v>
      </c>
      <c r="Y176" s="0" t="n">
        <f aca="false">I176+Q176</f>
        <v>0</v>
      </c>
      <c r="Z176" s="0" t="n">
        <f aca="false">MIN(R176,N('Debt Payoff'!E9))</f>
        <v>0</v>
      </c>
      <c r="AA176" s="0" t="n">
        <f aca="false">MIN(S176,N('Debt Payoff'!E10))</f>
        <v>0</v>
      </c>
      <c r="AB176" s="0" t="n">
        <f aca="false">MIN(T176,N('Debt Payoff'!E11))</f>
        <v>0</v>
      </c>
      <c r="AC176" s="0" t="n">
        <f aca="false">MIN(U176,N('Debt Payoff'!E12))</f>
        <v>0</v>
      </c>
      <c r="AD176" s="0" t="n">
        <f aca="false">MIN(V176,N('Debt Payoff'!E13))</f>
        <v>0</v>
      </c>
      <c r="AE176" s="0" t="n">
        <f aca="false">MIN(W176,N('Debt Payoff'!E14))</f>
        <v>0</v>
      </c>
      <c r="AF176" s="0" t="n">
        <f aca="false">MIN(X176,N('Debt Payoff'!E15))</f>
        <v>0</v>
      </c>
      <c r="AG176" s="0" t="n">
        <f aca="false">MIN(Y176,N('Debt Payoff'!E16))</f>
        <v>0</v>
      </c>
      <c r="AH176" s="0" t="n">
        <f aca="false">R176-Z176</f>
        <v>0</v>
      </c>
      <c r="AI176" s="0" t="n">
        <f aca="false">S176-AA176</f>
        <v>0</v>
      </c>
      <c r="AJ176" s="0" t="n">
        <f aca="false">T176-AB176</f>
        <v>0</v>
      </c>
      <c r="AK176" s="0" t="n">
        <f aca="false">U176-AC176</f>
        <v>0</v>
      </c>
      <c r="AL176" s="0" t="n">
        <f aca="false">V176-AD176</f>
        <v>0</v>
      </c>
      <c r="AM176" s="0" t="n">
        <f aca="false">W176-AE176</f>
        <v>0</v>
      </c>
      <c r="AN176" s="0" t="n">
        <f aca="false">X176-AF176</f>
        <v>0</v>
      </c>
      <c r="AO176" s="0" t="n">
        <f aca="false">Y176-AG176</f>
        <v>0</v>
      </c>
      <c r="AP176" s="0" t="n">
        <f aca="false">MAX(0,'Debt Payoff'!$D$17-SUM(Z176:AG176))</f>
        <v>805</v>
      </c>
      <c r="AQ176" s="0" t="n">
        <f aca="false">MIN(AH176,MAX(0,$AP176-SUMPRODUCT(($AH$1:$AO$1&lt;AH$1)*$AH176:$AO176)))</f>
        <v>0</v>
      </c>
      <c r="AR176" s="0" t="n">
        <f aca="false">MIN(AI176,MAX(0,$AP176-SUMPRODUCT(($AH$1:$AO$1&lt;AI$1)*$AH176:$AO176)))</f>
        <v>0</v>
      </c>
      <c r="AS176" s="0" t="n">
        <f aca="false">MIN(AJ176,MAX(0,$AP176-SUMPRODUCT(($AH$1:$AO$1&lt;AJ$1)*$AH176:$AO176)))</f>
        <v>0</v>
      </c>
      <c r="AT176" s="0" t="n">
        <f aca="false">MIN(AK176,MAX(0,$AP176-SUMPRODUCT(($AH$1:$AO$1&lt;AK$1)*$AH176:$AO176)))</f>
        <v>0</v>
      </c>
      <c r="AU176" s="0" t="n">
        <f aca="false">MIN(AL176,MAX(0,$AP176-SUMPRODUCT(($AH$1:$AO$1&lt;AL$1)*$AH176:$AO176)))</f>
        <v>0</v>
      </c>
      <c r="AV176" s="0" t="n">
        <f aca="false">MIN(AM176,MAX(0,$AP176-SUMPRODUCT(($AH$1:$AO$1&lt;AM$1)*$AH176:$AO176)))</f>
        <v>0</v>
      </c>
      <c r="AW176" s="0" t="n">
        <f aca="false">MIN(AN176,MAX(0,$AP176-SUMPRODUCT(($AH$1:$AO$1&lt;AN$1)*$AH176:$AO176)))</f>
        <v>0</v>
      </c>
      <c r="AX176" s="0" t="n">
        <f aca="false">MIN(AO176,MAX(0,$AP176-SUMPRODUCT(($AH$1:$AO$1&lt;AO$1)*$AH176:$AO176)))</f>
        <v>0</v>
      </c>
      <c r="AY176" s="0" t="n">
        <f aca="false">ROUND(AH176-AQ176,2)</f>
        <v>0</v>
      </c>
      <c r="AZ176" s="0" t="n">
        <f aca="false">ROUND(AI176-AR176,2)</f>
        <v>0</v>
      </c>
      <c r="BA176" s="0" t="n">
        <f aca="false">ROUND(AJ176-AS176,2)</f>
        <v>0</v>
      </c>
      <c r="BB176" s="0" t="n">
        <f aca="false">ROUND(AK176-AT176,2)</f>
        <v>0</v>
      </c>
      <c r="BC176" s="0" t="n">
        <f aca="false">ROUND(AL176-AU176,2)</f>
        <v>0</v>
      </c>
      <c r="BD176" s="0" t="n">
        <f aca="false">ROUND(AM176-AV176,2)</f>
        <v>0</v>
      </c>
      <c r="BE176" s="0" t="n">
        <f aca="false">ROUND(AN176-AW176,2)</f>
        <v>0</v>
      </c>
      <c r="BF176" s="0" t="n">
        <f aca="false">ROUND(AO176-AX176,2)</f>
        <v>0</v>
      </c>
      <c r="BG176" s="0" t="n">
        <f aca="false">SUM(AY176:BF176)</f>
        <v>0</v>
      </c>
    </row>
    <row r="177" customFormat="false" ht="15" hidden="false" customHeight="false" outlineLevel="0" collapsed="false">
      <c r="A177" s="0" t="n">
        <v>175</v>
      </c>
      <c r="B177" s="0" t="n">
        <f aca="false">AY176</f>
        <v>0</v>
      </c>
      <c r="C177" s="0" t="n">
        <f aca="false">AZ176</f>
        <v>0</v>
      </c>
      <c r="D177" s="0" t="n">
        <f aca="false">BA176</f>
        <v>0</v>
      </c>
      <c r="E177" s="0" t="n">
        <f aca="false">BB176</f>
        <v>0</v>
      </c>
      <c r="F177" s="0" t="n">
        <f aca="false">BC176</f>
        <v>0</v>
      </c>
      <c r="G177" s="0" t="n">
        <f aca="false">BD176</f>
        <v>0</v>
      </c>
      <c r="H177" s="0" t="n">
        <f aca="false">BE176</f>
        <v>0</v>
      </c>
      <c r="I177" s="0" t="n">
        <f aca="false">BF176</f>
        <v>0</v>
      </c>
      <c r="J177" s="0" t="n">
        <f aca="false">B177*N('Debt Payoff'!D9)/12</f>
        <v>0</v>
      </c>
      <c r="K177" s="0" t="n">
        <f aca="false">C177*N('Debt Payoff'!D10)/12</f>
        <v>0</v>
      </c>
      <c r="L177" s="0" t="n">
        <f aca="false">D177*N('Debt Payoff'!D11)/12</f>
        <v>0</v>
      </c>
      <c r="M177" s="0" t="n">
        <f aca="false">E177*N('Debt Payoff'!D12)/12</f>
        <v>0</v>
      </c>
      <c r="N177" s="0" t="n">
        <f aca="false">F177*N('Debt Payoff'!D13)/12</f>
        <v>0</v>
      </c>
      <c r="O177" s="0" t="n">
        <f aca="false">G177*N('Debt Payoff'!D14)/12</f>
        <v>0</v>
      </c>
      <c r="P177" s="0" t="n">
        <f aca="false">H177*N('Debt Payoff'!D15)/12</f>
        <v>0</v>
      </c>
      <c r="Q177" s="0" t="n">
        <f aca="false">I177*N('Debt Payoff'!D16)/12</f>
        <v>0</v>
      </c>
      <c r="R177" s="0" t="n">
        <f aca="false">B177+J177</f>
        <v>0</v>
      </c>
      <c r="S177" s="0" t="n">
        <f aca="false">C177+K177</f>
        <v>0</v>
      </c>
      <c r="T177" s="0" t="n">
        <f aca="false">D177+L177</f>
        <v>0</v>
      </c>
      <c r="U177" s="0" t="n">
        <f aca="false">E177+M177</f>
        <v>0</v>
      </c>
      <c r="V177" s="0" t="n">
        <f aca="false">F177+N177</f>
        <v>0</v>
      </c>
      <c r="W177" s="0" t="n">
        <f aca="false">G177+O177</f>
        <v>0</v>
      </c>
      <c r="X177" s="0" t="n">
        <f aca="false">H177+P177</f>
        <v>0</v>
      </c>
      <c r="Y177" s="0" t="n">
        <f aca="false">I177+Q177</f>
        <v>0</v>
      </c>
      <c r="Z177" s="0" t="n">
        <f aca="false">MIN(R177,N('Debt Payoff'!E9))</f>
        <v>0</v>
      </c>
      <c r="AA177" s="0" t="n">
        <f aca="false">MIN(S177,N('Debt Payoff'!E10))</f>
        <v>0</v>
      </c>
      <c r="AB177" s="0" t="n">
        <f aca="false">MIN(T177,N('Debt Payoff'!E11))</f>
        <v>0</v>
      </c>
      <c r="AC177" s="0" t="n">
        <f aca="false">MIN(U177,N('Debt Payoff'!E12))</f>
        <v>0</v>
      </c>
      <c r="AD177" s="0" t="n">
        <f aca="false">MIN(V177,N('Debt Payoff'!E13))</f>
        <v>0</v>
      </c>
      <c r="AE177" s="0" t="n">
        <f aca="false">MIN(W177,N('Debt Payoff'!E14))</f>
        <v>0</v>
      </c>
      <c r="AF177" s="0" t="n">
        <f aca="false">MIN(X177,N('Debt Payoff'!E15))</f>
        <v>0</v>
      </c>
      <c r="AG177" s="0" t="n">
        <f aca="false">MIN(Y177,N('Debt Payoff'!E16))</f>
        <v>0</v>
      </c>
      <c r="AH177" s="0" t="n">
        <f aca="false">R177-Z177</f>
        <v>0</v>
      </c>
      <c r="AI177" s="0" t="n">
        <f aca="false">S177-AA177</f>
        <v>0</v>
      </c>
      <c r="AJ177" s="0" t="n">
        <f aca="false">T177-AB177</f>
        <v>0</v>
      </c>
      <c r="AK177" s="0" t="n">
        <f aca="false">U177-AC177</f>
        <v>0</v>
      </c>
      <c r="AL177" s="0" t="n">
        <f aca="false">V177-AD177</f>
        <v>0</v>
      </c>
      <c r="AM177" s="0" t="n">
        <f aca="false">W177-AE177</f>
        <v>0</v>
      </c>
      <c r="AN177" s="0" t="n">
        <f aca="false">X177-AF177</f>
        <v>0</v>
      </c>
      <c r="AO177" s="0" t="n">
        <f aca="false">Y177-AG177</f>
        <v>0</v>
      </c>
      <c r="AP177" s="0" t="n">
        <f aca="false">MAX(0,'Debt Payoff'!$D$17-SUM(Z177:AG177))</f>
        <v>805</v>
      </c>
      <c r="AQ177" s="0" t="n">
        <f aca="false">MIN(AH177,MAX(0,$AP177-SUMPRODUCT(($AH$1:$AO$1&lt;AH$1)*$AH177:$AO177)))</f>
        <v>0</v>
      </c>
      <c r="AR177" s="0" t="n">
        <f aca="false">MIN(AI177,MAX(0,$AP177-SUMPRODUCT(($AH$1:$AO$1&lt;AI$1)*$AH177:$AO177)))</f>
        <v>0</v>
      </c>
      <c r="AS177" s="0" t="n">
        <f aca="false">MIN(AJ177,MAX(0,$AP177-SUMPRODUCT(($AH$1:$AO$1&lt;AJ$1)*$AH177:$AO177)))</f>
        <v>0</v>
      </c>
      <c r="AT177" s="0" t="n">
        <f aca="false">MIN(AK177,MAX(0,$AP177-SUMPRODUCT(($AH$1:$AO$1&lt;AK$1)*$AH177:$AO177)))</f>
        <v>0</v>
      </c>
      <c r="AU177" s="0" t="n">
        <f aca="false">MIN(AL177,MAX(0,$AP177-SUMPRODUCT(($AH$1:$AO$1&lt;AL$1)*$AH177:$AO177)))</f>
        <v>0</v>
      </c>
      <c r="AV177" s="0" t="n">
        <f aca="false">MIN(AM177,MAX(0,$AP177-SUMPRODUCT(($AH$1:$AO$1&lt;AM$1)*$AH177:$AO177)))</f>
        <v>0</v>
      </c>
      <c r="AW177" s="0" t="n">
        <f aca="false">MIN(AN177,MAX(0,$AP177-SUMPRODUCT(($AH$1:$AO$1&lt;AN$1)*$AH177:$AO177)))</f>
        <v>0</v>
      </c>
      <c r="AX177" s="0" t="n">
        <f aca="false">MIN(AO177,MAX(0,$AP177-SUMPRODUCT(($AH$1:$AO$1&lt;AO$1)*$AH177:$AO177)))</f>
        <v>0</v>
      </c>
      <c r="AY177" s="0" t="n">
        <f aca="false">ROUND(AH177-AQ177,2)</f>
        <v>0</v>
      </c>
      <c r="AZ177" s="0" t="n">
        <f aca="false">ROUND(AI177-AR177,2)</f>
        <v>0</v>
      </c>
      <c r="BA177" s="0" t="n">
        <f aca="false">ROUND(AJ177-AS177,2)</f>
        <v>0</v>
      </c>
      <c r="BB177" s="0" t="n">
        <f aca="false">ROUND(AK177-AT177,2)</f>
        <v>0</v>
      </c>
      <c r="BC177" s="0" t="n">
        <f aca="false">ROUND(AL177-AU177,2)</f>
        <v>0</v>
      </c>
      <c r="BD177" s="0" t="n">
        <f aca="false">ROUND(AM177-AV177,2)</f>
        <v>0</v>
      </c>
      <c r="BE177" s="0" t="n">
        <f aca="false">ROUND(AN177-AW177,2)</f>
        <v>0</v>
      </c>
      <c r="BF177" s="0" t="n">
        <f aca="false">ROUND(AO177-AX177,2)</f>
        <v>0</v>
      </c>
      <c r="BG177" s="0" t="n">
        <f aca="false">SUM(AY177:BF177)</f>
        <v>0</v>
      </c>
    </row>
    <row r="178" customFormat="false" ht="15" hidden="false" customHeight="false" outlineLevel="0" collapsed="false">
      <c r="A178" s="0" t="n">
        <v>176</v>
      </c>
      <c r="B178" s="0" t="n">
        <f aca="false">AY177</f>
        <v>0</v>
      </c>
      <c r="C178" s="0" t="n">
        <f aca="false">AZ177</f>
        <v>0</v>
      </c>
      <c r="D178" s="0" t="n">
        <f aca="false">BA177</f>
        <v>0</v>
      </c>
      <c r="E178" s="0" t="n">
        <f aca="false">BB177</f>
        <v>0</v>
      </c>
      <c r="F178" s="0" t="n">
        <f aca="false">BC177</f>
        <v>0</v>
      </c>
      <c r="G178" s="0" t="n">
        <f aca="false">BD177</f>
        <v>0</v>
      </c>
      <c r="H178" s="0" t="n">
        <f aca="false">BE177</f>
        <v>0</v>
      </c>
      <c r="I178" s="0" t="n">
        <f aca="false">BF177</f>
        <v>0</v>
      </c>
      <c r="J178" s="0" t="n">
        <f aca="false">B178*N('Debt Payoff'!D9)/12</f>
        <v>0</v>
      </c>
      <c r="K178" s="0" t="n">
        <f aca="false">C178*N('Debt Payoff'!D10)/12</f>
        <v>0</v>
      </c>
      <c r="L178" s="0" t="n">
        <f aca="false">D178*N('Debt Payoff'!D11)/12</f>
        <v>0</v>
      </c>
      <c r="M178" s="0" t="n">
        <f aca="false">E178*N('Debt Payoff'!D12)/12</f>
        <v>0</v>
      </c>
      <c r="N178" s="0" t="n">
        <f aca="false">F178*N('Debt Payoff'!D13)/12</f>
        <v>0</v>
      </c>
      <c r="O178" s="0" t="n">
        <f aca="false">G178*N('Debt Payoff'!D14)/12</f>
        <v>0</v>
      </c>
      <c r="P178" s="0" t="n">
        <f aca="false">H178*N('Debt Payoff'!D15)/12</f>
        <v>0</v>
      </c>
      <c r="Q178" s="0" t="n">
        <f aca="false">I178*N('Debt Payoff'!D16)/12</f>
        <v>0</v>
      </c>
      <c r="R178" s="0" t="n">
        <f aca="false">B178+J178</f>
        <v>0</v>
      </c>
      <c r="S178" s="0" t="n">
        <f aca="false">C178+K178</f>
        <v>0</v>
      </c>
      <c r="T178" s="0" t="n">
        <f aca="false">D178+L178</f>
        <v>0</v>
      </c>
      <c r="U178" s="0" t="n">
        <f aca="false">E178+M178</f>
        <v>0</v>
      </c>
      <c r="V178" s="0" t="n">
        <f aca="false">F178+N178</f>
        <v>0</v>
      </c>
      <c r="W178" s="0" t="n">
        <f aca="false">G178+O178</f>
        <v>0</v>
      </c>
      <c r="X178" s="0" t="n">
        <f aca="false">H178+P178</f>
        <v>0</v>
      </c>
      <c r="Y178" s="0" t="n">
        <f aca="false">I178+Q178</f>
        <v>0</v>
      </c>
      <c r="Z178" s="0" t="n">
        <f aca="false">MIN(R178,N('Debt Payoff'!E9))</f>
        <v>0</v>
      </c>
      <c r="AA178" s="0" t="n">
        <f aca="false">MIN(S178,N('Debt Payoff'!E10))</f>
        <v>0</v>
      </c>
      <c r="AB178" s="0" t="n">
        <f aca="false">MIN(T178,N('Debt Payoff'!E11))</f>
        <v>0</v>
      </c>
      <c r="AC178" s="0" t="n">
        <f aca="false">MIN(U178,N('Debt Payoff'!E12))</f>
        <v>0</v>
      </c>
      <c r="AD178" s="0" t="n">
        <f aca="false">MIN(V178,N('Debt Payoff'!E13))</f>
        <v>0</v>
      </c>
      <c r="AE178" s="0" t="n">
        <f aca="false">MIN(W178,N('Debt Payoff'!E14))</f>
        <v>0</v>
      </c>
      <c r="AF178" s="0" t="n">
        <f aca="false">MIN(X178,N('Debt Payoff'!E15))</f>
        <v>0</v>
      </c>
      <c r="AG178" s="0" t="n">
        <f aca="false">MIN(Y178,N('Debt Payoff'!E16))</f>
        <v>0</v>
      </c>
      <c r="AH178" s="0" t="n">
        <f aca="false">R178-Z178</f>
        <v>0</v>
      </c>
      <c r="AI178" s="0" t="n">
        <f aca="false">S178-AA178</f>
        <v>0</v>
      </c>
      <c r="AJ178" s="0" t="n">
        <f aca="false">T178-AB178</f>
        <v>0</v>
      </c>
      <c r="AK178" s="0" t="n">
        <f aca="false">U178-AC178</f>
        <v>0</v>
      </c>
      <c r="AL178" s="0" t="n">
        <f aca="false">V178-AD178</f>
        <v>0</v>
      </c>
      <c r="AM178" s="0" t="n">
        <f aca="false">W178-AE178</f>
        <v>0</v>
      </c>
      <c r="AN178" s="0" t="n">
        <f aca="false">X178-AF178</f>
        <v>0</v>
      </c>
      <c r="AO178" s="0" t="n">
        <f aca="false">Y178-AG178</f>
        <v>0</v>
      </c>
      <c r="AP178" s="0" t="n">
        <f aca="false">MAX(0,'Debt Payoff'!$D$17-SUM(Z178:AG178))</f>
        <v>805</v>
      </c>
      <c r="AQ178" s="0" t="n">
        <f aca="false">MIN(AH178,MAX(0,$AP178-SUMPRODUCT(($AH$1:$AO$1&lt;AH$1)*$AH178:$AO178)))</f>
        <v>0</v>
      </c>
      <c r="AR178" s="0" t="n">
        <f aca="false">MIN(AI178,MAX(0,$AP178-SUMPRODUCT(($AH$1:$AO$1&lt;AI$1)*$AH178:$AO178)))</f>
        <v>0</v>
      </c>
      <c r="AS178" s="0" t="n">
        <f aca="false">MIN(AJ178,MAX(0,$AP178-SUMPRODUCT(($AH$1:$AO$1&lt;AJ$1)*$AH178:$AO178)))</f>
        <v>0</v>
      </c>
      <c r="AT178" s="0" t="n">
        <f aca="false">MIN(AK178,MAX(0,$AP178-SUMPRODUCT(($AH$1:$AO$1&lt;AK$1)*$AH178:$AO178)))</f>
        <v>0</v>
      </c>
      <c r="AU178" s="0" t="n">
        <f aca="false">MIN(AL178,MAX(0,$AP178-SUMPRODUCT(($AH$1:$AO$1&lt;AL$1)*$AH178:$AO178)))</f>
        <v>0</v>
      </c>
      <c r="AV178" s="0" t="n">
        <f aca="false">MIN(AM178,MAX(0,$AP178-SUMPRODUCT(($AH$1:$AO$1&lt;AM$1)*$AH178:$AO178)))</f>
        <v>0</v>
      </c>
      <c r="AW178" s="0" t="n">
        <f aca="false">MIN(AN178,MAX(0,$AP178-SUMPRODUCT(($AH$1:$AO$1&lt;AN$1)*$AH178:$AO178)))</f>
        <v>0</v>
      </c>
      <c r="AX178" s="0" t="n">
        <f aca="false">MIN(AO178,MAX(0,$AP178-SUMPRODUCT(($AH$1:$AO$1&lt;AO$1)*$AH178:$AO178)))</f>
        <v>0</v>
      </c>
      <c r="AY178" s="0" t="n">
        <f aca="false">ROUND(AH178-AQ178,2)</f>
        <v>0</v>
      </c>
      <c r="AZ178" s="0" t="n">
        <f aca="false">ROUND(AI178-AR178,2)</f>
        <v>0</v>
      </c>
      <c r="BA178" s="0" t="n">
        <f aca="false">ROUND(AJ178-AS178,2)</f>
        <v>0</v>
      </c>
      <c r="BB178" s="0" t="n">
        <f aca="false">ROUND(AK178-AT178,2)</f>
        <v>0</v>
      </c>
      <c r="BC178" s="0" t="n">
        <f aca="false">ROUND(AL178-AU178,2)</f>
        <v>0</v>
      </c>
      <c r="BD178" s="0" t="n">
        <f aca="false">ROUND(AM178-AV178,2)</f>
        <v>0</v>
      </c>
      <c r="BE178" s="0" t="n">
        <f aca="false">ROUND(AN178-AW178,2)</f>
        <v>0</v>
      </c>
      <c r="BF178" s="0" t="n">
        <f aca="false">ROUND(AO178-AX178,2)</f>
        <v>0</v>
      </c>
      <c r="BG178" s="0" t="n">
        <f aca="false">SUM(AY178:BF178)</f>
        <v>0</v>
      </c>
    </row>
    <row r="179" customFormat="false" ht="15" hidden="false" customHeight="false" outlineLevel="0" collapsed="false">
      <c r="A179" s="0" t="n">
        <v>177</v>
      </c>
      <c r="B179" s="0" t="n">
        <f aca="false">AY178</f>
        <v>0</v>
      </c>
      <c r="C179" s="0" t="n">
        <f aca="false">AZ178</f>
        <v>0</v>
      </c>
      <c r="D179" s="0" t="n">
        <f aca="false">BA178</f>
        <v>0</v>
      </c>
      <c r="E179" s="0" t="n">
        <f aca="false">BB178</f>
        <v>0</v>
      </c>
      <c r="F179" s="0" t="n">
        <f aca="false">BC178</f>
        <v>0</v>
      </c>
      <c r="G179" s="0" t="n">
        <f aca="false">BD178</f>
        <v>0</v>
      </c>
      <c r="H179" s="0" t="n">
        <f aca="false">BE178</f>
        <v>0</v>
      </c>
      <c r="I179" s="0" t="n">
        <f aca="false">BF178</f>
        <v>0</v>
      </c>
      <c r="J179" s="0" t="n">
        <f aca="false">B179*N('Debt Payoff'!D9)/12</f>
        <v>0</v>
      </c>
      <c r="K179" s="0" t="n">
        <f aca="false">C179*N('Debt Payoff'!D10)/12</f>
        <v>0</v>
      </c>
      <c r="L179" s="0" t="n">
        <f aca="false">D179*N('Debt Payoff'!D11)/12</f>
        <v>0</v>
      </c>
      <c r="M179" s="0" t="n">
        <f aca="false">E179*N('Debt Payoff'!D12)/12</f>
        <v>0</v>
      </c>
      <c r="N179" s="0" t="n">
        <f aca="false">F179*N('Debt Payoff'!D13)/12</f>
        <v>0</v>
      </c>
      <c r="O179" s="0" t="n">
        <f aca="false">G179*N('Debt Payoff'!D14)/12</f>
        <v>0</v>
      </c>
      <c r="P179" s="0" t="n">
        <f aca="false">H179*N('Debt Payoff'!D15)/12</f>
        <v>0</v>
      </c>
      <c r="Q179" s="0" t="n">
        <f aca="false">I179*N('Debt Payoff'!D16)/12</f>
        <v>0</v>
      </c>
      <c r="R179" s="0" t="n">
        <f aca="false">B179+J179</f>
        <v>0</v>
      </c>
      <c r="S179" s="0" t="n">
        <f aca="false">C179+K179</f>
        <v>0</v>
      </c>
      <c r="T179" s="0" t="n">
        <f aca="false">D179+L179</f>
        <v>0</v>
      </c>
      <c r="U179" s="0" t="n">
        <f aca="false">E179+M179</f>
        <v>0</v>
      </c>
      <c r="V179" s="0" t="n">
        <f aca="false">F179+N179</f>
        <v>0</v>
      </c>
      <c r="W179" s="0" t="n">
        <f aca="false">G179+O179</f>
        <v>0</v>
      </c>
      <c r="X179" s="0" t="n">
        <f aca="false">H179+P179</f>
        <v>0</v>
      </c>
      <c r="Y179" s="0" t="n">
        <f aca="false">I179+Q179</f>
        <v>0</v>
      </c>
      <c r="Z179" s="0" t="n">
        <f aca="false">MIN(R179,N('Debt Payoff'!E9))</f>
        <v>0</v>
      </c>
      <c r="AA179" s="0" t="n">
        <f aca="false">MIN(S179,N('Debt Payoff'!E10))</f>
        <v>0</v>
      </c>
      <c r="AB179" s="0" t="n">
        <f aca="false">MIN(T179,N('Debt Payoff'!E11))</f>
        <v>0</v>
      </c>
      <c r="AC179" s="0" t="n">
        <f aca="false">MIN(U179,N('Debt Payoff'!E12))</f>
        <v>0</v>
      </c>
      <c r="AD179" s="0" t="n">
        <f aca="false">MIN(V179,N('Debt Payoff'!E13))</f>
        <v>0</v>
      </c>
      <c r="AE179" s="0" t="n">
        <f aca="false">MIN(W179,N('Debt Payoff'!E14))</f>
        <v>0</v>
      </c>
      <c r="AF179" s="0" t="n">
        <f aca="false">MIN(X179,N('Debt Payoff'!E15))</f>
        <v>0</v>
      </c>
      <c r="AG179" s="0" t="n">
        <f aca="false">MIN(Y179,N('Debt Payoff'!E16))</f>
        <v>0</v>
      </c>
      <c r="AH179" s="0" t="n">
        <f aca="false">R179-Z179</f>
        <v>0</v>
      </c>
      <c r="AI179" s="0" t="n">
        <f aca="false">S179-AA179</f>
        <v>0</v>
      </c>
      <c r="AJ179" s="0" t="n">
        <f aca="false">T179-AB179</f>
        <v>0</v>
      </c>
      <c r="AK179" s="0" t="n">
        <f aca="false">U179-AC179</f>
        <v>0</v>
      </c>
      <c r="AL179" s="0" t="n">
        <f aca="false">V179-AD179</f>
        <v>0</v>
      </c>
      <c r="AM179" s="0" t="n">
        <f aca="false">W179-AE179</f>
        <v>0</v>
      </c>
      <c r="AN179" s="0" t="n">
        <f aca="false">X179-AF179</f>
        <v>0</v>
      </c>
      <c r="AO179" s="0" t="n">
        <f aca="false">Y179-AG179</f>
        <v>0</v>
      </c>
      <c r="AP179" s="0" t="n">
        <f aca="false">MAX(0,'Debt Payoff'!$D$17-SUM(Z179:AG179))</f>
        <v>805</v>
      </c>
      <c r="AQ179" s="0" t="n">
        <f aca="false">MIN(AH179,MAX(0,$AP179-SUMPRODUCT(($AH$1:$AO$1&lt;AH$1)*$AH179:$AO179)))</f>
        <v>0</v>
      </c>
      <c r="AR179" s="0" t="n">
        <f aca="false">MIN(AI179,MAX(0,$AP179-SUMPRODUCT(($AH$1:$AO$1&lt;AI$1)*$AH179:$AO179)))</f>
        <v>0</v>
      </c>
      <c r="AS179" s="0" t="n">
        <f aca="false">MIN(AJ179,MAX(0,$AP179-SUMPRODUCT(($AH$1:$AO$1&lt;AJ$1)*$AH179:$AO179)))</f>
        <v>0</v>
      </c>
      <c r="AT179" s="0" t="n">
        <f aca="false">MIN(AK179,MAX(0,$AP179-SUMPRODUCT(($AH$1:$AO$1&lt;AK$1)*$AH179:$AO179)))</f>
        <v>0</v>
      </c>
      <c r="AU179" s="0" t="n">
        <f aca="false">MIN(AL179,MAX(0,$AP179-SUMPRODUCT(($AH$1:$AO$1&lt;AL$1)*$AH179:$AO179)))</f>
        <v>0</v>
      </c>
      <c r="AV179" s="0" t="n">
        <f aca="false">MIN(AM179,MAX(0,$AP179-SUMPRODUCT(($AH$1:$AO$1&lt;AM$1)*$AH179:$AO179)))</f>
        <v>0</v>
      </c>
      <c r="AW179" s="0" t="n">
        <f aca="false">MIN(AN179,MAX(0,$AP179-SUMPRODUCT(($AH$1:$AO$1&lt;AN$1)*$AH179:$AO179)))</f>
        <v>0</v>
      </c>
      <c r="AX179" s="0" t="n">
        <f aca="false">MIN(AO179,MAX(0,$AP179-SUMPRODUCT(($AH$1:$AO$1&lt;AO$1)*$AH179:$AO179)))</f>
        <v>0</v>
      </c>
      <c r="AY179" s="0" t="n">
        <f aca="false">ROUND(AH179-AQ179,2)</f>
        <v>0</v>
      </c>
      <c r="AZ179" s="0" t="n">
        <f aca="false">ROUND(AI179-AR179,2)</f>
        <v>0</v>
      </c>
      <c r="BA179" s="0" t="n">
        <f aca="false">ROUND(AJ179-AS179,2)</f>
        <v>0</v>
      </c>
      <c r="BB179" s="0" t="n">
        <f aca="false">ROUND(AK179-AT179,2)</f>
        <v>0</v>
      </c>
      <c r="BC179" s="0" t="n">
        <f aca="false">ROUND(AL179-AU179,2)</f>
        <v>0</v>
      </c>
      <c r="BD179" s="0" t="n">
        <f aca="false">ROUND(AM179-AV179,2)</f>
        <v>0</v>
      </c>
      <c r="BE179" s="0" t="n">
        <f aca="false">ROUND(AN179-AW179,2)</f>
        <v>0</v>
      </c>
      <c r="BF179" s="0" t="n">
        <f aca="false">ROUND(AO179-AX179,2)</f>
        <v>0</v>
      </c>
      <c r="BG179" s="0" t="n">
        <f aca="false">SUM(AY179:BF179)</f>
        <v>0</v>
      </c>
    </row>
    <row r="180" customFormat="false" ht="15" hidden="false" customHeight="false" outlineLevel="0" collapsed="false">
      <c r="A180" s="0" t="n">
        <v>178</v>
      </c>
      <c r="B180" s="0" t="n">
        <f aca="false">AY179</f>
        <v>0</v>
      </c>
      <c r="C180" s="0" t="n">
        <f aca="false">AZ179</f>
        <v>0</v>
      </c>
      <c r="D180" s="0" t="n">
        <f aca="false">BA179</f>
        <v>0</v>
      </c>
      <c r="E180" s="0" t="n">
        <f aca="false">BB179</f>
        <v>0</v>
      </c>
      <c r="F180" s="0" t="n">
        <f aca="false">BC179</f>
        <v>0</v>
      </c>
      <c r="G180" s="0" t="n">
        <f aca="false">BD179</f>
        <v>0</v>
      </c>
      <c r="H180" s="0" t="n">
        <f aca="false">BE179</f>
        <v>0</v>
      </c>
      <c r="I180" s="0" t="n">
        <f aca="false">BF179</f>
        <v>0</v>
      </c>
      <c r="J180" s="0" t="n">
        <f aca="false">B180*N('Debt Payoff'!D9)/12</f>
        <v>0</v>
      </c>
      <c r="K180" s="0" t="n">
        <f aca="false">C180*N('Debt Payoff'!D10)/12</f>
        <v>0</v>
      </c>
      <c r="L180" s="0" t="n">
        <f aca="false">D180*N('Debt Payoff'!D11)/12</f>
        <v>0</v>
      </c>
      <c r="M180" s="0" t="n">
        <f aca="false">E180*N('Debt Payoff'!D12)/12</f>
        <v>0</v>
      </c>
      <c r="N180" s="0" t="n">
        <f aca="false">F180*N('Debt Payoff'!D13)/12</f>
        <v>0</v>
      </c>
      <c r="O180" s="0" t="n">
        <f aca="false">G180*N('Debt Payoff'!D14)/12</f>
        <v>0</v>
      </c>
      <c r="P180" s="0" t="n">
        <f aca="false">H180*N('Debt Payoff'!D15)/12</f>
        <v>0</v>
      </c>
      <c r="Q180" s="0" t="n">
        <f aca="false">I180*N('Debt Payoff'!D16)/12</f>
        <v>0</v>
      </c>
      <c r="R180" s="0" t="n">
        <f aca="false">B180+J180</f>
        <v>0</v>
      </c>
      <c r="S180" s="0" t="n">
        <f aca="false">C180+K180</f>
        <v>0</v>
      </c>
      <c r="T180" s="0" t="n">
        <f aca="false">D180+L180</f>
        <v>0</v>
      </c>
      <c r="U180" s="0" t="n">
        <f aca="false">E180+M180</f>
        <v>0</v>
      </c>
      <c r="V180" s="0" t="n">
        <f aca="false">F180+N180</f>
        <v>0</v>
      </c>
      <c r="W180" s="0" t="n">
        <f aca="false">G180+O180</f>
        <v>0</v>
      </c>
      <c r="X180" s="0" t="n">
        <f aca="false">H180+P180</f>
        <v>0</v>
      </c>
      <c r="Y180" s="0" t="n">
        <f aca="false">I180+Q180</f>
        <v>0</v>
      </c>
      <c r="Z180" s="0" t="n">
        <f aca="false">MIN(R180,N('Debt Payoff'!E9))</f>
        <v>0</v>
      </c>
      <c r="AA180" s="0" t="n">
        <f aca="false">MIN(S180,N('Debt Payoff'!E10))</f>
        <v>0</v>
      </c>
      <c r="AB180" s="0" t="n">
        <f aca="false">MIN(T180,N('Debt Payoff'!E11))</f>
        <v>0</v>
      </c>
      <c r="AC180" s="0" t="n">
        <f aca="false">MIN(U180,N('Debt Payoff'!E12))</f>
        <v>0</v>
      </c>
      <c r="AD180" s="0" t="n">
        <f aca="false">MIN(V180,N('Debt Payoff'!E13))</f>
        <v>0</v>
      </c>
      <c r="AE180" s="0" t="n">
        <f aca="false">MIN(W180,N('Debt Payoff'!E14))</f>
        <v>0</v>
      </c>
      <c r="AF180" s="0" t="n">
        <f aca="false">MIN(X180,N('Debt Payoff'!E15))</f>
        <v>0</v>
      </c>
      <c r="AG180" s="0" t="n">
        <f aca="false">MIN(Y180,N('Debt Payoff'!E16))</f>
        <v>0</v>
      </c>
      <c r="AH180" s="0" t="n">
        <f aca="false">R180-Z180</f>
        <v>0</v>
      </c>
      <c r="AI180" s="0" t="n">
        <f aca="false">S180-AA180</f>
        <v>0</v>
      </c>
      <c r="AJ180" s="0" t="n">
        <f aca="false">T180-AB180</f>
        <v>0</v>
      </c>
      <c r="AK180" s="0" t="n">
        <f aca="false">U180-AC180</f>
        <v>0</v>
      </c>
      <c r="AL180" s="0" t="n">
        <f aca="false">V180-AD180</f>
        <v>0</v>
      </c>
      <c r="AM180" s="0" t="n">
        <f aca="false">W180-AE180</f>
        <v>0</v>
      </c>
      <c r="AN180" s="0" t="n">
        <f aca="false">X180-AF180</f>
        <v>0</v>
      </c>
      <c r="AO180" s="0" t="n">
        <f aca="false">Y180-AG180</f>
        <v>0</v>
      </c>
      <c r="AP180" s="0" t="n">
        <f aca="false">MAX(0,'Debt Payoff'!$D$17-SUM(Z180:AG180))</f>
        <v>805</v>
      </c>
      <c r="AQ180" s="0" t="n">
        <f aca="false">MIN(AH180,MAX(0,$AP180-SUMPRODUCT(($AH$1:$AO$1&lt;AH$1)*$AH180:$AO180)))</f>
        <v>0</v>
      </c>
      <c r="AR180" s="0" t="n">
        <f aca="false">MIN(AI180,MAX(0,$AP180-SUMPRODUCT(($AH$1:$AO$1&lt;AI$1)*$AH180:$AO180)))</f>
        <v>0</v>
      </c>
      <c r="AS180" s="0" t="n">
        <f aca="false">MIN(AJ180,MAX(0,$AP180-SUMPRODUCT(($AH$1:$AO$1&lt;AJ$1)*$AH180:$AO180)))</f>
        <v>0</v>
      </c>
      <c r="AT180" s="0" t="n">
        <f aca="false">MIN(AK180,MAX(0,$AP180-SUMPRODUCT(($AH$1:$AO$1&lt;AK$1)*$AH180:$AO180)))</f>
        <v>0</v>
      </c>
      <c r="AU180" s="0" t="n">
        <f aca="false">MIN(AL180,MAX(0,$AP180-SUMPRODUCT(($AH$1:$AO$1&lt;AL$1)*$AH180:$AO180)))</f>
        <v>0</v>
      </c>
      <c r="AV180" s="0" t="n">
        <f aca="false">MIN(AM180,MAX(0,$AP180-SUMPRODUCT(($AH$1:$AO$1&lt;AM$1)*$AH180:$AO180)))</f>
        <v>0</v>
      </c>
      <c r="AW180" s="0" t="n">
        <f aca="false">MIN(AN180,MAX(0,$AP180-SUMPRODUCT(($AH$1:$AO$1&lt;AN$1)*$AH180:$AO180)))</f>
        <v>0</v>
      </c>
      <c r="AX180" s="0" t="n">
        <f aca="false">MIN(AO180,MAX(0,$AP180-SUMPRODUCT(($AH$1:$AO$1&lt;AO$1)*$AH180:$AO180)))</f>
        <v>0</v>
      </c>
      <c r="AY180" s="0" t="n">
        <f aca="false">ROUND(AH180-AQ180,2)</f>
        <v>0</v>
      </c>
      <c r="AZ180" s="0" t="n">
        <f aca="false">ROUND(AI180-AR180,2)</f>
        <v>0</v>
      </c>
      <c r="BA180" s="0" t="n">
        <f aca="false">ROUND(AJ180-AS180,2)</f>
        <v>0</v>
      </c>
      <c r="BB180" s="0" t="n">
        <f aca="false">ROUND(AK180-AT180,2)</f>
        <v>0</v>
      </c>
      <c r="BC180" s="0" t="n">
        <f aca="false">ROUND(AL180-AU180,2)</f>
        <v>0</v>
      </c>
      <c r="BD180" s="0" t="n">
        <f aca="false">ROUND(AM180-AV180,2)</f>
        <v>0</v>
      </c>
      <c r="BE180" s="0" t="n">
        <f aca="false">ROUND(AN180-AW180,2)</f>
        <v>0</v>
      </c>
      <c r="BF180" s="0" t="n">
        <f aca="false">ROUND(AO180-AX180,2)</f>
        <v>0</v>
      </c>
      <c r="BG180" s="0" t="n">
        <f aca="false">SUM(AY180:BF180)</f>
        <v>0</v>
      </c>
    </row>
    <row r="181" customFormat="false" ht="15" hidden="false" customHeight="false" outlineLevel="0" collapsed="false">
      <c r="A181" s="0" t="n">
        <v>179</v>
      </c>
      <c r="B181" s="0" t="n">
        <f aca="false">AY180</f>
        <v>0</v>
      </c>
      <c r="C181" s="0" t="n">
        <f aca="false">AZ180</f>
        <v>0</v>
      </c>
      <c r="D181" s="0" t="n">
        <f aca="false">BA180</f>
        <v>0</v>
      </c>
      <c r="E181" s="0" t="n">
        <f aca="false">BB180</f>
        <v>0</v>
      </c>
      <c r="F181" s="0" t="n">
        <f aca="false">BC180</f>
        <v>0</v>
      </c>
      <c r="G181" s="0" t="n">
        <f aca="false">BD180</f>
        <v>0</v>
      </c>
      <c r="H181" s="0" t="n">
        <f aca="false">BE180</f>
        <v>0</v>
      </c>
      <c r="I181" s="0" t="n">
        <f aca="false">BF180</f>
        <v>0</v>
      </c>
      <c r="J181" s="0" t="n">
        <f aca="false">B181*N('Debt Payoff'!D9)/12</f>
        <v>0</v>
      </c>
      <c r="K181" s="0" t="n">
        <f aca="false">C181*N('Debt Payoff'!D10)/12</f>
        <v>0</v>
      </c>
      <c r="L181" s="0" t="n">
        <f aca="false">D181*N('Debt Payoff'!D11)/12</f>
        <v>0</v>
      </c>
      <c r="M181" s="0" t="n">
        <f aca="false">E181*N('Debt Payoff'!D12)/12</f>
        <v>0</v>
      </c>
      <c r="N181" s="0" t="n">
        <f aca="false">F181*N('Debt Payoff'!D13)/12</f>
        <v>0</v>
      </c>
      <c r="O181" s="0" t="n">
        <f aca="false">G181*N('Debt Payoff'!D14)/12</f>
        <v>0</v>
      </c>
      <c r="P181" s="0" t="n">
        <f aca="false">H181*N('Debt Payoff'!D15)/12</f>
        <v>0</v>
      </c>
      <c r="Q181" s="0" t="n">
        <f aca="false">I181*N('Debt Payoff'!D16)/12</f>
        <v>0</v>
      </c>
      <c r="R181" s="0" t="n">
        <f aca="false">B181+J181</f>
        <v>0</v>
      </c>
      <c r="S181" s="0" t="n">
        <f aca="false">C181+K181</f>
        <v>0</v>
      </c>
      <c r="T181" s="0" t="n">
        <f aca="false">D181+L181</f>
        <v>0</v>
      </c>
      <c r="U181" s="0" t="n">
        <f aca="false">E181+M181</f>
        <v>0</v>
      </c>
      <c r="V181" s="0" t="n">
        <f aca="false">F181+N181</f>
        <v>0</v>
      </c>
      <c r="W181" s="0" t="n">
        <f aca="false">G181+O181</f>
        <v>0</v>
      </c>
      <c r="X181" s="0" t="n">
        <f aca="false">H181+P181</f>
        <v>0</v>
      </c>
      <c r="Y181" s="0" t="n">
        <f aca="false">I181+Q181</f>
        <v>0</v>
      </c>
      <c r="Z181" s="0" t="n">
        <f aca="false">MIN(R181,N('Debt Payoff'!E9))</f>
        <v>0</v>
      </c>
      <c r="AA181" s="0" t="n">
        <f aca="false">MIN(S181,N('Debt Payoff'!E10))</f>
        <v>0</v>
      </c>
      <c r="AB181" s="0" t="n">
        <f aca="false">MIN(T181,N('Debt Payoff'!E11))</f>
        <v>0</v>
      </c>
      <c r="AC181" s="0" t="n">
        <f aca="false">MIN(U181,N('Debt Payoff'!E12))</f>
        <v>0</v>
      </c>
      <c r="AD181" s="0" t="n">
        <f aca="false">MIN(V181,N('Debt Payoff'!E13))</f>
        <v>0</v>
      </c>
      <c r="AE181" s="0" t="n">
        <f aca="false">MIN(W181,N('Debt Payoff'!E14))</f>
        <v>0</v>
      </c>
      <c r="AF181" s="0" t="n">
        <f aca="false">MIN(X181,N('Debt Payoff'!E15))</f>
        <v>0</v>
      </c>
      <c r="AG181" s="0" t="n">
        <f aca="false">MIN(Y181,N('Debt Payoff'!E16))</f>
        <v>0</v>
      </c>
      <c r="AH181" s="0" t="n">
        <f aca="false">R181-Z181</f>
        <v>0</v>
      </c>
      <c r="AI181" s="0" t="n">
        <f aca="false">S181-AA181</f>
        <v>0</v>
      </c>
      <c r="AJ181" s="0" t="n">
        <f aca="false">T181-AB181</f>
        <v>0</v>
      </c>
      <c r="AK181" s="0" t="n">
        <f aca="false">U181-AC181</f>
        <v>0</v>
      </c>
      <c r="AL181" s="0" t="n">
        <f aca="false">V181-AD181</f>
        <v>0</v>
      </c>
      <c r="AM181" s="0" t="n">
        <f aca="false">W181-AE181</f>
        <v>0</v>
      </c>
      <c r="AN181" s="0" t="n">
        <f aca="false">X181-AF181</f>
        <v>0</v>
      </c>
      <c r="AO181" s="0" t="n">
        <f aca="false">Y181-AG181</f>
        <v>0</v>
      </c>
      <c r="AP181" s="0" t="n">
        <f aca="false">MAX(0,'Debt Payoff'!$D$17-SUM(Z181:AG181))</f>
        <v>805</v>
      </c>
      <c r="AQ181" s="0" t="n">
        <f aca="false">MIN(AH181,MAX(0,$AP181-SUMPRODUCT(($AH$1:$AO$1&lt;AH$1)*$AH181:$AO181)))</f>
        <v>0</v>
      </c>
      <c r="AR181" s="0" t="n">
        <f aca="false">MIN(AI181,MAX(0,$AP181-SUMPRODUCT(($AH$1:$AO$1&lt;AI$1)*$AH181:$AO181)))</f>
        <v>0</v>
      </c>
      <c r="AS181" s="0" t="n">
        <f aca="false">MIN(AJ181,MAX(0,$AP181-SUMPRODUCT(($AH$1:$AO$1&lt;AJ$1)*$AH181:$AO181)))</f>
        <v>0</v>
      </c>
      <c r="AT181" s="0" t="n">
        <f aca="false">MIN(AK181,MAX(0,$AP181-SUMPRODUCT(($AH$1:$AO$1&lt;AK$1)*$AH181:$AO181)))</f>
        <v>0</v>
      </c>
      <c r="AU181" s="0" t="n">
        <f aca="false">MIN(AL181,MAX(0,$AP181-SUMPRODUCT(($AH$1:$AO$1&lt;AL$1)*$AH181:$AO181)))</f>
        <v>0</v>
      </c>
      <c r="AV181" s="0" t="n">
        <f aca="false">MIN(AM181,MAX(0,$AP181-SUMPRODUCT(($AH$1:$AO$1&lt;AM$1)*$AH181:$AO181)))</f>
        <v>0</v>
      </c>
      <c r="AW181" s="0" t="n">
        <f aca="false">MIN(AN181,MAX(0,$AP181-SUMPRODUCT(($AH$1:$AO$1&lt;AN$1)*$AH181:$AO181)))</f>
        <v>0</v>
      </c>
      <c r="AX181" s="0" t="n">
        <f aca="false">MIN(AO181,MAX(0,$AP181-SUMPRODUCT(($AH$1:$AO$1&lt;AO$1)*$AH181:$AO181)))</f>
        <v>0</v>
      </c>
      <c r="AY181" s="0" t="n">
        <f aca="false">ROUND(AH181-AQ181,2)</f>
        <v>0</v>
      </c>
      <c r="AZ181" s="0" t="n">
        <f aca="false">ROUND(AI181-AR181,2)</f>
        <v>0</v>
      </c>
      <c r="BA181" s="0" t="n">
        <f aca="false">ROUND(AJ181-AS181,2)</f>
        <v>0</v>
      </c>
      <c r="BB181" s="0" t="n">
        <f aca="false">ROUND(AK181-AT181,2)</f>
        <v>0</v>
      </c>
      <c r="BC181" s="0" t="n">
        <f aca="false">ROUND(AL181-AU181,2)</f>
        <v>0</v>
      </c>
      <c r="BD181" s="0" t="n">
        <f aca="false">ROUND(AM181-AV181,2)</f>
        <v>0</v>
      </c>
      <c r="BE181" s="0" t="n">
        <f aca="false">ROUND(AN181-AW181,2)</f>
        <v>0</v>
      </c>
      <c r="BF181" s="0" t="n">
        <f aca="false">ROUND(AO181-AX181,2)</f>
        <v>0</v>
      </c>
      <c r="BG181" s="0" t="n">
        <f aca="false">SUM(AY181:BF181)</f>
        <v>0</v>
      </c>
    </row>
    <row r="182" customFormat="false" ht="15" hidden="false" customHeight="false" outlineLevel="0" collapsed="false">
      <c r="A182" s="0" t="n">
        <v>180</v>
      </c>
      <c r="B182" s="0" t="n">
        <f aca="false">AY181</f>
        <v>0</v>
      </c>
      <c r="C182" s="0" t="n">
        <f aca="false">AZ181</f>
        <v>0</v>
      </c>
      <c r="D182" s="0" t="n">
        <f aca="false">BA181</f>
        <v>0</v>
      </c>
      <c r="E182" s="0" t="n">
        <f aca="false">BB181</f>
        <v>0</v>
      </c>
      <c r="F182" s="0" t="n">
        <f aca="false">BC181</f>
        <v>0</v>
      </c>
      <c r="G182" s="0" t="n">
        <f aca="false">BD181</f>
        <v>0</v>
      </c>
      <c r="H182" s="0" t="n">
        <f aca="false">BE181</f>
        <v>0</v>
      </c>
      <c r="I182" s="0" t="n">
        <f aca="false">BF181</f>
        <v>0</v>
      </c>
      <c r="J182" s="0" t="n">
        <f aca="false">B182*N('Debt Payoff'!D9)/12</f>
        <v>0</v>
      </c>
      <c r="K182" s="0" t="n">
        <f aca="false">C182*N('Debt Payoff'!D10)/12</f>
        <v>0</v>
      </c>
      <c r="L182" s="0" t="n">
        <f aca="false">D182*N('Debt Payoff'!D11)/12</f>
        <v>0</v>
      </c>
      <c r="M182" s="0" t="n">
        <f aca="false">E182*N('Debt Payoff'!D12)/12</f>
        <v>0</v>
      </c>
      <c r="N182" s="0" t="n">
        <f aca="false">F182*N('Debt Payoff'!D13)/12</f>
        <v>0</v>
      </c>
      <c r="O182" s="0" t="n">
        <f aca="false">G182*N('Debt Payoff'!D14)/12</f>
        <v>0</v>
      </c>
      <c r="P182" s="0" t="n">
        <f aca="false">H182*N('Debt Payoff'!D15)/12</f>
        <v>0</v>
      </c>
      <c r="Q182" s="0" t="n">
        <f aca="false">I182*N('Debt Payoff'!D16)/12</f>
        <v>0</v>
      </c>
      <c r="R182" s="0" t="n">
        <f aca="false">B182+J182</f>
        <v>0</v>
      </c>
      <c r="S182" s="0" t="n">
        <f aca="false">C182+K182</f>
        <v>0</v>
      </c>
      <c r="T182" s="0" t="n">
        <f aca="false">D182+L182</f>
        <v>0</v>
      </c>
      <c r="U182" s="0" t="n">
        <f aca="false">E182+M182</f>
        <v>0</v>
      </c>
      <c r="V182" s="0" t="n">
        <f aca="false">F182+N182</f>
        <v>0</v>
      </c>
      <c r="W182" s="0" t="n">
        <f aca="false">G182+O182</f>
        <v>0</v>
      </c>
      <c r="X182" s="0" t="n">
        <f aca="false">H182+P182</f>
        <v>0</v>
      </c>
      <c r="Y182" s="0" t="n">
        <f aca="false">I182+Q182</f>
        <v>0</v>
      </c>
      <c r="Z182" s="0" t="n">
        <f aca="false">MIN(R182,N('Debt Payoff'!E9))</f>
        <v>0</v>
      </c>
      <c r="AA182" s="0" t="n">
        <f aca="false">MIN(S182,N('Debt Payoff'!E10))</f>
        <v>0</v>
      </c>
      <c r="AB182" s="0" t="n">
        <f aca="false">MIN(T182,N('Debt Payoff'!E11))</f>
        <v>0</v>
      </c>
      <c r="AC182" s="0" t="n">
        <f aca="false">MIN(U182,N('Debt Payoff'!E12))</f>
        <v>0</v>
      </c>
      <c r="AD182" s="0" t="n">
        <f aca="false">MIN(V182,N('Debt Payoff'!E13))</f>
        <v>0</v>
      </c>
      <c r="AE182" s="0" t="n">
        <f aca="false">MIN(W182,N('Debt Payoff'!E14))</f>
        <v>0</v>
      </c>
      <c r="AF182" s="0" t="n">
        <f aca="false">MIN(X182,N('Debt Payoff'!E15))</f>
        <v>0</v>
      </c>
      <c r="AG182" s="0" t="n">
        <f aca="false">MIN(Y182,N('Debt Payoff'!E16))</f>
        <v>0</v>
      </c>
      <c r="AH182" s="0" t="n">
        <f aca="false">R182-Z182</f>
        <v>0</v>
      </c>
      <c r="AI182" s="0" t="n">
        <f aca="false">S182-AA182</f>
        <v>0</v>
      </c>
      <c r="AJ182" s="0" t="n">
        <f aca="false">T182-AB182</f>
        <v>0</v>
      </c>
      <c r="AK182" s="0" t="n">
        <f aca="false">U182-AC182</f>
        <v>0</v>
      </c>
      <c r="AL182" s="0" t="n">
        <f aca="false">V182-AD182</f>
        <v>0</v>
      </c>
      <c r="AM182" s="0" t="n">
        <f aca="false">W182-AE182</f>
        <v>0</v>
      </c>
      <c r="AN182" s="0" t="n">
        <f aca="false">X182-AF182</f>
        <v>0</v>
      </c>
      <c r="AO182" s="0" t="n">
        <f aca="false">Y182-AG182</f>
        <v>0</v>
      </c>
      <c r="AP182" s="0" t="n">
        <f aca="false">MAX(0,'Debt Payoff'!$D$17-SUM(Z182:AG182))</f>
        <v>805</v>
      </c>
      <c r="AQ182" s="0" t="n">
        <f aca="false">MIN(AH182,MAX(0,$AP182-SUMPRODUCT(($AH$1:$AO$1&lt;AH$1)*$AH182:$AO182)))</f>
        <v>0</v>
      </c>
      <c r="AR182" s="0" t="n">
        <f aca="false">MIN(AI182,MAX(0,$AP182-SUMPRODUCT(($AH$1:$AO$1&lt;AI$1)*$AH182:$AO182)))</f>
        <v>0</v>
      </c>
      <c r="AS182" s="0" t="n">
        <f aca="false">MIN(AJ182,MAX(0,$AP182-SUMPRODUCT(($AH$1:$AO$1&lt;AJ$1)*$AH182:$AO182)))</f>
        <v>0</v>
      </c>
      <c r="AT182" s="0" t="n">
        <f aca="false">MIN(AK182,MAX(0,$AP182-SUMPRODUCT(($AH$1:$AO$1&lt;AK$1)*$AH182:$AO182)))</f>
        <v>0</v>
      </c>
      <c r="AU182" s="0" t="n">
        <f aca="false">MIN(AL182,MAX(0,$AP182-SUMPRODUCT(($AH$1:$AO$1&lt;AL$1)*$AH182:$AO182)))</f>
        <v>0</v>
      </c>
      <c r="AV182" s="0" t="n">
        <f aca="false">MIN(AM182,MAX(0,$AP182-SUMPRODUCT(($AH$1:$AO$1&lt;AM$1)*$AH182:$AO182)))</f>
        <v>0</v>
      </c>
      <c r="AW182" s="0" t="n">
        <f aca="false">MIN(AN182,MAX(0,$AP182-SUMPRODUCT(($AH$1:$AO$1&lt;AN$1)*$AH182:$AO182)))</f>
        <v>0</v>
      </c>
      <c r="AX182" s="0" t="n">
        <f aca="false">MIN(AO182,MAX(0,$AP182-SUMPRODUCT(($AH$1:$AO$1&lt;AO$1)*$AH182:$AO182)))</f>
        <v>0</v>
      </c>
      <c r="AY182" s="0" t="n">
        <f aca="false">ROUND(AH182-AQ182,2)</f>
        <v>0</v>
      </c>
      <c r="AZ182" s="0" t="n">
        <f aca="false">ROUND(AI182-AR182,2)</f>
        <v>0</v>
      </c>
      <c r="BA182" s="0" t="n">
        <f aca="false">ROUND(AJ182-AS182,2)</f>
        <v>0</v>
      </c>
      <c r="BB182" s="0" t="n">
        <f aca="false">ROUND(AK182-AT182,2)</f>
        <v>0</v>
      </c>
      <c r="BC182" s="0" t="n">
        <f aca="false">ROUND(AL182-AU182,2)</f>
        <v>0</v>
      </c>
      <c r="BD182" s="0" t="n">
        <f aca="false">ROUND(AM182-AV182,2)</f>
        <v>0</v>
      </c>
      <c r="BE182" s="0" t="n">
        <f aca="false">ROUND(AN182-AW182,2)</f>
        <v>0</v>
      </c>
      <c r="BF182" s="0" t="n">
        <f aca="false">ROUND(AO182-AX182,2)</f>
        <v>0</v>
      </c>
      <c r="BG182" s="0" t="n">
        <f aca="false">SUM(AY182:BF182)</f>
        <v>0</v>
      </c>
    </row>
    <row r="183" customFormat="false" ht="15" hidden="false" customHeight="false" outlineLevel="0" collapsed="false">
      <c r="A183" s="0" t="n">
        <v>181</v>
      </c>
      <c r="B183" s="0" t="n">
        <f aca="false">AY182</f>
        <v>0</v>
      </c>
      <c r="C183" s="0" t="n">
        <f aca="false">AZ182</f>
        <v>0</v>
      </c>
      <c r="D183" s="0" t="n">
        <f aca="false">BA182</f>
        <v>0</v>
      </c>
      <c r="E183" s="0" t="n">
        <f aca="false">BB182</f>
        <v>0</v>
      </c>
      <c r="F183" s="0" t="n">
        <f aca="false">BC182</f>
        <v>0</v>
      </c>
      <c r="G183" s="0" t="n">
        <f aca="false">BD182</f>
        <v>0</v>
      </c>
      <c r="H183" s="0" t="n">
        <f aca="false">BE182</f>
        <v>0</v>
      </c>
      <c r="I183" s="0" t="n">
        <f aca="false">BF182</f>
        <v>0</v>
      </c>
      <c r="J183" s="0" t="n">
        <f aca="false">B183*N('Debt Payoff'!D9)/12</f>
        <v>0</v>
      </c>
      <c r="K183" s="0" t="n">
        <f aca="false">C183*N('Debt Payoff'!D10)/12</f>
        <v>0</v>
      </c>
      <c r="L183" s="0" t="n">
        <f aca="false">D183*N('Debt Payoff'!D11)/12</f>
        <v>0</v>
      </c>
      <c r="M183" s="0" t="n">
        <f aca="false">E183*N('Debt Payoff'!D12)/12</f>
        <v>0</v>
      </c>
      <c r="N183" s="0" t="n">
        <f aca="false">F183*N('Debt Payoff'!D13)/12</f>
        <v>0</v>
      </c>
      <c r="O183" s="0" t="n">
        <f aca="false">G183*N('Debt Payoff'!D14)/12</f>
        <v>0</v>
      </c>
      <c r="P183" s="0" t="n">
        <f aca="false">H183*N('Debt Payoff'!D15)/12</f>
        <v>0</v>
      </c>
      <c r="Q183" s="0" t="n">
        <f aca="false">I183*N('Debt Payoff'!D16)/12</f>
        <v>0</v>
      </c>
      <c r="R183" s="0" t="n">
        <f aca="false">B183+J183</f>
        <v>0</v>
      </c>
      <c r="S183" s="0" t="n">
        <f aca="false">C183+K183</f>
        <v>0</v>
      </c>
      <c r="T183" s="0" t="n">
        <f aca="false">D183+L183</f>
        <v>0</v>
      </c>
      <c r="U183" s="0" t="n">
        <f aca="false">E183+M183</f>
        <v>0</v>
      </c>
      <c r="V183" s="0" t="n">
        <f aca="false">F183+N183</f>
        <v>0</v>
      </c>
      <c r="W183" s="0" t="n">
        <f aca="false">G183+O183</f>
        <v>0</v>
      </c>
      <c r="X183" s="0" t="n">
        <f aca="false">H183+P183</f>
        <v>0</v>
      </c>
      <c r="Y183" s="0" t="n">
        <f aca="false">I183+Q183</f>
        <v>0</v>
      </c>
      <c r="Z183" s="0" t="n">
        <f aca="false">MIN(R183,N('Debt Payoff'!E9))</f>
        <v>0</v>
      </c>
      <c r="AA183" s="0" t="n">
        <f aca="false">MIN(S183,N('Debt Payoff'!E10))</f>
        <v>0</v>
      </c>
      <c r="AB183" s="0" t="n">
        <f aca="false">MIN(T183,N('Debt Payoff'!E11))</f>
        <v>0</v>
      </c>
      <c r="AC183" s="0" t="n">
        <f aca="false">MIN(U183,N('Debt Payoff'!E12))</f>
        <v>0</v>
      </c>
      <c r="AD183" s="0" t="n">
        <f aca="false">MIN(V183,N('Debt Payoff'!E13))</f>
        <v>0</v>
      </c>
      <c r="AE183" s="0" t="n">
        <f aca="false">MIN(W183,N('Debt Payoff'!E14))</f>
        <v>0</v>
      </c>
      <c r="AF183" s="0" t="n">
        <f aca="false">MIN(X183,N('Debt Payoff'!E15))</f>
        <v>0</v>
      </c>
      <c r="AG183" s="0" t="n">
        <f aca="false">MIN(Y183,N('Debt Payoff'!E16))</f>
        <v>0</v>
      </c>
      <c r="AH183" s="0" t="n">
        <f aca="false">R183-Z183</f>
        <v>0</v>
      </c>
      <c r="AI183" s="0" t="n">
        <f aca="false">S183-AA183</f>
        <v>0</v>
      </c>
      <c r="AJ183" s="0" t="n">
        <f aca="false">T183-AB183</f>
        <v>0</v>
      </c>
      <c r="AK183" s="0" t="n">
        <f aca="false">U183-AC183</f>
        <v>0</v>
      </c>
      <c r="AL183" s="0" t="n">
        <f aca="false">V183-AD183</f>
        <v>0</v>
      </c>
      <c r="AM183" s="0" t="n">
        <f aca="false">W183-AE183</f>
        <v>0</v>
      </c>
      <c r="AN183" s="0" t="n">
        <f aca="false">X183-AF183</f>
        <v>0</v>
      </c>
      <c r="AO183" s="0" t="n">
        <f aca="false">Y183-AG183</f>
        <v>0</v>
      </c>
      <c r="AP183" s="0" t="n">
        <f aca="false">MAX(0,'Debt Payoff'!$D$17-SUM(Z183:AG183))</f>
        <v>805</v>
      </c>
      <c r="AQ183" s="0" t="n">
        <f aca="false">MIN(AH183,MAX(0,$AP183-SUMPRODUCT(($AH$1:$AO$1&lt;AH$1)*$AH183:$AO183)))</f>
        <v>0</v>
      </c>
      <c r="AR183" s="0" t="n">
        <f aca="false">MIN(AI183,MAX(0,$AP183-SUMPRODUCT(($AH$1:$AO$1&lt;AI$1)*$AH183:$AO183)))</f>
        <v>0</v>
      </c>
      <c r="AS183" s="0" t="n">
        <f aca="false">MIN(AJ183,MAX(0,$AP183-SUMPRODUCT(($AH$1:$AO$1&lt;AJ$1)*$AH183:$AO183)))</f>
        <v>0</v>
      </c>
      <c r="AT183" s="0" t="n">
        <f aca="false">MIN(AK183,MAX(0,$AP183-SUMPRODUCT(($AH$1:$AO$1&lt;AK$1)*$AH183:$AO183)))</f>
        <v>0</v>
      </c>
      <c r="AU183" s="0" t="n">
        <f aca="false">MIN(AL183,MAX(0,$AP183-SUMPRODUCT(($AH$1:$AO$1&lt;AL$1)*$AH183:$AO183)))</f>
        <v>0</v>
      </c>
      <c r="AV183" s="0" t="n">
        <f aca="false">MIN(AM183,MAX(0,$AP183-SUMPRODUCT(($AH$1:$AO$1&lt;AM$1)*$AH183:$AO183)))</f>
        <v>0</v>
      </c>
      <c r="AW183" s="0" t="n">
        <f aca="false">MIN(AN183,MAX(0,$AP183-SUMPRODUCT(($AH$1:$AO$1&lt;AN$1)*$AH183:$AO183)))</f>
        <v>0</v>
      </c>
      <c r="AX183" s="0" t="n">
        <f aca="false">MIN(AO183,MAX(0,$AP183-SUMPRODUCT(($AH$1:$AO$1&lt;AO$1)*$AH183:$AO183)))</f>
        <v>0</v>
      </c>
      <c r="AY183" s="0" t="n">
        <f aca="false">ROUND(AH183-AQ183,2)</f>
        <v>0</v>
      </c>
      <c r="AZ183" s="0" t="n">
        <f aca="false">ROUND(AI183-AR183,2)</f>
        <v>0</v>
      </c>
      <c r="BA183" s="0" t="n">
        <f aca="false">ROUND(AJ183-AS183,2)</f>
        <v>0</v>
      </c>
      <c r="BB183" s="0" t="n">
        <f aca="false">ROUND(AK183-AT183,2)</f>
        <v>0</v>
      </c>
      <c r="BC183" s="0" t="n">
        <f aca="false">ROUND(AL183-AU183,2)</f>
        <v>0</v>
      </c>
      <c r="BD183" s="0" t="n">
        <f aca="false">ROUND(AM183-AV183,2)</f>
        <v>0</v>
      </c>
      <c r="BE183" s="0" t="n">
        <f aca="false">ROUND(AN183-AW183,2)</f>
        <v>0</v>
      </c>
      <c r="BF183" s="0" t="n">
        <f aca="false">ROUND(AO183-AX183,2)</f>
        <v>0</v>
      </c>
      <c r="BG183" s="0" t="n">
        <f aca="false">SUM(AY183:BF183)</f>
        <v>0</v>
      </c>
    </row>
    <row r="184" customFormat="false" ht="15" hidden="false" customHeight="false" outlineLevel="0" collapsed="false">
      <c r="A184" s="0" t="n">
        <v>182</v>
      </c>
      <c r="B184" s="0" t="n">
        <f aca="false">AY183</f>
        <v>0</v>
      </c>
      <c r="C184" s="0" t="n">
        <f aca="false">AZ183</f>
        <v>0</v>
      </c>
      <c r="D184" s="0" t="n">
        <f aca="false">BA183</f>
        <v>0</v>
      </c>
      <c r="E184" s="0" t="n">
        <f aca="false">BB183</f>
        <v>0</v>
      </c>
      <c r="F184" s="0" t="n">
        <f aca="false">BC183</f>
        <v>0</v>
      </c>
      <c r="G184" s="0" t="n">
        <f aca="false">BD183</f>
        <v>0</v>
      </c>
      <c r="H184" s="0" t="n">
        <f aca="false">BE183</f>
        <v>0</v>
      </c>
      <c r="I184" s="0" t="n">
        <f aca="false">BF183</f>
        <v>0</v>
      </c>
      <c r="J184" s="0" t="n">
        <f aca="false">B184*N('Debt Payoff'!D9)/12</f>
        <v>0</v>
      </c>
      <c r="K184" s="0" t="n">
        <f aca="false">C184*N('Debt Payoff'!D10)/12</f>
        <v>0</v>
      </c>
      <c r="L184" s="0" t="n">
        <f aca="false">D184*N('Debt Payoff'!D11)/12</f>
        <v>0</v>
      </c>
      <c r="M184" s="0" t="n">
        <f aca="false">E184*N('Debt Payoff'!D12)/12</f>
        <v>0</v>
      </c>
      <c r="N184" s="0" t="n">
        <f aca="false">F184*N('Debt Payoff'!D13)/12</f>
        <v>0</v>
      </c>
      <c r="O184" s="0" t="n">
        <f aca="false">G184*N('Debt Payoff'!D14)/12</f>
        <v>0</v>
      </c>
      <c r="P184" s="0" t="n">
        <f aca="false">H184*N('Debt Payoff'!D15)/12</f>
        <v>0</v>
      </c>
      <c r="Q184" s="0" t="n">
        <f aca="false">I184*N('Debt Payoff'!D16)/12</f>
        <v>0</v>
      </c>
      <c r="R184" s="0" t="n">
        <f aca="false">B184+J184</f>
        <v>0</v>
      </c>
      <c r="S184" s="0" t="n">
        <f aca="false">C184+K184</f>
        <v>0</v>
      </c>
      <c r="T184" s="0" t="n">
        <f aca="false">D184+L184</f>
        <v>0</v>
      </c>
      <c r="U184" s="0" t="n">
        <f aca="false">E184+M184</f>
        <v>0</v>
      </c>
      <c r="V184" s="0" t="n">
        <f aca="false">F184+N184</f>
        <v>0</v>
      </c>
      <c r="W184" s="0" t="n">
        <f aca="false">G184+O184</f>
        <v>0</v>
      </c>
      <c r="X184" s="0" t="n">
        <f aca="false">H184+P184</f>
        <v>0</v>
      </c>
      <c r="Y184" s="0" t="n">
        <f aca="false">I184+Q184</f>
        <v>0</v>
      </c>
      <c r="Z184" s="0" t="n">
        <f aca="false">MIN(R184,N('Debt Payoff'!E9))</f>
        <v>0</v>
      </c>
      <c r="AA184" s="0" t="n">
        <f aca="false">MIN(S184,N('Debt Payoff'!E10))</f>
        <v>0</v>
      </c>
      <c r="AB184" s="0" t="n">
        <f aca="false">MIN(T184,N('Debt Payoff'!E11))</f>
        <v>0</v>
      </c>
      <c r="AC184" s="0" t="n">
        <f aca="false">MIN(U184,N('Debt Payoff'!E12))</f>
        <v>0</v>
      </c>
      <c r="AD184" s="0" t="n">
        <f aca="false">MIN(V184,N('Debt Payoff'!E13))</f>
        <v>0</v>
      </c>
      <c r="AE184" s="0" t="n">
        <f aca="false">MIN(W184,N('Debt Payoff'!E14))</f>
        <v>0</v>
      </c>
      <c r="AF184" s="0" t="n">
        <f aca="false">MIN(X184,N('Debt Payoff'!E15))</f>
        <v>0</v>
      </c>
      <c r="AG184" s="0" t="n">
        <f aca="false">MIN(Y184,N('Debt Payoff'!E16))</f>
        <v>0</v>
      </c>
      <c r="AH184" s="0" t="n">
        <f aca="false">R184-Z184</f>
        <v>0</v>
      </c>
      <c r="AI184" s="0" t="n">
        <f aca="false">S184-AA184</f>
        <v>0</v>
      </c>
      <c r="AJ184" s="0" t="n">
        <f aca="false">T184-AB184</f>
        <v>0</v>
      </c>
      <c r="AK184" s="0" t="n">
        <f aca="false">U184-AC184</f>
        <v>0</v>
      </c>
      <c r="AL184" s="0" t="n">
        <f aca="false">V184-AD184</f>
        <v>0</v>
      </c>
      <c r="AM184" s="0" t="n">
        <f aca="false">W184-AE184</f>
        <v>0</v>
      </c>
      <c r="AN184" s="0" t="n">
        <f aca="false">X184-AF184</f>
        <v>0</v>
      </c>
      <c r="AO184" s="0" t="n">
        <f aca="false">Y184-AG184</f>
        <v>0</v>
      </c>
      <c r="AP184" s="0" t="n">
        <f aca="false">MAX(0,'Debt Payoff'!$D$17-SUM(Z184:AG184))</f>
        <v>805</v>
      </c>
      <c r="AQ184" s="0" t="n">
        <f aca="false">MIN(AH184,MAX(0,$AP184-SUMPRODUCT(($AH$1:$AO$1&lt;AH$1)*$AH184:$AO184)))</f>
        <v>0</v>
      </c>
      <c r="AR184" s="0" t="n">
        <f aca="false">MIN(AI184,MAX(0,$AP184-SUMPRODUCT(($AH$1:$AO$1&lt;AI$1)*$AH184:$AO184)))</f>
        <v>0</v>
      </c>
      <c r="AS184" s="0" t="n">
        <f aca="false">MIN(AJ184,MAX(0,$AP184-SUMPRODUCT(($AH$1:$AO$1&lt;AJ$1)*$AH184:$AO184)))</f>
        <v>0</v>
      </c>
      <c r="AT184" s="0" t="n">
        <f aca="false">MIN(AK184,MAX(0,$AP184-SUMPRODUCT(($AH$1:$AO$1&lt;AK$1)*$AH184:$AO184)))</f>
        <v>0</v>
      </c>
      <c r="AU184" s="0" t="n">
        <f aca="false">MIN(AL184,MAX(0,$AP184-SUMPRODUCT(($AH$1:$AO$1&lt;AL$1)*$AH184:$AO184)))</f>
        <v>0</v>
      </c>
      <c r="AV184" s="0" t="n">
        <f aca="false">MIN(AM184,MAX(0,$AP184-SUMPRODUCT(($AH$1:$AO$1&lt;AM$1)*$AH184:$AO184)))</f>
        <v>0</v>
      </c>
      <c r="AW184" s="0" t="n">
        <f aca="false">MIN(AN184,MAX(0,$AP184-SUMPRODUCT(($AH$1:$AO$1&lt;AN$1)*$AH184:$AO184)))</f>
        <v>0</v>
      </c>
      <c r="AX184" s="0" t="n">
        <f aca="false">MIN(AO184,MAX(0,$AP184-SUMPRODUCT(($AH$1:$AO$1&lt;AO$1)*$AH184:$AO184)))</f>
        <v>0</v>
      </c>
      <c r="AY184" s="0" t="n">
        <f aca="false">ROUND(AH184-AQ184,2)</f>
        <v>0</v>
      </c>
      <c r="AZ184" s="0" t="n">
        <f aca="false">ROUND(AI184-AR184,2)</f>
        <v>0</v>
      </c>
      <c r="BA184" s="0" t="n">
        <f aca="false">ROUND(AJ184-AS184,2)</f>
        <v>0</v>
      </c>
      <c r="BB184" s="0" t="n">
        <f aca="false">ROUND(AK184-AT184,2)</f>
        <v>0</v>
      </c>
      <c r="BC184" s="0" t="n">
        <f aca="false">ROUND(AL184-AU184,2)</f>
        <v>0</v>
      </c>
      <c r="BD184" s="0" t="n">
        <f aca="false">ROUND(AM184-AV184,2)</f>
        <v>0</v>
      </c>
      <c r="BE184" s="0" t="n">
        <f aca="false">ROUND(AN184-AW184,2)</f>
        <v>0</v>
      </c>
      <c r="BF184" s="0" t="n">
        <f aca="false">ROUND(AO184-AX184,2)</f>
        <v>0</v>
      </c>
      <c r="BG184" s="0" t="n">
        <f aca="false">SUM(AY184:BF184)</f>
        <v>0</v>
      </c>
    </row>
    <row r="185" customFormat="false" ht="15" hidden="false" customHeight="false" outlineLevel="0" collapsed="false">
      <c r="A185" s="0" t="n">
        <v>183</v>
      </c>
      <c r="B185" s="0" t="n">
        <f aca="false">AY184</f>
        <v>0</v>
      </c>
      <c r="C185" s="0" t="n">
        <f aca="false">AZ184</f>
        <v>0</v>
      </c>
      <c r="D185" s="0" t="n">
        <f aca="false">BA184</f>
        <v>0</v>
      </c>
      <c r="E185" s="0" t="n">
        <f aca="false">BB184</f>
        <v>0</v>
      </c>
      <c r="F185" s="0" t="n">
        <f aca="false">BC184</f>
        <v>0</v>
      </c>
      <c r="G185" s="0" t="n">
        <f aca="false">BD184</f>
        <v>0</v>
      </c>
      <c r="H185" s="0" t="n">
        <f aca="false">BE184</f>
        <v>0</v>
      </c>
      <c r="I185" s="0" t="n">
        <f aca="false">BF184</f>
        <v>0</v>
      </c>
      <c r="J185" s="0" t="n">
        <f aca="false">B185*N('Debt Payoff'!D9)/12</f>
        <v>0</v>
      </c>
      <c r="K185" s="0" t="n">
        <f aca="false">C185*N('Debt Payoff'!D10)/12</f>
        <v>0</v>
      </c>
      <c r="L185" s="0" t="n">
        <f aca="false">D185*N('Debt Payoff'!D11)/12</f>
        <v>0</v>
      </c>
      <c r="M185" s="0" t="n">
        <f aca="false">E185*N('Debt Payoff'!D12)/12</f>
        <v>0</v>
      </c>
      <c r="N185" s="0" t="n">
        <f aca="false">F185*N('Debt Payoff'!D13)/12</f>
        <v>0</v>
      </c>
      <c r="O185" s="0" t="n">
        <f aca="false">G185*N('Debt Payoff'!D14)/12</f>
        <v>0</v>
      </c>
      <c r="P185" s="0" t="n">
        <f aca="false">H185*N('Debt Payoff'!D15)/12</f>
        <v>0</v>
      </c>
      <c r="Q185" s="0" t="n">
        <f aca="false">I185*N('Debt Payoff'!D16)/12</f>
        <v>0</v>
      </c>
      <c r="R185" s="0" t="n">
        <f aca="false">B185+J185</f>
        <v>0</v>
      </c>
      <c r="S185" s="0" t="n">
        <f aca="false">C185+K185</f>
        <v>0</v>
      </c>
      <c r="T185" s="0" t="n">
        <f aca="false">D185+L185</f>
        <v>0</v>
      </c>
      <c r="U185" s="0" t="n">
        <f aca="false">E185+M185</f>
        <v>0</v>
      </c>
      <c r="V185" s="0" t="n">
        <f aca="false">F185+N185</f>
        <v>0</v>
      </c>
      <c r="W185" s="0" t="n">
        <f aca="false">G185+O185</f>
        <v>0</v>
      </c>
      <c r="X185" s="0" t="n">
        <f aca="false">H185+P185</f>
        <v>0</v>
      </c>
      <c r="Y185" s="0" t="n">
        <f aca="false">I185+Q185</f>
        <v>0</v>
      </c>
      <c r="Z185" s="0" t="n">
        <f aca="false">MIN(R185,N('Debt Payoff'!E9))</f>
        <v>0</v>
      </c>
      <c r="AA185" s="0" t="n">
        <f aca="false">MIN(S185,N('Debt Payoff'!E10))</f>
        <v>0</v>
      </c>
      <c r="AB185" s="0" t="n">
        <f aca="false">MIN(T185,N('Debt Payoff'!E11))</f>
        <v>0</v>
      </c>
      <c r="AC185" s="0" t="n">
        <f aca="false">MIN(U185,N('Debt Payoff'!E12))</f>
        <v>0</v>
      </c>
      <c r="AD185" s="0" t="n">
        <f aca="false">MIN(V185,N('Debt Payoff'!E13))</f>
        <v>0</v>
      </c>
      <c r="AE185" s="0" t="n">
        <f aca="false">MIN(W185,N('Debt Payoff'!E14))</f>
        <v>0</v>
      </c>
      <c r="AF185" s="0" t="n">
        <f aca="false">MIN(X185,N('Debt Payoff'!E15))</f>
        <v>0</v>
      </c>
      <c r="AG185" s="0" t="n">
        <f aca="false">MIN(Y185,N('Debt Payoff'!E16))</f>
        <v>0</v>
      </c>
      <c r="AH185" s="0" t="n">
        <f aca="false">R185-Z185</f>
        <v>0</v>
      </c>
      <c r="AI185" s="0" t="n">
        <f aca="false">S185-AA185</f>
        <v>0</v>
      </c>
      <c r="AJ185" s="0" t="n">
        <f aca="false">T185-AB185</f>
        <v>0</v>
      </c>
      <c r="AK185" s="0" t="n">
        <f aca="false">U185-AC185</f>
        <v>0</v>
      </c>
      <c r="AL185" s="0" t="n">
        <f aca="false">V185-AD185</f>
        <v>0</v>
      </c>
      <c r="AM185" s="0" t="n">
        <f aca="false">W185-AE185</f>
        <v>0</v>
      </c>
      <c r="AN185" s="0" t="n">
        <f aca="false">X185-AF185</f>
        <v>0</v>
      </c>
      <c r="AO185" s="0" t="n">
        <f aca="false">Y185-AG185</f>
        <v>0</v>
      </c>
      <c r="AP185" s="0" t="n">
        <f aca="false">MAX(0,'Debt Payoff'!$D$17-SUM(Z185:AG185))</f>
        <v>805</v>
      </c>
      <c r="AQ185" s="0" t="n">
        <f aca="false">MIN(AH185,MAX(0,$AP185-SUMPRODUCT(($AH$1:$AO$1&lt;AH$1)*$AH185:$AO185)))</f>
        <v>0</v>
      </c>
      <c r="AR185" s="0" t="n">
        <f aca="false">MIN(AI185,MAX(0,$AP185-SUMPRODUCT(($AH$1:$AO$1&lt;AI$1)*$AH185:$AO185)))</f>
        <v>0</v>
      </c>
      <c r="AS185" s="0" t="n">
        <f aca="false">MIN(AJ185,MAX(0,$AP185-SUMPRODUCT(($AH$1:$AO$1&lt;AJ$1)*$AH185:$AO185)))</f>
        <v>0</v>
      </c>
      <c r="AT185" s="0" t="n">
        <f aca="false">MIN(AK185,MAX(0,$AP185-SUMPRODUCT(($AH$1:$AO$1&lt;AK$1)*$AH185:$AO185)))</f>
        <v>0</v>
      </c>
      <c r="AU185" s="0" t="n">
        <f aca="false">MIN(AL185,MAX(0,$AP185-SUMPRODUCT(($AH$1:$AO$1&lt;AL$1)*$AH185:$AO185)))</f>
        <v>0</v>
      </c>
      <c r="AV185" s="0" t="n">
        <f aca="false">MIN(AM185,MAX(0,$AP185-SUMPRODUCT(($AH$1:$AO$1&lt;AM$1)*$AH185:$AO185)))</f>
        <v>0</v>
      </c>
      <c r="AW185" s="0" t="n">
        <f aca="false">MIN(AN185,MAX(0,$AP185-SUMPRODUCT(($AH$1:$AO$1&lt;AN$1)*$AH185:$AO185)))</f>
        <v>0</v>
      </c>
      <c r="AX185" s="0" t="n">
        <f aca="false">MIN(AO185,MAX(0,$AP185-SUMPRODUCT(($AH$1:$AO$1&lt;AO$1)*$AH185:$AO185)))</f>
        <v>0</v>
      </c>
      <c r="AY185" s="0" t="n">
        <f aca="false">ROUND(AH185-AQ185,2)</f>
        <v>0</v>
      </c>
      <c r="AZ185" s="0" t="n">
        <f aca="false">ROUND(AI185-AR185,2)</f>
        <v>0</v>
      </c>
      <c r="BA185" s="0" t="n">
        <f aca="false">ROUND(AJ185-AS185,2)</f>
        <v>0</v>
      </c>
      <c r="BB185" s="0" t="n">
        <f aca="false">ROUND(AK185-AT185,2)</f>
        <v>0</v>
      </c>
      <c r="BC185" s="0" t="n">
        <f aca="false">ROUND(AL185-AU185,2)</f>
        <v>0</v>
      </c>
      <c r="BD185" s="0" t="n">
        <f aca="false">ROUND(AM185-AV185,2)</f>
        <v>0</v>
      </c>
      <c r="BE185" s="0" t="n">
        <f aca="false">ROUND(AN185-AW185,2)</f>
        <v>0</v>
      </c>
      <c r="BF185" s="0" t="n">
        <f aca="false">ROUND(AO185-AX185,2)</f>
        <v>0</v>
      </c>
      <c r="BG185" s="0" t="n">
        <f aca="false">SUM(AY185:BF185)</f>
        <v>0</v>
      </c>
    </row>
    <row r="186" customFormat="false" ht="15" hidden="false" customHeight="false" outlineLevel="0" collapsed="false">
      <c r="A186" s="0" t="n">
        <v>184</v>
      </c>
      <c r="B186" s="0" t="n">
        <f aca="false">AY185</f>
        <v>0</v>
      </c>
      <c r="C186" s="0" t="n">
        <f aca="false">AZ185</f>
        <v>0</v>
      </c>
      <c r="D186" s="0" t="n">
        <f aca="false">BA185</f>
        <v>0</v>
      </c>
      <c r="E186" s="0" t="n">
        <f aca="false">BB185</f>
        <v>0</v>
      </c>
      <c r="F186" s="0" t="n">
        <f aca="false">BC185</f>
        <v>0</v>
      </c>
      <c r="G186" s="0" t="n">
        <f aca="false">BD185</f>
        <v>0</v>
      </c>
      <c r="H186" s="0" t="n">
        <f aca="false">BE185</f>
        <v>0</v>
      </c>
      <c r="I186" s="0" t="n">
        <f aca="false">BF185</f>
        <v>0</v>
      </c>
      <c r="J186" s="0" t="n">
        <f aca="false">B186*N('Debt Payoff'!D9)/12</f>
        <v>0</v>
      </c>
      <c r="K186" s="0" t="n">
        <f aca="false">C186*N('Debt Payoff'!D10)/12</f>
        <v>0</v>
      </c>
      <c r="L186" s="0" t="n">
        <f aca="false">D186*N('Debt Payoff'!D11)/12</f>
        <v>0</v>
      </c>
      <c r="M186" s="0" t="n">
        <f aca="false">E186*N('Debt Payoff'!D12)/12</f>
        <v>0</v>
      </c>
      <c r="N186" s="0" t="n">
        <f aca="false">F186*N('Debt Payoff'!D13)/12</f>
        <v>0</v>
      </c>
      <c r="O186" s="0" t="n">
        <f aca="false">G186*N('Debt Payoff'!D14)/12</f>
        <v>0</v>
      </c>
      <c r="P186" s="0" t="n">
        <f aca="false">H186*N('Debt Payoff'!D15)/12</f>
        <v>0</v>
      </c>
      <c r="Q186" s="0" t="n">
        <f aca="false">I186*N('Debt Payoff'!D16)/12</f>
        <v>0</v>
      </c>
      <c r="R186" s="0" t="n">
        <f aca="false">B186+J186</f>
        <v>0</v>
      </c>
      <c r="S186" s="0" t="n">
        <f aca="false">C186+K186</f>
        <v>0</v>
      </c>
      <c r="T186" s="0" t="n">
        <f aca="false">D186+L186</f>
        <v>0</v>
      </c>
      <c r="U186" s="0" t="n">
        <f aca="false">E186+M186</f>
        <v>0</v>
      </c>
      <c r="V186" s="0" t="n">
        <f aca="false">F186+N186</f>
        <v>0</v>
      </c>
      <c r="W186" s="0" t="n">
        <f aca="false">G186+O186</f>
        <v>0</v>
      </c>
      <c r="X186" s="0" t="n">
        <f aca="false">H186+P186</f>
        <v>0</v>
      </c>
      <c r="Y186" s="0" t="n">
        <f aca="false">I186+Q186</f>
        <v>0</v>
      </c>
      <c r="Z186" s="0" t="n">
        <f aca="false">MIN(R186,N('Debt Payoff'!E9))</f>
        <v>0</v>
      </c>
      <c r="AA186" s="0" t="n">
        <f aca="false">MIN(S186,N('Debt Payoff'!E10))</f>
        <v>0</v>
      </c>
      <c r="AB186" s="0" t="n">
        <f aca="false">MIN(T186,N('Debt Payoff'!E11))</f>
        <v>0</v>
      </c>
      <c r="AC186" s="0" t="n">
        <f aca="false">MIN(U186,N('Debt Payoff'!E12))</f>
        <v>0</v>
      </c>
      <c r="AD186" s="0" t="n">
        <f aca="false">MIN(V186,N('Debt Payoff'!E13))</f>
        <v>0</v>
      </c>
      <c r="AE186" s="0" t="n">
        <f aca="false">MIN(W186,N('Debt Payoff'!E14))</f>
        <v>0</v>
      </c>
      <c r="AF186" s="0" t="n">
        <f aca="false">MIN(X186,N('Debt Payoff'!E15))</f>
        <v>0</v>
      </c>
      <c r="AG186" s="0" t="n">
        <f aca="false">MIN(Y186,N('Debt Payoff'!E16))</f>
        <v>0</v>
      </c>
      <c r="AH186" s="0" t="n">
        <f aca="false">R186-Z186</f>
        <v>0</v>
      </c>
      <c r="AI186" s="0" t="n">
        <f aca="false">S186-AA186</f>
        <v>0</v>
      </c>
      <c r="AJ186" s="0" t="n">
        <f aca="false">T186-AB186</f>
        <v>0</v>
      </c>
      <c r="AK186" s="0" t="n">
        <f aca="false">U186-AC186</f>
        <v>0</v>
      </c>
      <c r="AL186" s="0" t="n">
        <f aca="false">V186-AD186</f>
        <v>0</v>
      </c>
      <c r="AM186" s="0" t="n">
        <f aca="false">W186-AE186</f>
        <v>0</v>
      </c>
      <c r="AN186" s="0" t="n">
        <f aca="false">X186-AF186</f>
        <v>0</v>
      </c>
      <c r="AO186" s="0" t="n">
        <f aca="false">Y186-AG186</f>
        <v>0</v>
      </c>
      <c r="AP186" s="0" t="n">
        <f aca="false">MAX(0,'Debt Payoff'!$D$17-SUM(Z186:AG186))</f>
        <v>805</v>
      </c>
      <c r="AQ186" s="0" t="n">
        <f aca="false">MIN(AH186,MAX(0,$AP186-SUMPRODUCT(($AH$1:$AO$1&lt;AH$1)*$AH186:$AO186)))</f>
        <v>0</v>
      </c>
      <c r="AR186" s="0" t="n">
        <f aca="false">MIN(AI186,MAX(0,$AP186-SUMPRODUCT(($AH$1:$AO$1&lt;AI$1)*$AH186:$AO186)))</f>
        <v>0</v>
      </c>
      <c r="AS186" s="0" t="n">
        <f aca="false">MIN(AJ186,MAX(0,$AP186-SUMPRODUCT(($AH$1:$AO$1&lt;AJ$1)*$AH186:$AO186)))</f>
        <v>0</v>
      </c>
      <c r="AT186" s="0" t="n">
        <f aca="false">MIN(AK186,MAX(0,$AP186-SUMPRODUCT(($AH$1:$AO$1&lt;AK$1)*$AH186:$AO186)))</f>
        <v>0</v>
      </c>
      <c r="AU186" s="0" t="n">
        <f aca="false">MIN(AL186,MAX(0,$AP186-SUMPRODUCT(($AH$1:$AO$1&lt;AL$1)*$AH186:$AO186)))</f>
        <v>0</v>
      </c>
      <c r="AV186" s="0" t="n">
        <f aca="false">MIN(AM186,MAX(0,$AP186-SUMPRODUCT(($AH$1:$AO$1&lt;AM$1)*$AH186:$AO186)))</f>
        <v>0</v>
      </c>
      <c r="AW186" s="0" t="n">
        <f aca="false">MIN(AN186,MAX(0,$AP186-SUMPRODUCT(($AH$1:$AO$1&lt;AN$1)*$AH186:$AO186)))</f>
        <v>0</v>
      </c>
      <c r="AX186" s="0" t="n">
        <f aca="false">MIN(AO186,MAX(0,$AP186-SUMPRODUCT(($AH$1:$AO$1&lt;AO$1)*$AH186:$AO186)))</f>
        <v>0</v>
      </c>
      <c r="AY186" s="0" t="n">
        <f aca="false">ROUND(AH186-AQ186,2)</f>
        <v>0</v>
      </c>
      <c r="AZ186" s="0" t="n">
        <f aca="false">ROUND(AI186-AR186,2)</f>
        <v>0</v>
      </c>
      <c r="BA186" s="0" t="n">
        <f aca="false">ROUND(AJ186-AS186,2)</f>
        <v>0</v>
      </c>
      <c r="BB186" s="0" t="n">
        <f aca="false">ROUND(AK186-AT186,2)</f>
        <v>0</v>
      </c>
      <c r="BC186" s="0" t="n">
        <f aca="false">ROUND(AL186-AU186,2)</f>
        <v>0</v>
      </c>
      <c r="BD186" s="0" t="n">
        <f aca="false">ROUND(AM186-AV186,2)</f>
        <v>0</v>
      </c>
      <c r="BE186" s="0" t="n">
        <f aca="false">ROUND(AN186-AW186,2)</f>
        <v>0</v>
      </c>
      <c r="BF186" s="0" t="n">
        <f aca="false">ROUND(AO186-AX186,2)</f>
        <v>0</v>
      </c>
      <c r="BG186" s="0" t="n">
        <f aca="false">SUM(AY186:BF186)</f>
        <v>0</v>
      </c>
    </row>
    <row r="187" customFormat="false" ht="15" hidden="false" customHeight="false" outlineLevel="0" collapsed="false">
      <c r="A187" s="0" t="n">
        <v>185</v>
      </c>
      <c r="B187" s="0" t="n">
        <f aca="false">AY186</f>
        <v>0</v>
      </c>
      <c r="C187" s="0" t="n">
        <f aca="false">AZ186</f>
        <v>0</v>
      </c>
      <c r="D187" s="0" t="n">
        <f aca="false">BA186</f>
        <v>0</v>
      </c>
      <c r="E187" s="0" t="n">
        <f aca="false">BB186</f>
        <v>0</v>
      </c>
      <c r="F187" s="0" t="n">
        <f aca="false">BC186</f>
        <v>0</v>
      </c>
      <c r="G187" s="0" t="n">
        <f aca="false">BD186</f>
        <v>0</v>
      </c>
      <c r="H187" s="0" t="n">
        <f aca="false">BE186</f>
        <v>0</v>
      </c>
      <c r="I187" s="0" t="n">
        <f aca="false">BF186</f>
        <v>0</v>
      </c>
      <c r="J187" s="0" t="n">
        <f aca="false">B187*N('Debt Payoff'!D9)/12</f>
        <v>0</v>
      </c>
      <c r="K187" s="0" t="n">
        <f aca="false">C187*N('Debt Payoff'!D10)/12</f>
        <v>0</v>
      </c>
      <c r="L187" s="0" t="n">
        <f aca="false">D187*N('Debt Payoff'!D11)/12</f>
        <v>0</v>
      </c>
      <c r="M187" s="0" t="n">
        <f aca="false">E187*N('Debt Payoff'!D12)/12</f>
        <v>0</v>
      </c>
      <c r="N187" s="0" t="n">
        <f aca="false">F187*N('Debt Payoff'!D13)/12</f>
        <v>0</v>
      </c>
      <c r="O187" s="0" t="n">
        <f aca="false">G187*N('Debt Payoff'!D14)/12</f>
        <v>0</v>
      </c>
      <c r="P187" s="0" t="n">
        <f aca="false">H187*N('Debt Payoff'!D15)/12</f>
        <v>0</v>
      </c>
      <c r="Q187" s="0" t="n">
        <f aca="false">I187*N('Debt Payoff'!D16)/12</f>
        <v>0</v>
      </c>
      <c r="R187" s="0" t="n">
        <f aca="false">B187+J187</f>
        <v>0</v>
      </c>
      <c r="S187" s="0" t="n">
        <f aca="false">C187+K187</f>
        <v>0</v>
      </c>
      <c r="T187" s="0" t="n">
        <f aca="false">D187+L187</f>
        <v>0</v>
      </c>
      <c r="U187" s="0" t="n">
        <f aca="false">E187+M187</f>
        <v>0</v>
      </c>
      <c r="V187" s="0" t="n">
        <f aca="false">F187+N187</f>
        <v>0</v>
      </c>
      <c r="W187" s="0" t="n">
        <f aca="false">G187+O187</f>
        <v>0</v>
      </c>
      <c r="X187" s="0" t="n">
        <f aca="false">H187+P187</f>
        <v>0</v>
      </c>
      <c r="Y187" s="0" t="n">
        <f aca="false">I187+Q187</f>
        <v>0</v>
      </c>
      <c r="Z187" s="0" t="n">
        <f aca="false">MIN(R187,N('Debt Payoff'!E9))</f>
        <v>0</v>
      </c>
      <c r="AA187" s="0" t="n">
        <f aca="false">MIN(S187,N('Debt Payoff'!E10))</f>
        <v>0</v>
      </c>
      <c r="AB187" s="0" t="n">
        <f aca="false">MIN(T187,N('Debt Payoff'!E11))</f>
        <v>0</v>
      </c>
      <c r="AC187" s="0" t="n">
        <f aca="false">MIN(U187,N('Debt Payoff'!E12))</f>
        <v>0</v>
      </c>
      <c r="AD187" s="0" t="n">
        <f aca="false">MIN(V187,N('Debt Payoff'!E13))</f>
        <v>0</v>
      </c>
      <c r="AE187" s="0" t="n">
        <f aca="false">MIN(W187,N('Debt Payoff'!E14))</f>
        <v>0</v>
      </c>
      <c r="AF187" s="0" t="n">
        <f aca="false">MIN(X187,N('Debt Payoff'!E15))</f>
        <v>0</v>
      </c>
      <c r="AG187" s="0" t="n">
        <f aca="false">MIN(Y187,N('Debt Payoff'!E16))</f>
        <v>0</v>
      </c>
      <c r="AH187" s="0" t="n">
        <f aca="false">R187-Z187</f>
        <v>0</v>
      </c>
      <c r="AI187" s="0" t="n">
        <f aca="false">S187-AA187</f>
        <v>0</v>
      </c>
      <c r="AJ187" s="0" t="n">
        <f aca="false">T187-AB187</f>
        <v>0</v>
      </c>
      <c r="AK187" s="0" t="n">
        <f aca="false">U187-AC187</f>
        <v>0</v>
      </c>
      <c r="AL187" s="0" t="n">
        <f aca="false">V187-AD187</f>
        <v>0</v>
      </c>
      <c r="AM187" s="0" t="n">
        <f aca="false">W187-AE187</f>
        <v>0</v>
      </c>
      <c r="AN187" s="0" t="n">
        <f aca="false">X187-AF187</f>
        <v>0</v>
      </c>
      <c r="AO187" s="0" t="n">
        <f aca="false">Y187-AG187</f>
        <v>0</v>
      </c>
      <c r="AP187" s="0" t="n">
        <f aca="false">MAX(0,'Debt Payoff'!$D$17-SUM(Z187:AG187))</f>
        <v>805</v>
      </c>
      <c r="AQ187" s="0" t="n">
        <f aca="false">MIN(AH187,MAX(0,$AP187-SUMPRODUCT(($AH$1:$AO$1&lt;AH$1)*$AH187:$AO187)))</f>
        <v>0</v>
      </c>
      <c r="AR187" s="0" t="n">
        <f aca="false">MIN(AI187,MAX(0,$AP187-SUMPRODUCT(($AH$1:$AO$1&lt;AI$1)*$AH187:$AO187)))</f>
        <v>0</v>
      </c>
      <c r="AS187" s="0" t="n">
        <f aca="false">MIN(AJ187,MAX(0,$AP187-SUMPRODUCT(($AH$1:$AO$1&lt;AJ$1)*$AH187:$AO187)))</f>
        <v>0</v>
      </c>
      <c r="AT187" s="0" t="n">
        <f aca="false">MIN(AK187,MAX(0,$AP187-SUMPRODUCT(($AH$1:$AO$1&lt;AK$1)*$AH187:$AO187)))</f>
        <v>0</v>
      </c>
      <c r="AU187" s="0" t="n">
        <f aca="false">MIN(AL187,MAX(0,$AP187-SUMPRODUCT(($AH$1:$AO$1&lt;AL$1)*$AH187:$AO187)))</f>
        <v>0</v>
      </c>
      <c r="AV187" s="0" t="n">
        <f aca="false">MIN(AM187,MAX(0,$AP187-SUMPRODUCT(($AH$1:$AO$1&lt;AM$1)*$AH187:$AO187)))</f>
        <v>0</v>
      </c>
      <c r="AW187" s="0" t="n">
        <f aca="false">MIN(AN187,MAX(0,$AP187-SUMPRODUCT(($AH$1:$AO$1&lt;AN$1)*$AH187:$AO187)))</f>
        <v>0</v>
      </c>
      <c r="AX187" s="0" t="n">
        <f aca="false">MIN(AO187,MAX(0,$AP187-SUMPRODUCT(($AH$1:$AO$1&lt;AO$1)*$AH187:$AO187)))</f>
        <v>0</v>
      </c>
      <c r="AY187" s="0" t="n">
        <f aca="false">ROUND(AH187-AQ187,2)</f>
        <v>0</v>
      </c>
      <c r="AZ187" s="0" t="n">
        <f aca="false">ROUND(AI187-AR187,2)</f>
        <v>0</v>
      </c>
      <c r="BA187" s="0" t="n">
        <f aca="false">ROUND(AJ187-AS187,2)</f>
        <v>0</v>
      </c>
      <c r="BB187" s="0" t="n">
        <f aca="false">ROUND(AK187-AT187,2)</f>
        <v>0</v>
      </c>
      <c r="BC187" s="0" t="n">
        <f aca="false">ROUND(AL187-AU187,2)</f>
        <v>0</v>
      </c>
      <c r="BD187" s="0" t="n">
        <f aca="false">ROUND(AM187-AV187,2)</f>
        <v>0</v>
      </c>
      <c r="BE187" s="0" t="n">
        <f aca="false">ROUND(AN187-AW187,2)</f>
        <v>0</v>
      </c>
      <c r="BF187" s="0" t="n">
        <f aca="false">ROUND(AO187-AX187,2)</f>
        <v>0</v>
      </c>
      <c r="BG187" s="0" t="n">
        <f aca="false">SUM(AY187:BF187)</f>
        <v>0</v>
      </c>
    </row>
    <row r="188" customFormat="false" ht="15" hidden="false" customHeight="false" outlineLevel="0" collapsed="false">
      <c r="A188" s="0" t="n">
        <v>186</v>
      </c>
      <c r="B188" s="0" t="n">
        <f aca="false">AY187</f>
        <v>0</v>
      </c>
      <c r="C188" s="0" t="n">
        <f aca="false">AZ187</f>
        <v>0</v>
      </c>
      <c r="D188" s="0" t="n">
        <f aca="false">BA187</f>
        <v>0</v>
      </c>
      <c r="E188" s="0" t="n">
        <f aca="false">BB187</f>
        <v>0</v>
      </c>
      <c r="F188" s="0" t="n">
        <f aca="false">BC187</f>
        <v>0</v>
      </c>
      <c r="G188" s="0" t="n">
        <f aca="false">BD187</f>
        <v>0</v>
      </c>
      <c r="H188" s="0" t="n">
        <f aca="false">BE187</f>
        <v>0</v>
      </c>
      <c r="I188" s="0" t="n">
        <f aca="false">BF187</f>
        <v>0</v>
      </c>
      <c r="J188" s="0" t="n">
        <f aca="false">B188*N('Debt Payoff'!D9)/12</f>
        <v>0</v>
      </c>
      <c r="K188" s="0" t="n">
        <f aca="false">C188*N('Debt Payoff'!D10)/12</f>
        <v>0</v>
      </c>
      <c r="L188" s="0" t="n">
        <f aca="false">D188*N('Debt Payoff'!D11)/12</f>
        <v>0</v>
      </c>
      <c r="M188" s="0" t="n">
        <f aca="false">E188*N('Debt Payoff'!D12)/12</f>
        <v>0</v>
      </c>
      <c r="N188" s="0" t="n">
        <f aca="false">F188*N('Debt Payoff'!D13)/12</f>
        <v>0</v>
      </c>
      <c r="O188" s="0" t="n">
        <f aca="false">G188*N('Debt Payoff'!D14)/12</f>
        <v>0</v>
      </c>
      <c r="P188" s="0" t="n">
        <f aca="false">H188*N('Debt Payoff'!D15)/12</f>
        <v>0</v>
      </c>
      <c r="Q188" s="0" t="n">
        <f aca="false">I188*N('Debt Payoff'!D16)/12</f>
        <v>0</v>
      </c>
      <c r="R188" s="0" t="n">
        <f aca="false">B188+J188</f>
        <v>0</v>
      </c>
      <c r="S188" s="0" t="n">
        <f aca="false">C188+K188</f>
        <v>0</v>
      </c>
      <c r="T188" s="0" t="n">
        <f aca="false">D188+L188</f>
        <v>0</v>
      </c>
      <c r="U188" s="0" t="n">
        <f aca="false">E188+M188</f>
        <v>0</v>
      </c>
      <c r="V188" s="0" t="n">
        <f aca="false">F188+N188</f>
        <v>0</v>
      </c>
      <c r="W188" s="0" t="n">
        <f aca="false">G188+O188</f>
        <v>0</v>
      </c>
      <c r="X188" s="0" t="n">
        <f aca="false">H188+P188</f>
        <v>0</v>
      </c>
      <c r="Y188" s="0" t="n">
        <f aca="false">I188+Q188</f>
        <v>0</v>
      </c>
      <c r="Z188" s="0" t="n">
        <f aca="false">MIN(R188,N('Debt Payoff'!E9))</f>
        <v>0</v>
      </c>
      <c r="AA188" s="0" t="n">
        <f aca="false">MIN(S188,N('Debt Payoff'!E10))</f>
        <v>0</v>
      </c>
      <c r="AB188" s="0" t="n">
        <f aca="false">MIN(T188,N('Debt Payoff'!E11))</f>
        <v>0</v>
      </c>
      <c r="AC188" s="0" t="n">
        <f aca="false">MIN(U188,N('Debt Payoff'!E12))</f>
        <v>0</v>
      </c>
      <c r="AD188" s="0" t="n">
        <f aca="false">MIN(V188,N('Debt Payoff'!E13))</f>
        <v>0</v>
      </c>
      <c r="AE188" s="0" t="n">
        <f aca="false">MIN(W188,N('Debt Payoff'!E14))</f>
        <v>0</v>
      </c>
      <c r="AF188" s="0" t="n">
        <f aca="false">MIN(X188,N('Debt Payoff'!E15))</f>
        <v>0</v>
      </c>
      <c r="AG188" s="0" t="n">
        <f aca="false">MIN(Y188,N('Debt Payoff'!E16))</f>
        <v>0</v>
      </c>
      <c r="AH188" s="0" t="n">
        <f aca="false">R188-Z188</f>
        <v>0</v>
      </c>
      <c r="AI188" s="0" t="n">
        <f aca="false">S188-AA188</f>
        <v>0</v>
      </c>
      <c r="AJ188" s="0" t="n">
        <f aca="false">T188-AB188</f>
        <v>0</v>
      </c>
      <c r="AK188" s="0" t="n">
        <f aca="false">U188-AC188</f>
        <v>0</v>
      </c>
      <c r="AL188" s="0" t="n">
        <f aca="false">V188-AD188</f>
        <v>0</v>
      </c>
      <c r="AM188" s="0" t="n">
        <f aca="false">W188-AE188</f>
        <v>0</v>
      </c>
      <c r="AN188" s="0" t="n">
        <f aca="false">X188-AF188</f>
        <v>0</v>
      </c>
      <c r="AO188" s="0" t="n">
        <f aca="false">Y188-AG188</f>
        <v>0</v>
      </c>
      <c r="AP188" s="0" t="n">
        <f aca="false">MAX(0,'Debt Payoff'!$D$17-SUM(Z188:AG188))</f>
        <v>805</v>
      </c>
      <c r="AQ188" s="0" t="n">
        <f aca="false">MIN(AH188,MAX(0,$AP188-SUMPRODUCT(($AH$1:$AO$1&lt;AH$1)*$AH188:$AO188)))</f>
        <v>0</v>
      </c>
      <c r="AR188" s="0" t="n">
        <f aca="false">MIN(AI188,MAX(0,$AP188-SUMPRODUCT(($AH$1:$AO$1&lt;AI$1)*$AH188:$AO188)))</f>
        <v>0</v>
      </c>
      <c r="AS188" s="0" t="n">
        <f aca="false">MIN(AJ188,MAX(0,$AP188-SUMPRODUCT(($AH$1:$AO$1&lt;AJ$1)*$AH188:$AO188)))</f>
        <v>0</v>
      </c>
      <c r="AT188" s="0" t="n">
        <f aca="false">MIN(AK188,MAX(0,$AP188-SUMPRODUCT(($AH$1:$AO$1&lt;AK$1)*$AH188:$AO188)))</f>
        <v>0</v>
      </c>
      <c r="AU188" s="0" t="n">
        <f aca="false">MIN(AL188,MAX(0,$AP188-SUMPRODUCT(($AH$1:$AO$1&lt;AL$1)*$AH188:$AO188)))</f>
        <v>0</v>
      </c>
      <c r="AV188" s="0" t="n">
        <f aca="false">MIN(AM188,MAX(0,$AP188-SUMPRODUCT(($AH$1:$AO$1&lt;AM$1)*$AH188:$AO188)))</f>
        <v>0</v>
      </c>
      <c r="AW188" s="0" t="n">
        <f aca="false">MIN(AN188,MAX(0,$AP188-SUMPRODUCT(($AH$1:$AO$1&lt;AN$1)*$AH188:$AO188)))</f>
        <v>0</v>
      </c>
      <c r="AX188" s="0" t="n">
        <f aca="false">MIN(AO188,MAX(0,$AP188-SUMPRODUCT(($AH$1:$AO$1&lt;AO$1)*$AH188:$AO188)))</f>
        <v>0</v>
      </c>
      <c r="AY188" s="0" t="n">
        <f aca="false">ROUND(AH188-AQ188,2)</f>
        <v>0</v>
      </c>
      <c r="AZ188" s="0" t="n">
        <f aca="false">ROUND(AI188-AR188,2)</f>
        <v>0</v>
      </c>
      <c r="BA188" s="0" t="n">
        <f aca="false">ROUND(AJ188-AS188,2)</f>
        <v>0</v>
      </c>
      <c r="BB188" s="0" t="n">
        <f aca="false">ROUND(AK188-AT188,2)</f>
        <v>0</v>
      </c>
      <c r="BC188" s="0" t="n">
        <f aca="false">ROUND(AL188-AU188,2)</f>
        <v>0</v>
      </c>
      <c r="BD188" s="0" t="n">
        <f aca="false">ROUND(AM188-AV188,2)</f>
        <v>0</v>
      </c>
      <c r="BE188" s="0" t="n">
        <f aca="false">ROUND(AN188-AW188,2)</f>
        <v>0</v>
      </c>
      <c r="BF188" s="0" t="n">
        <f aca="false">ROUND(AO188-AX188,2)</f>
        <v>0</v>
      </c>
      <c r="BG188" s="0" t="n">
        <f aca="false">SUM(AY188:BF188)</f>
        <v>0</v>
      </c>
    </row>
    <row r="189" customFormat="false" ht="15" hidden="false" customHeight="false" outlineLevel="0" collapsed="false">
      <c r="A189" s="0" t="n">
        <v>187</v>
      </c>
      <c r="B189" s="0" t="n">
        <f aca="false">AY188</f>
        <v>0</v>
      </c>
      <c r="C189" s="0" t="n">
        <f aca="false">AZ188</f>
        <v>0</v>
      </c>
      <c r="D189" s="0" t="n">
        <f aca="false">BA188</f>
        <v>0</v>
      </c>
      <c r="E189" s="0" t="n">
        <f aca="false">BB188</f>
        <v>0</v>
      </c>
      <c r="F189" s="0" t="n">
        <f aca="false">BC188</f>
        <v>0</v>
      </c>
      <c r="G189" s="0" t="n">
        <f aca="false">BD188</f>
        <v>0</v>
      </c>
      <c r="H189" s="0" t="n">
        <f aca="false">BE188</f>
        <v>0</v>
      </c>
      <c r="I189" s="0" t="n">
        <f aca="false">BF188</f>
        <v>0</v>
      </c>
      <c r="J189" s="0" t="n">
        <f aca="false">B189*N('Debt Payoff'!D9)/12</f>
        <v>0</v>
      </c>
      <c r="K189" s="0" t="n">
        <f aca="false">C189*N('Debt Payoff'!D10)/12</f>
        <v>0</v>
      </c>
      <c r="L189" s="0" t="n">
        <f aca="false">D189*N('Debt Payoff'!D11)/12</f>
        <v>0</v>
      </c>
      <c r="M189" s="0" t="n">
        <f aca="false">E189*N('Debt Payoff'!D12)/12</f>
        <v>0</v>
      </c>
      <c r="N189" s="0" t="n">
        <f aca="false">F189*N('Debt Payoff'!D13)/12</f>
        <v>0</v>
      </c>
      <c r="O189" s="0" t="n">
        <f aca="false">G189*N('Debt Payoff'!D14)/12</f>
        <v>0</v>
      </c>
      <c r="P189" s="0" t="n">
        <f aca="false">H189*N('Debt Payoff'!D15)/12</f>
        <v>0</v>
      </c>
      <c r="Q189" s="0" t="n">
        <f aca="false">I189*N('Debt Payoff'!D16)/12</f>
        <v>0</v>
      </c>
      <c r="R189" s="0" t="n">
        <f aca="false">B189+J189</f>
        <v>0</v>
      </c>
      <c r="S189" s="0" t="n">
        <f aca="false">C189+K189</f>
        <v>0</v>
      </c>
      <c r="T189" s="0" t="n">
        <f aca="false">D189+L189</f>
        <v>0</v>
      </c>
      <c r="U189" s="0" t="n">
        <f aca="false">E189+M189</f>
        <v>0</v>
      </c>
      <c r="V189" s="0" t="n">
        <f aca="false">F189+N189</f>
        <v>0</v>
      </c>
      <c r="W189" s="0" t="n">
        <f aca="false">G189+O189</f>
        <v>0</v>
      </c>
      <c r="X189" s="0" t="n">
        <f aca="false">H189+P189</f>
        <v>0</v>
      </c>
      <c r="Y189" s="0" t="n">
        <f aca="false">I189+Q189</f>
        <v>0</v>
      </c>
      <c r="Z189" s="0" t="n">
        <f aca="false">MIN(R189,N('Debt Payoff'!E9))</f>
        <v>0</v>
      </c>
      <c r="AA189" s="0" t="n">
        <f aca="false">MIN(S189,N('Debt Payoff'!E10))</f>
        <v>0</v>
      </c>
      <c r="AB189" s="0" t="n">
        <f aca="false">MIN(T189,N('Debt Payoff'!E11))</f>
        <v>0</v>
      </c>
      <c r="AC189" s="0" t="n">
        <f aca="false">MIN(U189,N('Debt Payoff'!E12))</f>
        <v>0</v>
      </c>
      <c r="AD189" s="0" t="n">
        <f aca="false">MIN(V189,N('Debt Payoff'!E13))</f>
        <v>0</v>
      </c>
      <c r="AE189" s="0" t="n">
        <f aca="false">MIN(W189,N('Debt Payoff'!E14))</f>
        <v>0</v>
      </c>
      <c r="AF189" s="0" t="n">
        <f aca="false">MIN(X189,N('Debt Payoff'!E15))</f>
        <v>0</v>
      </c>
      <c r="AG189" s="0" t="n">
        <f aca="false">MIN(Y189,N('Debt Payoff'!E16))</f>
        <v>0</v>
      </c>
      <c r="AH189" s="0" t="n">
        <f aca="false">R189-Z189</f>
        <v>0</v>
      </c>
      <c r="AI189" s="0" t="n">
        <f aca="false">S189-AA189</f>
        <v>0</v>
      </c>
      <c r="AJ189" s="0" t="n">
        <f aca="false">T189-AB189</f>
        <v>0</v>
      </c>
      <c r="AK189" s="0" t="n">
        <f aca="false">U189-AC189</f>
        <v>0</v>
      </c>
      <c r="AL189" s="0" t="n">
        <f aca="false">V189-AD189</f>
        <v>0</v>
      </c>
      <c r="AM189" s="0" t="n">
        <f aca="false">W189-AE189</f>
        <v>0</v>
      </c>
      <c r="AN189" s="0" t="n">
        <f aca="false">X189-AF189</f>
        <v>0</v>
      </c>
      <c r="AO189" s="0" t="n">
        <f aca="false">Y189-AG189</f>
        <v>0</v>
      </c>
      <c r="AP189" s="0" t="n">
        <f aca="false">MAX(0,'Debt Payoff'!$D$17-SUM(Z189:AG189))</f>
        <v>805</v>
      </c>
      <c r="AQ189" s="0" t="n">
        <f aca="false">MIN(AH189,MAX(0,$AP189-SUMPRODUCT(($AH$1:$AO$1&lt;AH$1)*$AH189:$AO189)))</f>
        <v>0</v>
      </c>
      <c r="AR189" s="0" t="n">
        <f aca="false">MIN(AI189,MAX(0,$AP189-SUMPRODUCT(($AH$1:$AO$1&lt;AI$1)*$AH189:$AO189)))</f>
        <v>0</v>
      </c>
      <c r="AS189" s="0" t="n">
        <f aca="false">MIN(AJ189,MAX(0,$AP189-SUMPRODUCT(($AH$1:$AO$1&lt;AJ$1)*$AH189:$AO189)))</f>
        <v>0</v>
      </c>
      <c r="AT189" s="0" t="n">
        <f aca="false">MIN(AK189,MAX(0,$AP189-SUMPRODUCT(($AH$1:$AO$1&lt;AK$1)*$AH189:$AO189)))</f>
        <v>0</v>
      </c>
      <c r="AU189" s="0" t="n">
        <f aca="false">MIN(AL189,MAX(0,$AP189-SUMPRODUCT(($AH$1:$AO$1&lt;AL$1)*$AH189:$AO189)))</f>
        <v>0</v>
      </c>
      <c r="AV189" s="0" t="n">
        <f aca="false">MIN(AM189,MAX(0,$AP189-SUMPRODUCT(($AH$1:$AO$1&lt;AM$1)*$AH189:$AO189)))</f>
        <v>0</v>
      </c>
      <c r="AW189" s="0" t="n">
        <f aca="false">MIN(AN189,MAX(0,$AP189-SUMPRODUCT(($AH$1:$AO$1&lt;AN$1)*$AH189:$AO189)))</f>
        <v>0</v>
      </c>
      <c r="AX189" s="0" t="n">
        <f aca="false">MIN(AO189,MAX(0,$AP189-SUMPRODUCT(($AH$1:$AO$1&lt;AO$1)*$AH189:$AO189)))</f>
        <v>0</v>
      </c>
      <c r="AY189" s="0" t="n">
        <f aca="false">ROUND(AH189-AQ189,2)</f>
        <v>0</v>
      </c>
      <c r="AZ189" s="0" t="n">
        <f aca="false">ROUND(AI189-AR189,2)</f>
        <v>0</v>
      </c>
      <c r="BA189" s="0" t="n">
        <f aca="false">ROUND(AJ189-AS189,2)</f>
        <v>0</v>
      </c>
      <c r="BB189" s="0" t="n">
        <f aca="false">ROUND(AK189-AT189,2)</f>
        <v>0</v>
      </c>
      <c r="BC189" s="0" t="n">
        <f aca="false">ROUND(AL189-AU189,2)</f>
        <v>0</v>
      </c>
      <c r="BD189" s="0" t="n">
        <f aca="false">ROUND(AM189-AV189,2)</f>
        <v>0</v>
      </c>
      <c r="BE189" s="0" t="n">
        <f aca="false">ROUND(AN189-AW189,2)</f>
        <v>0</v>
      </c>
      <c r="BF189" s="0" t="n">
        <f aca="false">ROUND(AO189-AX189,2)</f>
        <v>0</v>
      </c>
      <c r="BG189" s="0" t="n">
        <f aca="false">SUM(AY189:BF189)</f>
        <v>0</v>
      </c>
    </row>
    <row r="190" customFormat="false" ht="15" hidden="false" customHeight="false" outlineLevel="0" collapsed="false">
      <c r="A190" s="0" t="n">
        <v>188</v>
      </c>
      <c r="B190" s="0" t="n">
        <f aca="false">AY189</f>
        <v>0</v>
      </c>
      <c r="C190" s="0" t="n">
        <f aca="false">AZ189</f>
        <v>0</v>
      </c>
      <c r="D190" s="0" t="n">
        <f aca="false">BA189</f>
        <v>0</v>
      </c>
      <c r="E190" s="0" t="n">
        <f aca="false">BB189</f>
        <v>0</v>
      </c>
      <c r="F190" s="0" t="n">
        <f aca="false">BC189</f>
        <v>0</v>
      </c>
      <c r="G190" s="0" t="n">
        <f aca="false">BD189</f>
        <v>0</v>
      </c>
      <c r="H190" s="0" t="n">
        <f aca="false">BE189</f>
        <v>0</v>
      </c>
      <c r="I190" s="0" t="n">
        <f aca="false">BF189</f>
        <v>0</v>
      </c>
      <c r="J190" s="0" t="n">
        <f aca="false">B190*N('Debt Payoff'!D9)/12</f>
        <v>0</v>
      </c>
      <c r="K190" s="0" t="n">
        <f aca="false">C190*N('Debt Payoff'!D10)/12</f>
        <v>0</v>
      </c>
      <c r="L190" s="0" t="n">
        <f aca="false">D190*N('Debt Payoff'!D11)/12</f>
        <v>0</v>
      </c>
      <c r="M190" s="0" t="n">
        <f aca="false">E190*N('Debt Payoff'!D12)/12</f>
        <v>0</v>
      </c>
      <c r="N190" s="0" t="n">
        <f aca="false">F190*N('Debt Payoff'!D13)/12</f>
        <v>0</v>
      </c>
      <c r="O190" s="0" t="n">
        <f aca="false">G190*N('Debt Payoff'!D14)/12</f>
        <v>0</v>
      </c>
      <c r="P190" s="0" t="n">
        <f aca="false">H190*N('Debt Payoff'!D15)/12</f>
        <v>0</v>
      </c>
      <c r="Q190" s="0" t="n">
        <f aca="false">I190*N('Debt Payoff'!D16)/12</f>
        <v>0</v>
      </c>
      <c r="R190" s="0" t="n">
        <f aca="false">B190+J190</f>
        <v>0</v>
      </c>
      <c r="S190" s="0" t="n">
        <f aca="false">C190+K190</f>
        <v>0</v>
      </c>
      <c r="T190" s="0" t="n">
        <f aca="false">D190+L190</f>
        <v>0</v>
      </c>
      <c r="U190" s="0" t="n">
        <f aca="false">E190+M190</f>
        <v>0</v>
      </c>
      <c r="V190" s="0" t="n">
        <f aca="false">F190+N190</f>
        <v>0</v>
      </c>
      <c r="W190" s="0" t="n">
        <f aca="false">G190+O190</f>
        <v>0</v>
      </c>
      <c r="X190" s="0" t="n">
        <f aca="false">H190+P190</f>
        <v>0</v>
      </c>
      <c r="Y190" s="0" t="n">
        <f aca="false">I190+Q190</f>
        <v>0</v>
      </c>
      <c r="Z190" s="0" t="n">
        <f aca="false">MIN(R190,N('Debt Payoff'!E9))</f>
        <v>0</v>
      </c>
      <c r="AA190" s="0" t="n">
        <f aca="false">MIN(S190,N('Debt Payoff'!E10))</f>
        <v>0</v>
      </c>
      <c r="AB190" s="0" t="n">
        <f aca="false">MIN(T190,N('Debt Payoff'!E11))</f>
        <v>0</v>
      </c>
      <c r="AC190" s="0" t="n">
        <f aca="false">MIN(U190,N('Debt Payoff'!E12))</f>
        <v>0</v>
      </c>
      <c r="AD190" s="0" t="n">
        <f aca="false">MIN(V190,N('Debt Payoff'!E13))</f>
        <v>0</v>
      </c>
      <c r="AE190" s="0" t="n">
        <f aca="false">MIN(W190,N('Debt Payoff'!E14))</f>
        <v>0</v>
      </c>
      <c r="AF190" s="0" t="n">
        <f aca="false">MIN(X190,N('Debt Payoff'!E15))</f>
        <v>0</v>
      </c>
      <c r="AG190" s="0" t="n">
        <f aca="false">MIN(Y190,N('Debt Payoff'!E16))</f>
        <v>0</v>
      </c>
      <c r="AH190" s="0" t="n">
        <f aca="false">R190-Z190</f>
        <v>0</v>
      </c>
      <c r="AI190" s="0" t="n">
        <f aca="false">S190-AA190</f>
        <v>0</v>
      </c>
      <c r="AJ190" s="0" t="n">
        <f aca="false">T190-AB190</f>
        <v>0</v>
      </c>
      <c r="AK190" s="0" t="n">
        <f aca="false">U190-AC190</f>
        <v>0</v>
      </c>
      <c r="AL190" s="0" t="n">
        <f aca="false">V190-AD190</f>
        <v>0</v>
      </c>
      <c r="AM190" s="0" t="n">
        <f aca="false">W190-AE190</f>
        <v>0</v>
      </c>
      <c r="AN190" s="0" t="n">
        <f aca="false">X190-AF190</f>
        <v>0</v>
      </c>
      <c r="AO190" s="0" t="n">
        <f aca="false">Y190-AG190</f>
        <v>0</v>
      </c>
      <c r="AP190" s="0" t="n">
        <f aca="false">MAX(0,'Debt Payoff'!$D$17-SUM(Z190:AG190))</f>
        <v>805</v>
      </c>
      <c r="AQ190" s="0" t="n">
        <f aca="false">MIN(AH190,MAX(0,$AP190-SUMPRODUCT(($AH$1:$AO$1&lt;AH$1)*$AH190:$AO190)))</f>
        <v>0</v>
      </c>
      <c r="AR190" s="0" t="n">
        <f aca="false">MIN(AI190,MAX(0,$AP190-SUMPRODUCT(($AH$1:$AO$1&lt;AI$1)*$AH190:$AO190)))</f>
        <v>0</v>
      </c>
      <c r="AS190" s="0" t="n">
        <f aca="false">MIN(AJ190,MAX(0,$AP190-SUMPRODUCT(($AH$1:$AO$1&lt;AJ$1)*$AH190:$AO190)))</f>
        <v>0</v>
      </c>
      <c r="AT190" s="0" t="n">
        <f aca="false">MIN(AK190,MAX(0,$AP190-SUMPRODUCT(($AH$1:$AO$1&lt;AK$1)*$AH190:$AO190)))</f>
        <v>0</v>
      </c>
      <c r="AU190" s="0" t="n">
        <f aca="false">MIN(AL190,MAX(0,$AP190-SUMPRODUCT(($AH$1:$AO$1&lt;AL$1)*$AH190:$AO190)))</f>
        <v>0</v>
      </c>
      <c r="AV190" s="0" t="n">
        <f aca="false">MIN(AM190,MAX(0,$AP190-SUMPRODUCT(($AH$1:$AO$1&lt;AM$1)*$AH190:$AO190)))</f>
        <v>0</v>
      </c>
      <c r="AW190" s="0" t="n">
        <f aca="false">MIN(AN190,MAX(0,$AP190-SUMPRODUCT(($AH$1:$AO$1&lt;AN$1)*$AH190:$AO190)))</f>
        <v>0</v>
      </c>
      <c r="AX190" s="0" t="n">
        <f aca="false">MIN(AO190,MAX(0,$AP190-SUMPRODUCT(($AH$1:$AO$1&lt;AO$1)*$AH190:$AO190)))</f>
        <v>0</v>
      </c>
      <c r="AY190" s="0" t="n">
        <f aca="false">ROUND(AH190-AQ190,2)</f>
        <v>0</v>
      </c>
      <c r="AZ190" s="0" t="n">
        <f aca="false">ROUND(AI190-AR190,2)</f>
        <v>0</v>
      </c>
      <c r="BA190" s="0" t="n">
        <f aca="false">ROUND(AJ190-AS190,2)</f>
        <v>0</v>
      </c>
      <c r="BB190" s="0" t="n">
        <f aca="false">ROUND(AK190-AT190,2)</f>
        <v>0</v>
      </c>
      <c r="BC190" s="0" t="n">
        <f aca="false">ROUND(AL190-AU190,2)</f>
        <v>0</v>
      </c>
      <c r="BD190" s="0" t="n">
        <f aca="false">ROUND(AM190-AV190,2)</f>
        <v>0</v>
      </c>
      <c r="BE190" s="0" t="n">
        <f aca="false">ROUND(AN190-AW190,2)</f>
        <v>0</v>
      </c>
      <c r="BF190" s="0" t="n">
        <f aca="false">ROUND(AO190-AX190,2)</f>
        <v>0</v>
      </c>
      <c r="BG190" s="0" t="n">
        <f aca="false">SUM(AY190:BF190)</f>
        <v>0</v>
      </c>
    </row>
    <row r="191" customFormat="false" ht="15" hidden="false" customHeight="false" outlineLevel="0" collapsed="false">
      <c r="A191" s="0" t="n">
        <v>189</v>
      </c>
      <c r="B191" s="0" t="n">
        <f aca="false">AY190</f>
        <v>0</v>
      </c>
      <c r="C191" s="0" t="n">
        <f aca="false">AZ190</f>
        <v>0</v>
      </c>
      <c r="D191" s="0" t="n">
        <f aca="false">BA190</f>
        <v>0</v>
      </c>
      <c r="E191" s="0" t="n">
        <f aca="false">BB190</f>
        <v>0</v>
      </c>
      <c r="F191" s="0" t="n">
        <f aca="false">BC190</f>
        <v>0</v>
      </c>
      <c r="G191" s="0" t="n">
        <f aca="false">BD190</f>
        <v>0</v>
      </c>
      <c r="H191" s="0" t="n">
        <f aca="false">BE190</f>
        <v>0</v>
      </c>
      <c r="I191" s="0" t="n">
        <f aca="false">BF190</f>
        <v>0</v>
      </c>
      <c r="J191" s="0" t="n">
        <f aca="false">B191*N('Debt Payoff'!D9)/12</f>
        <v>0</v>
      </c>
      <c r="K191" s="0" t="n">
        <f aca="false">C191*N('Debt Payoff'!D10)/12</f>
        <v>0</v>
      </c>
      <c r="L191" s="0" t="n">
        <f aca="false">D191*N('Debt Payoff'!D11)/12</f>
        <v>0</v>
      </c>
      <c r="M191" s="0" t="n">
        <f aca="false">E191*N('Debt Payoff'!D12)/12</f>
        <v>0</v>
      </c>
      <c r="N191" s="0" t="n">
        <f aca="false">F191*N('Debt Payoff'!D13)/12</f>
        <v>0</v>
      </c>
      <c r="O191" s="0" t="n">
        <f aca="false">G191*N('Debt Payoff'!D14)/12</f>
        <v>0</v>
      </c>
      <c r="P191" s="0" t="n">
        <f aca="false">H191*N('Debt Payoff'!D15)/12</f>
        <v>0</v>
      </c>
      <c r="Q191" s="0" t="n">
        <f aca="false">I191*N('Debt Payoff'!D16)/12</f>
        <v>0</v>
      </c>
      <c r="R191" s="0" t="n">
        <f aca="false">B191+J191</f>
        <v>0</v>
      </c>
      <c r="S191" s="0" t="n">
        <f aca="false">C191+K191</f>
        <v>0</v>
      </c>
      <c r="T191" s="0" t="n">
        <f aca="false">D191+L191</f>
        <v>0</v>
      </c>
      <c r="U191" s="0" t="n">
        <f aca="false">E191+M191</f>
        <v>0</v>
      </c>
      <c r="V191" s="0" t="n">
        <f aca="false">F191+N191</f>
        <v>0</v>
      </c>
      <c r="W191" s="0" t="n">
        <f aca="false">G191+O191</f>
        <v>0</v>
      </c>
      <c r="X191" s="0" t="n">
        <f aca="false">H191+P191</f>
        <v>0</v>
      </c>
      <c r="Y191" s="0" t="n">
        <f aca="false">I191+Q191</f>
        <v>0</v>
      </c>
      <c r="Z191" s="0" t="n">
        <f aca="false">MIN(R191,N('Debt Payoff'!E9))</f>
        <v>0</v>
      </c>
      <c r="AA191" s="0" t="n">
        <f aca="false">MIN(S191,N('Debt Payoff'!E10))</f>
        <v>0</v>
      </c>
      <c r="AB191" s="0" t="n">
        <f aca="false">MIN(T191,N('Debt Payoff'!E11))</f>
        <v>0</v>
      </c>
      <c r="AC191" s="0" t="n">
        <f aca="false">MIN(U191,N('Debt Payoff'!E12))</f>
        <v>0</v>
      </c>
      <c r="AD191" s="0" t="n">
        <f aca="false">MIN(V191,N('Debt Payoff'!E13))</f>
        <v>0</v>
      </c>
      <c r="AE191" s="0" t="n">
        <f aca="false">MIN(W191,N('Debt Payoff'!E14))</f>
        <v>0</v>
      </c>
      <c r="AF191" s="0" t="n">
        <f aca="false">MIN(X191,N('Debt Payoff'!E15))</f>
        <v>0</v>
      </c>
      <c r="AG191" s="0" t="n">
        <f aca="false">MIN(Y191,N('Debt Payoff'!E16))</f>
        <v>0</v>
      </c>
      <c r="AH191" s="0" t="n">
        <f aca="false">R191-Z191</f>
        <v>0</v>
      </c>
      <c r="AI191" s="0" t="n">
        <f aca="false">S191-AA191</f>
        <v>0</v>
      </c>
      <c r="AJ191" s="0" t="n">
        <f aca="false">T191-AB191</f>
        <v>0</v>
      </c>
      <c r="AK191" s="0" t="n">
        <f aca="false">U191-AC191</f>
        <v>0</v>
      </c>
      <c r="AL191" s="0" t="n">
        <f aca="false">V191-AD191</f>
        <v>0</v>
      </c>
      <c r="AM191" s="0" t="n">
        <f aca="false">W191-AE191</f>
        <v>0</v>
      </c>
      <c r="AN191" s="0" t="n">
        <f aca="false">X191-AF191</f>
        <v>0</v>
      </c>
      <c r="AO191" s="0" t="n">
        <f aca="false">Y191-AG191</f>
        <v>0</v>
      </c>
      <c r="AP191" s="0" t="n">
        <f aca="false">MAX(0,'Debt Payoff'!$D$17-SUM(Z191:AG191))</f>
        <v>805</v>
      </c>
      <c r="AQ191" s="0" t="n">
        <f aca="false">MIN(AH191,MAX(0,$AP191-SUMPRODUCT(($AH$1:$AO$1&lt;AH$1)*$AH191:$AO191)))</f>
        <v>0</v>
      </c>
      <c r="AR191" s="0" t="n">
        <f aca="false">MIN(AI191,MAX(0,$AP191-SUMPRODUCT(($AH$1:$AO$1&lt;AI$1)*$AH191:$AO191)))</f>
        <v>0</v>
      </c>
      <c r="AS191" s="0" t="n">
        <f aca="false">MIN(AJ191,MAX(0,$AP191-SUMPRODUCT(($AH$1:$AO$1&lt;AJ$1)*$AH191:$AO191)))</f>
        <v>0</v>
      </c>
      <c r="AT191" s="0" t="n">
        <f aca="false">MIN(AK191,MAX(0,$AP191-SUMPRODUCT(($AH$1:$AO$1&lt;AK$1)*$AH191:$AO191)))</f>
        <v>0</v>
      </c>
      <c r="AU191" s="0" t="n">
        <f aca="false">MIN(AL191,MAX(0,$AP191-SUMPRODUCT(($AH$1:$AO$1&lt;AL$1)*$AH191:$AO191)))</f>
        <v>0</v>
      </c>
      <c r="AV191" s="0" t="n">
        <f aca="false">MIN(AM191,MAX(0,$AP191-SUMPRODUCT(($AH$1:$AO$1&lt;AM$1)*$AH191:$AO191)))</f>
        <v>0</v>
      </c>
      <c r="AW191" s="0" t="n">
        <f aca="false">MIN(AN191,MAX(0,$AP191-SUMPRODUCT(($AH$1:$AO$1&lt;AN$1)*$AH191:$AO191)))</f>
        <v>0</v>
      </c>
      <c r="AX191" s="0" t="n">
        <f aca="false">MIN(AO191,MAX(0,$AP191-SUMPRODUCT(($AH$1:$AO$1&lt;AO$1)*$AH191:$AO191)))</f>
        <v>0</v>
      </c>
      <c r="AY191" s="0" t="n">
        <f aca="false">ROUND(AH191-AQ191,2)</f>
        <v>0</v>
      </c>
      <c r="AZ191" s="0" t="n">
        <f aca="false">ROUND(AI191-AR191,2)</f>
        <v>0</v>
      </c>
      <c r="BA191" s="0" t="n">
        <f aca="false">ROUND(AJ191-AS191,2)</f>
        <v>0</v>
      </c>
      <c r="BB191" s="0" t="n">
        <f aca="false">ROUND(AK191-AT191,2)</f>
        <v>0</v>
      </c>
      <c r="BC191" s="0" t="n">
        <f aca="false">ROUND(AL191-AU191,2)</f>
        <v>0</v>
      </c>
      <c r="BD191" s="0" t="n">
        <f aca="false">ROUND(AM191-AV191,2)</f>
        <v>0</v>
      </c>
      <c r="BE191" s="0" t="n">
        <f aca="false">ROUND(AN191-AW191,2)</f>
        <v>0</v>
      </c>
      <c r="BF191" s="0" t="n">
        <f aca="false">ROUND(AO191-AX191,2)</f>
        <v>0</v>
      </c>
      <c r="BG191" s="0" t="n">
        <f aca="false">SUM(AY191:BF191)</f>
        <v>0</v>
      </c>
    </row>
    <row r="192" customFormat="false" ht="15" hidden="false" customHeight="false" outlineLevel="0" collapsed="false">
      <c r="A192" s="0" t="n">
        <v>190</v>
      </c>
      <c r="B192" s="0" t="n">
        <f aca="false">AY191</f>
        <v>0</v>
      </c>
      <c r="C192" s="0" t="n">
        <f aca="false">AZ191</f>
        <v>0</v>
      </c>
      <c r="D192" s="0" t="n">
        <f aca="false">BA191</f>
        <v>0</v>
      </c>
      <c r="E192" s="0" t="n">
        <f aca="false">BB191</f>
        <v>0</v>
      </c>
      <c r="F192" s="0" t="n">
        <f aca="false">BC191</f>
        <v>0</v>
      </c>
      <c r="G192" s="0" t="n">
        <f aca="false">BD191</f>
        <v>0</v>
      </c>
      <c r="H192" s="0" t="n">
        <f aca="false">BE191</f>
        <v>0</v>
      </c>
      <c r="I192" s="0" t="n">
        <f aca="false">BF191</f>
        <v>0</v>
      </c>
      <c r="J192" s="0" t="n">
        <f aca="false">B192*N('Debt Payoff'!D9)/12</f>
        <v>0</v>
      </c>
      <c r="K192" s="0" t="n">
        <f aca="false">C192*N('Debt Payoff'!D10)/12</f>
        <v>0</v>
      </c>
      <c r="L192" s="0" t="n">
        <f aca="false">D192*N('Debt Payoff'!D11)/12</f>
        <v>0</v>
      </c>
      <c r="M192" s="0" t="n">
        <f aca="false">E192*N('Debt Payoff'!D12)/12</f>
        <v>0</v>
      </c>
      <c r="N192" s="0" t="n">
        <f aca="false">F192*N('Debt Payoff'!D13)/12</f>
        <v>0</v>
      </c>
      <c r="O192" s="0" t="n">
        <f aca="false">G192*N('Debt Payoff'!D14)/12</f>
        <v>0</v>
      </c>
      <c r="P192" s="0" t="n">
        <f aca="false">H192*N('Debt Payoff'!D15)/12</f>
        <v>0</v>
      </c>
      <c r="Q192" s="0" t="n">
        <f aca="false">I192*N('Debt Payoff'!D16)/12</f>
        <v>0</v>
      </c>
      <c r="R192" s="0" t="n">
        <f aca="false">B192+J192</f>
        <v>0</v>
      </c>
      <c r="S192" s="0" t="n">
        <f aca="false">C192+K192</f>
        <v>0</v>
      </c>
      <c r="T192" s="0" t="n">
        <f aca="false">D192+L192</f>
        <v>0</v>
      </c>
      <c r="U192" s="0" t="n">
        <f aca="false">E192+M192</f>
        <v>0</v>
      </c>
      <c r="V192" s="0" t="n">
        <f aca="false">F192+N192</f>
        <v>0</v>
      </c>
      <c r="W192" s="0" t="n">
        <f aca="false">G192+O192</f>
        <v>0</v>
      </c>
      <c r="X192" s="0" t="n">
        <f aca="false">H192+P192</f>
        <v>0</v>
      </c>
      <c r="Y192" s="0" t="n">
        <f aca="false">I192+Q192</f>
        <v>0</v>
      </c>
      <c r="Z192" s="0" t="n">
        <f aca="false">MIN(R192,N('Debt Payoff'!E9))</f>
        <v>0</v>
      </c>
      <c r="AA192" s="0" t="n">
        <f aca="false">MIN(S192,N('Debt Payoff'!E10))</f>
        <v>0</v>
      </c>
      <c r="AB192" s="0" t="n">
        <f aca="false">MIN(T192,N('Debt Payoff'!E11))</f>
        <v>0</v>
      </c>
      <c r="AC192" s="0" t="n">
        <f aca="false">MIN(U192,N('Debt Payoff'!E12))</f>
        <v>0</v>
      </c>
      <c r="AD192" s="0" t="n">
        <f aca="false">MIN(V192,N('Debt Payoff'!E13))</f>
        <v>0</v>
      </c>
      <c r="AE192" s="0" t="n">
        <f aca="false">MIN(W192,N('Debt Payoff'!E14))</f>
        <v>0</v>
      </c>
      <c r="AF192" s="0" t="n">
        <f aca="false">MIN(X192,N('Debt Payoff'!E15))</f>
        <v>0</v>
      </c>
      <c r="AG192" s="0" t="n">
        <f aca="false">MIN(Y192,N('Debt Payoff'!E16))</f>
        <v>0</v>
      </c>
      <c r="AH192" s="0" t="n">
        <f aca="false">R192-Z192</f>
        <v>0</v>
      </c>
      <c r="AI192" s="0" t="n">
        <f aca="false">S192-AA192</f>
        <v>0</v>
      </c>
      <c r="AJ192" s="0" t="n">
        <f aca="false">T192-AB192</f>
        <v>0</v>
      </c>
      <c r="AK192" s="0" t="n">
        <f aca="false">U192-AC192</f>
        <v>0</v>
      </c>
      <c r="AL192" s="0" t="n">
        <f aca="false">V192-AD192</f>
        <v>0</v>
      </c>
      <c r="AM192" s="0" t="n">
        <f aca="false">W192-AE192</f>
        <v>0</v>
      </c>
      <c r="AN192" s="0" t="n">
        <f aca="false">X192-AF192</f>
        <v>0</v>
      </c>
      <c r="AO192" s="0" t="n">
        <f aca="false">Y192-AG192</f>
        <v>0</v>
      </c>
      <c r="AP192" s="0" t="n">
        <f aca="false">MAX(0,'Debt Payoff'!$D$17-SUM(Z192:AG192))</f>
        <v>805</v>
      </c>
      <c r="AQ192" s="0" t="n">
        <f aca="false">MIN(AH192,MAX(0,$AP192-SUMPRODUCT(($AH$1:$AO$1&lt;AH$1)*$AH192:$AO192)))</f>
        <v>0</v>
      </c>
      <c r="AR192" s="0" t="n">
        <f aca="false">MIN(AI192,MAX(0,$AP192-SUMPRODUCT(($AH$1:$AO$1&lt;AI$1)*$AH192:$AO192)))</f>
        <v>0</v>
      </c>
      <c r="AS192" s="0" t="n">
        <f aca="false">MIN(AJ192,MAX(0,$AP192-SUMPRODUCT(($AH$1:$AO$1&lt;AJ$1)*$AH192:$AO192)))</f>
        <v>0</v>
      </c>
      <c r="AT192" s="0" t="n">
        <f aca="false">MIN(AK192,MAX(0,$AP192-SUMPRODUCT(($AH$1:$AO$1&lt;AK$1)*$AH192:$AO192)))</f>
        <v>0</v>
      </c>
      <c r="AU192" s="0" t="n">
        <f aca="false">MIN(AL192,MAX(0,$AP192-SUMPRODUCT(($AH$1:$AO$1&lt;AL$1)*$AH192:$AO192)))</f>
        <v>0</v>
      </c>
      <c r="AV192" s="0" t="n">
        <f aca="false">MIN(AM192,MAX(0,$AP192-SUMPRODUCT(($AH$1:$AO$1&lt;AM$1)*$AH192:$AO192)))</f>
        <v>0</v>
      </c>
      <c r="AW192" s="0" t="n">
        <f aca="false">MIN(AN192,MAX(0,$AP192-SUMPRODUCT(($AH$1:$AO$1&lt;AN$1)*$AH192:$AO192)))</f>
        <v>0</v>
      </c>
      <c r="AX192" s="0" t="n">
        <f aca="false">MIN(AO192,MAX(0,$AP192-SUMPRODUCT(($AH$1:$AO$1&lt;AO$1)*$AH192:$AO192)))</f>
        <v>0</v>
      </c>
      <c r="AY192" s="0" t="n">
        <f aca="false">ROUND(AH192-AQ192,2)</f>
        <v>0</v>
      </c>
      <c r="AZ192" s="0" t="n">
        <f aca="false">ROUND(AI192-AR192,2)</f>
        <v>0</v>
      </c>
      <c r="BA192" s="0" t="n">
        <f aca="false">ROUND(AJ192-AS192,2)</f>
        <v>0</v>
      </c>
      <c r="BB192" s="0" t="n">
        <f aca="false">ROUND(AK192-AT192,2)</f>
        <v>0</v>
      </c>
      <c r="BC192" s="0" t="n">
        <f aca="false">ROUND(AL192-AU192,2)</f>
        <v>0</v>
      </c>
      <c r="BD192" s="0" t="n">
        <f aca="false">ROUND(AM192-AV192,2)</f>
        <v>0</v>
      </c>
      <c r="BE192" s="0" t="n">
        <f aca="false">ROUND(AN192-AW192,2)</f>
        <v>0</v>
      </c>
      <c r="BF192" s="0" t="n">
        <f aca="false">ROUND(AO192-AX192,2)</f>
        <v>0</v>
      </c>
      <c r="BG192" s="0" t="n">
        <f aca="false">SUM(AY192:BF192)</f>
        <v>0</v>
      </c>
    </row>
    <row r="193" customFormat="false" ht="15" hidden="false" customHeight="false" outlineLevel="0" collapsed="false">
      <c r="A193" s="0" t="n">
        <v>191</v>
      </c>
      <c r="B193" s="0" t="n">
        <f aca="false">AY192</f>
        <v>0</v>
      </c>
      <c r="C193" s="0" t="n">
        <f aca="false">AZ192</f>
        <v>0</v>
      </c>
      <c r="D193" s="0" t="n">
        <f aca="false">BA192</f>
        <v>0</v>
      </c>
      <c r="E193" s="0" t="n">
        <f aca="false">BB192</f>
        <v>0</v>
      </c>
      <c r="F193" s="0" t="n">
        <f aca="false">BC192</f>
        <v>0</v>
      </c>
      <c r="G193" s="0" t="n">
        <f aca="false">BD192</f>
        <v>0</v>
      </c>
      <c r="H193" s="0" t="n">
        <f aca="false">BE192</f>
        <v>0</v>
      </c>
      <c r="I193" s="0" t="n">
        <f aca="false">BF192</f>
        <v>0</v>
      </c>
      <c r="J193" s="0" t="n">
        <f aca="false">B193*N('Debt Payoff'!D9)/12</f>
        <v>0</v>
      </c>
      <c r="K193" s="0" t="n">
        <f aca="false">C193*N('Debt Payoff'!D10)/12</f>
        <v>0</v>
      </c>
      <c r="L193" s="0" t="n">
        <f aca="false">D193*N('Debt Payoff'!D11)/12</f>
        <v>0</v>
      </c>
      <c r="M193" s="0" t="n">
        <f aca="false">E193*N('Debt Payoff'!D12)/12</f>
        <v>0</v>
      </c>
      <c r="N193" s="0" t="n">
        <f aca="false">F193*N('Debt Payoff'!D13)/12</f>
        <v>0</v>
      </c>
      <c r="O193" s="0" t="n">
        <f aca="false">G193*N('Debt Payoff'!D14)/12</f>
        <v>0</v>
      </c>
      <c r="P193" s="0" t="n">
        <f aca="false">H193*N('Debt Payoff'!D15)/12</f>
        <v>0</v>
      </c>
      <c r="Q193" s="0" t="n">
        <f aca="false">I193*N('Debt Payoff'!D16)/12</f>
        <v>0</v>
      </c>
      <c r="R193" s="0" t="n">
        <f aca="false">B193+J193</f>
        <v>0</v>
      </c>
      <c r="S193" s="0" t="n">
        <f aca="false">C193+K193</f>
        <v>0</v>
      </c>
      <c r="T193" s="0" t="n">
        <f aca="false">D193+L193</f>
        <v>0</v>
      </c>
      <c r="U193" s="0" t="n">
        <f aca="false">E193+M193</f>
        <v>0</v>
      </c>
      <c r="V193" s="0" t="n">
        <f aca="false">F193+N193</f>
        <v>0</v>
      </c>
      <c r="W193" s="0" t="n">
        <f aca="false">G193+O193</f>
        <v>0</v>
      </c>
      <c r="X193" s="0" t="n">
        <f aca="false">H193+P193</f>
        <v>0</v>
      </c>
      <c r="Y193" s="0" t="n">
        <f aca="false">I193+Q193</f>
        <v>0</v>
      </c>
      <c r="Z193" s="0" t="n">
        <f aca="false">MIN(R193,N('Debt Payoff'!E9))</f>
        <v>0</v>
      </c>
      <c r="AA193" s="0" t="n">
        <f aca="false">MIN(S193,N('Debt Payoff'!E10))</f>
        <v>0</v>
      </c>
      <c r="AB193" s="0" t="n">
        <f aca="false">MIN(T193,N('Debt Payoff'!E11))</f>
        <v>0</v>
      </c>
      <c r="AC193" s="0" t="n">
        <f aca="false">MIN(U193,N('Debt Payoff'!E12))</f>
        <v>0</v>
      </c>
      <c r="AD193" s="0" t="n">
        <f aca="false">MIN(V193,N('Debt Payoff'!E13))</f>
        <v>0</v>
      </c>
      <c r="AE193" s="0" t="n">
        <f aca="false">MIN(W193,N('Debt Payoff'!E14))</f>
        <v>0</v>
      </c>
      <c r="AF193" s="0" t="n">
        <f aca="false">MIN(X193,N('Debt Payoff'!E15))</f>
        <v>0</v>
      </c>
      <c r="AG193" s="0" t="n">
        <f aca="false">MIN(Y193,N('Debt Payoff'!E16))</f>
        <v>0</v>
      </c>
      <c r="AH193" s="0" t="n">
        <f aca="false">R193-Z193</f>
        <v>0</v>
      </c>
      <c r="AI193" s="0" t="n">
        <f aca="false">S193-AA193</f>
        <v>0</v>
      </c>
      <c r="AJ193" s="0" t="n">
        <f aca="false">T193-AB193</f>
        <v>0</v>
      </c>
      <c r="AK193" s="0" t="n">
        <f aca="false">U193-AC193</f>
        <v>0</v>
      </c>
      <c r="AL193" s="0" t="n">
        <f aca="false">V193-AD193</f>
        <v>0</v>
      </c>
      <c r="AM193" s="0" t="n">
        <f aca="false">W193-AE193</f>
        <v>0</v>
      </c>
      <c r="AN193" s="0" t="n">
        <f aca="false">X193-AF193</f>
        <v>0</v>
      </c>
      <c r="AO193" s="0" t="n">
        <f aca="false">Y193-AG193</f>
        <v>0</v>
      </c>
      <c r="AP193" s="0" t="n">
        <f aca="false">MAX(0,'Debt Payoff'!$D$17-SUM(Z193:AG193))</f>
        <v>805</v>
      </c>
      <c r="AQ193" s="0" t="n">
        <f aca="false">MIN(AH193,MAX(0,$AP193-SUMPRODUCT(($AH$1:$AO$1&lt;AH$1)*$AH193:$AO193)))</f>
        <v>0</v>
      </c>
      <c r="AR193" s="0" t="n">
        <f aca="false">MIN(AI193,MAX(0,$AP193-SUMPRODUCT(($AH$1:$AO$1&lt;AI$1)*$AH193:$AO193)))</f>
        <v>0</v>
      </c>
      <c r="AS193" s="0" t="n">
        <f aca="false">MIN(AJ193,MAX(0,$AP193-SUMPRODUCT(($AH$1:$AO$1&lt;AJ$1)*$AH193:$AO193)))</f>
        <v>0</v>
      </c>
      <c r="AT193" s="0" t="n">
        <f aca="false">MIN(AK193,MAX(0,$AP193-SUMPRODUCT(($AH$1:$AO$1&lt;AK$1)*$AH193:$AO193)))</f>
        <v>0</v>
      </c>
      <c r="AU193" s="0" t="n">
        <f aca="false">MIN(AL193,MAX(0,$AP193-SUMPRODUCT(($AH$1:$AO$1&lt;AL$1)*$AH193:$AO193)))</f>
        <v>0</v>
      </c>
      <c r="AV193" s="0" t="n">
        <f aca="false">MIN(AM193,MAX(0,$AP193-SUMPRODUCT(($AH$1:$AO$1&lt;AM$1)*$AH193:$AO193)))</f>
        <v>0</v>
      </c>
      <c r="AW193" s="0" t="n">
        <f aca="false">MIN(AN193,MAX(0,$AP193-SUMPRODUCT(($AH$1:$AO$1&lt;AN$1)*$AH193:$AO193)))</f>
        <v>0</v>
      </c>
      <c r="AX193" s="0" t="n">
        <f aca="false">MIN(AO193,MAX(0,$AP193-SUMPRODUCT(($AH$1:$AO$1&lt;AO$1)*$AH193:$AO193)))</f>
        <v>0</v>
      </c>
      <c r="AY193" s="0" t="n">
        <f aca="false">ROUND(AH193-AQ193,2)</f>
        <v>0</v>
      </c>
      <c r="AZ193" s="0" t="n">
        <f aca="false">ROUND(AI193-AR193,2)</f>
        <v>0</v>
      </c>
      <c r="BA193" s="0" t="n">
        <f aca="false">ROUND(AJ193-AS193,2)</f>
        <v>0</v>
      </c>
      <c r="BB193" s="0" t="n">
        <f aca="false">ROUND(AK193-AT193,2)</f>
        <v>0</v>
      </c>
      <c r="BC193" s="0" t="n">
        <f aca="false">ROUND(AL193-AU193,2)</f>
        <v>0</v>
      </c>
      <c r="BD193" s="0" t="n">
        <f aca="false">ROUND(AM193-AV193,2)</f>
        <v>0</v>
      </c>
      <c r="BE193" s="0" t="n">
        <f aca="false">ROUND(AN193-AW193,2)</f>
        <v>0</v>
      </c>
      <c r="BF193" s="0" t="n">
        <f aca="false">ROUND(AO193-AX193,2)</f>
        <v>0</v>
      </c>
      <c r="BG193" s="0" t="n">
        <f aca="false">SUM(AY193:BF193)</f>
        <v>0</v>
      </c>
    </row>
    <row r="194" customFormat="false" ht="15" hidden="false" customHeight="false" outlineLevel="0" collapsed="false">
      <c r="A194" s="0" t="n">
        <v>192</v>
      </c>
      <c r="B194" s="0" t="n">
        <f aca="false">AY193</f>
        <v>0</v>
      </c>
      <c r="C194" s="0" t="n">
        <f aca="false">AZ193</f>
        <v>0</v>
      </c>
      <c r="D194" s="0" t="n">
        <f aca="false">BA193</f>
        <v>0</v>
      </c>
      <c r="E194" s="0" t="n">
        <f aca="false">BB193</f>
        <v>0</v>
      </c>
      <c r="F194" s="0" t="n">
        <f aca="false">BC193</f>
        <v>0</v>
      </c>
      <c r="G194" s="0" t="n">
        <f aca="false">BD193</f>
        <v>0</v>
      </c>
      <c r="H194" s="0" t="n">
        <f aca="false">BE193</f>
        <v>0</v>
      </c>
      <c r="I194" s="0" t="n">
        <f aca="false">BF193</f>
        <v>0</v>
      </c>
      <c r="J194" s="0" t="n">
        <f aca="false">B194*N('Debt Payoff'!D9)/12</f>
        <v>0</v>
      </c>
      <c r="K194" s="0" t="n">
        <f aca="false">C194*N('Debt Payoff'!D10)/12</f>
        <v>0</v>
      </c>
      <c r="L194" s="0" t="n">
        <f aca="false">D194*N('Debt Payoff'!D11)/12</f>
        <v>0</v>
      </c>
      <c r="M194" s="0" t="n">
        <f aca="false">E194*N('Debt Payoff'!D12)/12</f>
        <v>0</v>
      </c>
      <c r="N194" s="0" t="n">
        <f aca="false">F194*N('Debt Payoff'!D13)/12</f>
        <v>0</v>
      </c>
      <c r="O194" s="0" t="n">
        <f aca="false">G194*N('Debt Payoff'!D14)/12</f>
        <v>0</v>
      </c>
      <c r="P194" s="0" t="n">
        <f aca="false">H194*N('Debt Payoff'!D15)/12</f>
        <v>0</v>
      </c>
      <c r="Q194" s="0" t="n">
        <f aca="false">I194*N('Debt Payoff'!D16)/12</f>
        <v>0</v>
      </c>
      <c r="R194" s="0" t="n">
        <f aca="false">B194+J194</f>
        <v>0</v>
      </c>
      <c r="S194" s="0" t="n">
        <f aca="false">C194+K194</f>
        <v>0</v>
      </c>
      <c r="T194" s="0" t="n">
        <f aca="false">D194+L194</f>
        <v>0</v>
      </c>
      <c r="U194" s="0" t="n">
        <f aca="false">E194+M194</f>
        <v>0</v>
      </c>
      <c r="V194" s="0" t="n">
        <f aca="false">F194+N194</f>
        <v>0</v>
      </c>
      <c r="W194" s="0" t="n">
        <f aca="false">G194+O194</f>
        <v>0</v>
      </c>
      <c r="X194" s="0" t="n">
        <f aca="false">H194+P194</f>
        <v>0</v>
      </c>
      <c r="Y194" s="0" t="n">
        <f aca="false">I194+Q194</f>
        <v>0</v>
      </c>
      <c r="Z194" s="0" t="n">
        <f aca="false">MIN(R194,N('Debt Payoff'!E9))</f>
        <v>0</v>
      </c>
      <c r="AA194" s="0" t="n">
        <f aca="false">MIN(S194,N('Debt Payoff'!E10))</f>
        <v>0</v>
      </c>
      <c r="AB194" s="0" t="n">
        <f aca="false">MIN(T194,N('Debt Payoff'!E11))</f>
        <v>0</v>
      </c>
      <c r="AC194" s="0" t="n">
        <f aca="false">MIN(U194,N('Debt Payoff'!E12))</f>
        <v>0</v>
      </c>
      <c r="AD194" s="0" t="n">
        <f aca="false">MIN(V194,N('Debt Payoff'!E13))</f>
        <v>0</v>
      </c>
      <c r="AE194" s="0" t="n">
        <f aca="false">MIN(W194,N('Debt Payoff'!E14))</f>
        <v>0</v>
      </c>
      <c r="AF194" s="0" t="n">
        <f aca="false">MIN(X194,N('Debt Payoff'!E15))</f>
        <v>0</v>
      </c>
      <c r="AG194" s="0" t="n">
        <f aca="false">MIN(Y194,N('Debt Payoff'!E16))</f>
        <v>0</v>
      </c>
      <c r="AH194" s="0" t="n">
        <f aca="false">R194-Z194</f>
        <v>0</v>
      </c>
      <c r="AI194" s="0" t="n">
        <f aca="false">S194-AA194</f>
        <v>0</v>
      </c>
      <c r="AJ194" s="0" t="n">
        <f aca="false">T194-AB194</f>
        <v>0</v>
      </c>
      <c r="AK194" s="0" t="n">
        <f aca="false">U194-AC194</f>
        <v>0</v>
      </c>
      <c r="AL194" s="0" t="n">
        <f aca="false">V194-AD194</f>
        <v>0</v>
      </c>
      <c r="AM194" s="0" t="n">
        <f aca="false">W194-AE194</f>
        <v>0</v>
      </c>
      <c r="AN194" s="0" t="n">
        <f aca="false">X194-AF194</f>
        <v>0</v>
      </c>
      <c r="AO194" s="0" t="n">
        <f aca="false">Y194-AG194</f>
        <v>0</v>
      </c>
      <c r="AP194" s="0" t="n">
        <f aca="false">MAX(0,'Debt Payoff'!$D$17-SUM(Z194:AG194))</f>
        <v>805</v>
      </c>
      <c r="AQ194" s="0" t="n">
        <f aca="false">MIN(AH194,MAX(0,$AP194-SUMPRODUCT(($AH$1:$AO$1&lt;AH$1)*$AH194:$AO194)))</f>
        <v>0</v>
      </c>
      <c r="AR194" s="0" t="n">
        <f aca="false">MIN(AI194,MAX(0,$AP194-SUMPRODUCT(($AH$1:$AO$1&lt;AI$1)*$AH194:$AO194)))</f>
        <v>0</v>
      </c>
      <c r="AS194" s="0" t="n">
        <f aca="false">MIN(AJ194,MAX(0,$AP194-SUMPRODUCT(($AH$1:$AO$1&lt;AJ$1)*$AH194:$AO194)))</f>
        <v>0</v>
      </c>
      <c r="AT194" s="0" t="n">
        <f aca="false">MIN(AK194,MAX(0,$AP194-SUMPRODUCT(($AH$1:$AO$1&lt;AK$1)*$AH194:$AO194)))</f>
        <v>0</v>
      </c>
      <c r="AU194" s="0" t="n">
        <f aca="false">MIN(AL194,MAX(0,$AP194-SUMPRODUCT(($AH$1:$AO$1&lt;AL$1)*$AH194:$AO194)))</f>
        <v>0</v>
      </c>
      <c r="AV194" s="0" t="n">
        <f aca="false">MIN(AM194,MAX(0,$AP194-SUMPRODUCT(($AH$1:$AO$1&lt;AM$1)*$AH194:$AO194)))</f>
        <v>0</v>
      </c>
      <c r="AW194" s="0" t="n">
        <f aca="false">MIN(AN194,MAX(0,$AP194-SUMPRODUCT(($AH$1:$AO$1&lt;AN$1)*$AH194:$AO194)))</f>
        <v>0</v>
      </c>
      <c r="AX194" s="0" t="n">
        <f aca="false">MIN(AO194,MAX(0,$AP194-SUMPRODUCT(($AH$1:$AO$1&lt;AO$1)*$AH194:$AO194)))</f>
        <v>0</v>
      </c>
      <c r="AY194" s="0" t="n">
        <f aca="false">ROUND(AH194-AQ194,2)</f>
        <v>0</v>
      </c>
      <c r="AZ194" s="0" t="n">
        <f aca="false">ROUND(AI194-AR194,2)</f>
        <v>0</v>
      </c>
      <c r="BA194" s="0" t="n">
        <f aca="false">ROUND(AJ194-AS194,2)</f>
        <v>0</v>
      </c>
      <c r="BB194" s="0" t="n">
        <f aca="false">ROUND(AK194-AT194,2)</f>
        <v>0</v>
      </c>
      <c r="BC194" s="0" t="n">
        <f aca="false">ROUND(AL194-AU194,2)</f>
        <v>0</v>
      </c>
      <c r="BD194" s="0" t="n">
        <f aca="false">ROUND(AM194-AV194,2)</f>
        <v>0</v>
      </c>
      <c r="BE194" s="0" t="n">
        <f aca="false">ROUND(AN194-AW194,2)</f>
        <v>0</v>
      </c>
      <c r="BF194" s="0" t="n">
        <f aca="false">ROUND(AO194-AX194,2)</f>
        <v>0</v>
      </c>
      <c r="BG194" s="0" t="n">
        <f aca="false">SUM(AY194:BF194)</f>
        <v>0</v>
      </c>
    </row>
    <row r="195" customFormat="false" ht="15" hidden="false" customHeight="false" outlineLevel="0" collapsed="false">
      <c r="A195" s="0" t="n">
        <v>193</v>
      </c>
      <c r="B195" s="0" t="n">
        <f aca="false">AY194</f>
        <v>0</v>
      </c>
      <c r="C195" s="0" t="n">
        <f aca="false">AZ194</f>
        <v>0</v>
      </c>
      <c r="D195" s="0" t="n">
        <f aca="false">BA194</f>
        <v>0</v>
      </c>
      <c r="E195" s="0" t="n">
        <f aca="false">BB194</f>
        <v>0</v>
      </c>
      <c r="F195" s="0" t="n">
        <f aca="false">BC194</f>
        <v>0</v>
      </c>
      <c r="G195" s="0" t="n">
        <f aca="false">BD194</f>
        <v>0</v>
      </c>
      <c r="H195" s="0" t="n">
        <f aca="false">BE194</f>
        <v>0</v>
      </c>
      <c r="I195" s="0" t="n">
        <f aca="false">BF194</f>
        <v>0</v>
      </c>
      <c r="J195" s="0" t="n">
        <f aca="false">B195*N('Debt Payoff'!D9)/12</f>
        <v>0</v>
      </c>
      <c r="K195" s="0" t="n">
        <f aca="false">C195*N('Debt Payoff'!D10)/12</f>
        <v>0</v>
      </c>
      <c r="L195" s="0" t="n">
        <f aca="false">D195*N('Debt Payoff'!D11)/12</f>
        <v>0</v>
      </c>
      <c r="M195" s="0" t="n">
        <f aca="false">E195*N('Debt Payoff'!D12)/12</f>
        <v>0</v>
      </c>
      <c r="N195" s="0" t="n">
        <f aca="false">F195*N('Debt Payoff'!D13)/12</f>
        <v>0</v>
      </c>
      <c r="O195" s="0" t="n">
        <f aca="false">G195*N('Debt Payoff'!D14)/12</f>
        <v>0</v>
      </c>
      <c r="P195" s="0" t="n">
        <f aca="false">H195*N('Debt Payoff'!D15)/12</f>
        <v>0</v>
      </c>
      <c r="Q195" s="0" t="n">
        <f aca="false">I195*N('Debt Payoff'!D16)/12</f>
        <v>0</v>
      </c>
      <c r="R195" s="0" t="n">
        <f aca="false">B195+J195</f>
        <v>0</v>
      </c>
      <c r="S195" s="0" t="n">
        <f aca="false">C195+K195</f>
        <v>0</v>
      </c>
      <c r="T195" s="0" t="n">
        <f aca="false">D195+L195</f>
        <v>0</v>
      </c>
      <c r="U195" s="0" t="n">
        <f aca="false">E195+M195</f>
        <v>0</v>
      </c>
      <c r="V195" s="0" t="n">
        <f aca="false">F195+N195</f>
        <v>0</v>
      </c>
      <c r="W195" s="0" t="n">
        <f aca="false">G195+O195</f>
        <v>0</v>
      </c>
      <c r="X195" s="0" t="n">
        <f aca="false">H195+P195</f>
        <v>0</v>
      </c>
      <c r="Y195" s="0" t="n">
        <f aca="false">I195+Q195</f>
        <v>0</v>
      </c>
      <c r="Z195" s="0" t="n">
        <f aca="false">MIN(R195,N('Debt Payoff'!E9))</f>
        <v>0</v>
      </c>
      <c r="AA195" s="0" t="n">
        <f aca="false">MIN(S195,N('Debt Payoff'!E10))</f>
        <v>0</v>
      </c>
      <c r="AB195" s="0" t="n">
        <f aca="false">MIN(T195,N('Debt Payoff'!E11))</f>
        <v>0</v>
      </c>
      <c r="AC195" s="0" t="n">
        <f aca="false">MIN(U195,N('Debt Payoff'!E12))</f>
        <v>0</v>
      </c>
      <c r="AD195" s="0" t="n">
        <f aca="false">MIN(V195,N('Debt Payoff'!E13))</f>
        <v>0</v>
      </c>
      <c r="AE195" s="0" t="n">
        <f aca="false">MIN(W195,N('Debt Payoff'!E14))</f>
        <v>0</v>
      </c>
      <c r="AF195" s="0" t="n">
        <f aca="false">MIN(X195,N('Debt Payoff'!E15))</f>
        <v>0</v>
      </c>
      <c r="AG195" s="0" t="n">
        <f aca="false">MIN(Y195,N('Debt Payoff'!E16))</f>
        <v>0</v>
      </c>
      <c r="AH195" s="0" t="n">
        <f aca="false">R195-Z195</f>
        <v>0</v>
      </c>
      <c r="AI195" s="0" t="n">
        <f aca="false">S195-AA195</f>
        <v>0</v>
      </c>
      <c r="AJ195" s="0" t="n">
        <f aca="false">T195-AB195</f>
        <v>0</v>
      </c>
      <c r="AK195" s="0" t="n">
        <f aca="false">U195-AC195</f>
        <v>0</v>
      </c>
      <c r="AL195" s="0" t="n">
        <f aca="false">V195-AD195</f>
        <v>0</v>
      </c>
      <c r="AM195" s="0" t="n">
        <f aca="false">W195-AE195</f>
        <v>0</v>
      </c>
      <c r="AN195" s="0" t="n">
        <f aca="false">X195-AF195</f>
        <v>0</v>
      </c>
      <c r="AO195" s="0" t="n">
        <f aca="false">Y195-AG195</f>
        <v>0</v>
      </c>
      <c r="AP195" s="0" t="n">
        <f aca="false">MAX(0,'Debt Payoff'!$D$17-SUM(Z195:AG195))</f>
        <v>805</v>
      </c>
      <c r="AQ195" s="0" t="n">
        <f aca="false">MIN(AH195,MAX(0,$AP195-SUMPRODUCT(($AH$1:$AO$1&lt;AH$1)*$AH195:$AO195)))</f>
        <v>0</v>
      </c>
      <c r="AR195" s="0" t="n">
        <f aca="false">MIN(AI195,MAX(0,$AP195-SUMPRODUCT(($AH$1:$AO$1&lt;AI$1)*$AH195:$AO195)))</f>
        <v>0</v>
      </c>
      <c r="AS195" s="0" t="n">
        <f aca="false">MIN(AJ195,MAX(0,$AP195-SUMPRODUCT(($AH$1:$AO$1&lt;AJ$1)*$AH195:$AO195)))</f>
        <v>0</v>
      </c>
      <c r="AT195" s="0" t="n">
        <f aca="false">MIN(AK195,MAX(0,$AP195-SUMPRODUCT(($AH$1:$AO$1&lt;AK$1)*$AH195:$AO195)))</f>
        <v>0</v>
      </c>
      <c r="AU195" s="0" t="n">
        <f aca="false">MIN(AL195,MAX(0,$AP195-SUMPRODUCT(($AH$1:$AO$1&lt;AL$1)*$AH195:$AO195)))</f>
        <v>0</v>
      </c>
      <c r="AV195" s="0" t="n">
        <f aca="false">MIN(AM195,MAX(0,$AP195-SUMPRODUCT(($AH$1:$AO$1&lt;AM$1)*$AH195:$AO195)))</f>
        <v>0</v>
      </c>
      <c r="AW195" s="0" t="n">
        <f aca="false">MIN(AN195,MAX(0,$AP195-SUMPRODUCT(($AH$1:$AO$1&lt;AN$1)*$AH195:$AO195)))</f>
        <v>0</v>
      </c>
      <c r="AX195" s="0" t="n">
        <f aca="false">MIN(AO195,MAX(0,$AP195-SUMPRODUCT(($AH$1:$AO$1&lt;AO$1)*$AH195:$AO195)))</f>
        <v>0</v>
      </c>
      <c r="AY195" s="0" t="n">
        <f aca="false">ROUND(AH195-AQ195,2)</f>
        <v>0</v>
      </c>
      <c r="AZ195" s="0" t="n">
        <f aca="false">ROUND(AI195-AR195,2)</f>
        <v>0</v>
      </c>
      <c r="BA195" s="0" t="n">
        <f aca="false">ROUND(AJ195-AS195,2)</f>
        <v>0</v>
      </c>
      <c r="BB195" s="0" t="n">
        <f aca="false">ROUND(AK195-AT195,2)</f>
        <v>0</v>
      </c>
      <c r="BC195" s="0" t="n">
        <f aca="false">ROUND(AL195-AU195,2)</f>
        <v>0</v>
      </c>
      <c r="BD195" s="0" t="n">
        <f aca="false">ROUND(AM195-AV195,2)</f>
        <v>0</v>
      </c>
      <c r="BE195" s="0" t="n">
        <f aca="false">ROUND(AN195-AW195,2)</f>
        <v>0</v>
      </c>
      <c r="BF195" s="0" t="n">
        <f aca="false">ROUND(AO195-AX195,2)</f>
        <v>0</v>
      </c>
      <c r="BG195" s="0" t="n">
        <f aca="false">SUM(AY195:BF195)</f>
        <v>0</v>
      </c>
    </row>
    <row r="196" customFormat="false" ht="15" hidden="false" customHeight="false" outlineLevel="0" collapsed="false">
      <c r="A196" s="0" t="n">
        <v>194</v>
      </c>
      <c r="B196" s="0" t="n">
        <f aca="false">AY195</f>
        <v>0</v>
      </c>
      <c r="C196" s="0" t="n">
        <f aca="false">AZ195</f>
        <v>0</v>
      </c>
      <c r="D196" s="0" t="n">
        <f aca="false">BA195</f>
        <v>0</v>
      </c>
      <c r="E196" s="0" t="n">
        <f aca="false">BB195</f>
        <v>0</v>
      </c>
      <c r="F196" s="0" t="n">
        <f aca="false">BC195</f>
        <v>0</v>
      </c>
      <c r="G196" s="0" t="n">
        <f aca="false">BD195</f>
        <v>0</v>
      </c>
      <c r="H196" s="0" t="n">
        <f aca="false">BE195</f>
        <v>0</v>
      </c>
      <c r="I196" s="0" t="n">
        <f aca="false">BF195</f>
        <v>0</v>
      </c>
      <c r="J196" s="0" t="n">
        <f aca="false">B196*N('Debt Payoff'!D9)/12</f>
        <v>0</v>
      </c>
      <c r="K196" s="0" t="n">
        <f aca="false">C196*N('Debt Payoff'!D10)/12</f>
        <v>0</v>
      </c>
      <c r="L196" s="0" t="n">
        <f aca="false">D196*N('Debt Payoff'!D11)/12</f>
        <v>0</v>
      </c>
      <c r="M196" s="0" t="n">
        <f aca="false">E196*N('Debt Payoff'!D12)/12</f>
        <v>0</v>
      </c>
      <c r="N196" s="0" t="n">
        <f aca="false">F196*N('Debt Payoff'!D13)/12</f>
        <v>0</v>
      </c>
      <c r="O196" s="0" t="n">
        <f aca="false">G196*N('Debt Payoff'!D14)/12</f>
        <v>0</v>
      </c>
      <c r="P196" s="0" t="n">
        <f aca="false">H196*N('Debt Payoff'!D15)/12</f>
        <v>0</v>
      </c>
      <c r="Q196" s="0" t="n">
        <f aca="false">I196*N('Debt Payoff'!D16)/12</f>
        <v>0</v>
      </c>
      <c r="R196" s="0" t="n">
        <f aca="false">B196+J196</f>
        <v>0</v>
      </c>
      <c r="S196" s="0" t="n">
        <f aca="false">C196+K196</f>
        <v>0</v>
      </c>
      <c r="T196" s="0" t="n">
        <f aca="false">D196+L196</f>
        <v>0</v>
      </c>
      <c r="U196" s="0" t="n">
        <f aca="false">E196+M196</f>
        <v>0</v>
      </c>
      <c r="V196" s="0" t="n">
        <f aca="false">F196+N196</f>
        <v>0</v>
      </c>
      <c r="W196" s="0" t="n">
        <f aca="false">G196+O196</f>
        <v>0</v>
      </c>
      <c r="X196" s="0" t="n">
        <f aca="false">H196+P196</f>
        <v>0</v>
      </c>
      <c r="Y196" s="0" t="n">
        <f aca="false">I196+Q196</f>
        <v>0</v>
      </c>
      <c r="Z196" s="0" t="n">
        <f aca="false">MIN(R196,N('Debt Payoff'!E9))</f>
        <v>0</v>
      </c>
      <c r="AA196" s="0" t="n">
        <f aca="false">MIN(S196,N('Debt Payoff'!E10))</f>
        <v>0</v>
      </c>
      <c r="AB196" s="0" t="n">
        <f aca="false">MIN(T196,N('Debt Payoff'!E11))</f>
        <v>0</v>
      </c>
      <c r="AC196" s="0" t="n">
        <f aca="false">MIN(U196,N('Debt Payoff'!E12))</f>
        <v>0</v>
      </c>
      <c r="AD196" s="0" t="n">
        <f aca="false">MIN(V196,N('Debt Payoff'!E13))</f>
        <v>0</v>
      </c>
      <c r="AE196" s="0" t="n">
        <f aca="false">MIN(W196,N('Debt Payoff'!E14))</f>
        <v>0</v>
      </c>
      <c r="AF196" s="0" t="n">
        <f aca="false">MIN(X196,N('Debt Payoff'!E15))</f>
        <v>0</v>
      </c>
      <c r="AG196" s="0" t="n">
        <f aca="false">MIN(Y196,N('Debt Payoff'!E16))</f>
        <v>0</v>
      </c>
      <c r="AH196" s="0" t="n">
        <f aca="false">R196-Z196</f>
        <v>0</v>
      </c>
      <c r="AI196" s="0" t="n">
        <f aca="false">S196-AA196</f>
        <v>0</v>
      </c>
      <c r="AJ196" s="0" t="n">
        <f aca="false">T196-AB196</f>
        <v>0</v>
      </c>
      <c r="AK196" s="0" t="n">
        <f aca="false">U196-AC196</f>
        <v>0</v>
      </c>
      <c r="AL196" s="0" t="n">
        <f aca="false">V196-AD196</f>
        <v>0</v>
      </c>
      <c r="AM196" s="0" t="n">
        <f aca="false">W196-AE196</f>
        <v>0</v>
      </c>
      <c r="AN196" s="0" t="n">
        <f aca="false">X196-AF196</f>
        <v>0</v>
      </c>
      <c r="AO196" s="0" t="n">
        <f aca="false">Y196-AG196</f>
        <v>0</v>
      </c>
      <c r="AP196" s="0" t="n">
        <f aca="false">MAX(0,'Debt Payoff'!$D$17-SUM(Z196:AG196))</f>
        <v>805</v>
      </c>
      <c r="AQ196" s="0" t="n">
        <f aca="false">MIN(AH196,MAX(0,$AP196-SUMPRODUCT(($AH$1:$AO$1&lt;AH$1)*$AH196:$AO196)))</f>
        <v>0</v>
      </c>
      <c r="AR196" s="0" t="n">
        <f aca="false">MIN(AI196,MAX(0,$AP196-SUMPRODUCT(($AH$1:$AO$1&lt;AI$1)*$AH196:$AO196)))</f>
        <v>0</v>
      </c>
      <c r="AS196" s="0" t="n">
        <f aca="false">MIN(AJ196,MAX(0,$AP196-SUMPRODUCT(($AH$1:$AO$1&lt;AJ$1)*$AH196:$AO196)))</f>
        <v>0</v>
      </c>
      <c r="AT196" s="0" t="n">
        <f aca="false">MIN(AK196,MAX(0,$AP196-SUMPRODUCT(($AH$1:$AO$1&lt;AK$1)*$AH196:$AO196)))</f>
        <v>0</v>
      </c>
      <c r="AU196" s="0" t="n">
        <f aca="false">MIN(AL196,MAX(0,$AP196-SUMPRODUCT(($AH$1:$AO$1&lt;AL$1)*$AH196:$AO196)))</f>
        <v>0</v>
      </c>
      <c r="AV196" s="0" t="n">
        <f aca="false">MIN(AM196,MAX(0,$AP196-SUMPRODUCT(($AH$1:$AO$1&lt;AM$1)*$AH196:$AO196)))</f>
        <v>0</v>
      </c>
      <c r="AW196" s="0" t="n">
        <f aca="false">MIN(AN196,MAX(0,$AP196-SUMPRODUCT(($AH$1:$AO$1&lt;AN$1)*$AH196:$AO196)))</f>
        <v>0</v>
      </c>
      <c r="AX196" s="0" t="n">
        <f aca="false">MIN(AO196,MAX(0,$AP196-SUMPRODUCT(($AH$1:$AO$1&lt;AO$1)*$AH196:$AO196)))</f>
        <v>0</v>
      </c>
      <c r="AY196" s="0" t="n">
        <f aca="false">ROUND(AH196-AQ196,2)</f>
        <v>0</v>
      </c>
      <c r="AZ196" s="0" t="n">
        <f aca="false">ROUND(AI196-AR196,2)</f>
        <v>0</v>
      </c>
      <c r="BA196" s="0" t="n">
        <f aca="false">ROUND(AJ196-AS196,2)</f>
        <v>0</v>
      </c>
      <c r="BB196" s="0" t="n">
        <f aca="false">ROUND(AK196-AT196,2)</f>
        <v>0</v>
      </c>
      <c r="BC196" s="0" t="n">
        <f aca="false">ROUND(AL196-AU196,2)</f>
        <v>0</v>
      </c>
      <c r="BD196" s="0" t="n">
        <f aca="false">ROUND(AM196-AV196,2)</f>
        <v>0</v>
      </c>
      <c r="BE196" s="0" t="n">
        <f aca="false">ROUND(AN196-AW196,2)</f>
        <v>0</v>
      </c>
      <c r="BF196" s="0" t="n">
        <f aca="false">ROUND(AO196-AX196,2)</f>
        <v>0</v>
      </c>
      <c r="BG196" s="0" t="n">
        <f aca="false">SUM(AY196:BF196)</f>
        <v>0</v>
      </c>
    </row>
    <row r="197" customFormat="false" ht="15" hidden="false" customHeight="false" outlineLevel="0" collapsed="false">
      <c r="A197" s="0" t="n">
        <v>195</v>
      </c>
      <c r="B197" s="0" t="n">
        <f aca="false">AY196</f>
        <v>0</v>
      </c>
      <c r="C197" s="0" t="n">
        <f aca="false">AZ196</f>
        <v>0</v>
      </c>
      <c r="D197" s="0" t="n">
        <f aca="false">BA196</f>
        <v>0</v>
      </c>
      <c r="E197" s="0" t="n">
        <f aca="false">BB196</f>
        <v>0</v>
      </c>
      <c r="F197" s="0" t="n">
        <f aca="false">BC196</f>
        <v>0</v>
      </c>
      <c r="G197" s="0" t="n">
        <f aca="false">BD196</f>
        <v>0</v>
      </c>
      <c r="H197" s="0" t="n">
        <f aca="false">BE196</f>
        <v>0</v>
      </c>
      <c r="I197" s="0" t="n">
        <f aca="false">BF196</f>
        <v>0</v>
      </c>
      <c r="J197" s="0" t="n">
        <f aca="false">B197*N('Debt Payoff'!D9)/12</f>
        <v>0</v>
      </c>
      <c r="K197" s="0" t="n">
        <f aca="false">C197*N('Debt Payoff'!D10)/12</f>
        <v>0</v>
      </c>
      <c r="L197" s="0" t="n">
        <f aca="false">D197*N('Debt Payoff'!D11)/12</f>
        <v>0</v>
      </c>
      <c r="M197" s="0" t="n">
        <f aca="false">E197*N('Debt Payoff'!D12)/12</f>
        <v>0</v>
      </c>
      <c r="N197" s="0" t="n">
        <f aca="false">F197*N('Debt Payoff'!D13)/12</f>
        <v>0</v>
      </c>
      <c r="O197" s="0" t="n">
        <f aca="false">G197*N('Debt Payoff'!D14)/12</f>
        <v>0</v>
      </c>
      <c r="P197" s="0" t="n">
        <f aca="false">H197*N('Debt Payoff'!D15)/12</f>
        <v>0</v>
      </c>
      <c r="Q197" s="0" t="n">
        <f aca="false">I197*N('Debt Payoff'!D16)/12</f>
        <v>0</v>
      </c>
      <c r="R197" s="0" t="n">
        <f aca="false">B197+J197</f>
        <v>0</v>
      </c>
      <c r="S197" s="0" t="n">
        <f aca="false">C197+K197</f>
        <v>0</v>
      </c>
      <c r="T197" s="0" t="n">
        <f aca="false">D197+L197</f>
        <v>0</v>
      </c>
      <c r="U197" s="0" t="n">
        <f aca="false">E197+M197</f>
        <v>0</v>
      </c>
      <c r="V197" s="0" t="n">
        <f aca="false">F197+N197</f>
        <v>0</v>
      </c>
      <c r="W197" s="0" t="n">
        <f aca="false">G197+O197</f>
        <v>0</v>
      </c>
      <c r="X197" s="0" t="n">
        <f aca="false">H197+P197</f>
        <v>0</v>
      </c>
      <c r="Y197" s="0" t="n">
        <f aca="false">I197+Q197</f>
        <v>0</v>
      </c>
      <c r="Z197" s="0" t="n">
        <f aca="false">MIN(R197,N('Debt Payoff'!E9))</f>
        <v>0</v>
      </c>
      <c r="AA197" s="0" t="n">
        <f aca="false">MIN(S197,N('Debt Payoff'!E10))</f>
        <v>0</v>
      </c>
      <c r="AB197" s="0" t="n">
        <f aca="false">MIN(T197,N('Debt Payoff'!E11))</f>
        <v>0</v>
      </c>
      <c r="AC197" s="0" t="n">
        <f aca="false">MIN(U197,N('Debt Payoff'!E12))</f>
        <v>0</v>
      </c>
      <c r="AD197" s="0" t="n">
        <f aca="false">MIN(V197,N('Debt Payoff'!E13))</f>
        <v>0</v>
      </c>
      <c r="AE197" s="0" t="n">
        <f aca="false">MIN(W197,N('Debt Payoff'!E14))</f>
        <v>0</v>
      </c>
      <c r="AF197" s="0" t="n">
        <f aca="false">MIN(X197,N('Debt Payoff'!E15))</f>
        <v>0</v>
      </c>
      <c r="AG197" s="0" t="n">
        <f aca="false">MIN(Y197,N('Debt Payoff'!E16))</f>
        <v>0</v>
      </c>
      <c r="AH197" s="0" t="n">
        <f aca="false">R197-Z197</f>
        <v>0</v>
      </c>
      <c r="AI197" s="0" t="n">
        <f aca="false">S197-AA197</f>
        <v>0</v>
      </c>
      <c r="AJ197" s="0" t="n">
        <f aca="false">T197-AB197</f>
        <v>0</v>
      </c>
      <c r="AK197" s="0" t="n">
        <f aca="false">U197-AC197</f>
        <v>0</v>
      </c>
      <c r="AL197" s="0" t="n">
        <f aca="false">V197-AD197</f>
        <v>0</v>
      </c>
      <c r="AM197" s="0" t="n">
        <f aca="false">W197-AE197</f>
        <v>0</v>
      </c>
      <c r="AN197" s="0" t="n">
        <f aca="false">X197-AF197</f>
        <v>0</v>
      </c>
      <c r="AO197" s="0" t="n">
        <f aca="false">Y197-AG197</f>
        <v>0</v>
      </c>
      <c r="AP197" s="0" t="n">
        <f aca="false">MAX(0,'Debt Payoff'!$D$17-SUM(Z197:AG197))</f>
        <v>805</v>
      </c>
      <c r="AQ197" s="0" t="n">
        <f aca="false">MIN(AH197,MAX(0,$AP197-SUMPRODUCT(($AH$1:$AO$1&lt;AH$1)*$AH197:$AO197)))</f>
        <v>0</v>
      </c>
      <c r="AR197" s="0" t="n">
        <f aca="false">MIN(AI197,MAX(0,$AP197-SUMPRODUCT(($AH$1:$AO$1&lt;AI$1)*$AH197:$AO197)))</f>
        <v>0</v>
      </c>
      <c r="AS197" s="0" t="n">
        <f aca="false">MIN(AJ197,MAX(0,$AP197-SUMPRODUCT(($AH$1:$AO$1&lt;AJ$1)*$AH197:$AO197)))</f>
        <v>0</v>
      </c>
      <c r="AT197" s="0" t="n">
        <f aca="false">MIN(AK197,MAX(0,$AP197-SUMPRODUCT(($AH$1:$AO$1&lt;AK$1)*$AH197:$AO197)))</f>
        <v>0</v>
      </c>
      <c r="AU197" s="0" t="n">
        <f aca="false">MIN(AL197,MAX(0,$AP197-SUMPRODUCT(($AH$1:$AO$1&lt;AL$1)*$AH197:$AO197)))</f>
        <v>0</v>
      </c>
      <c r="AV197" s="0" t="n">
        <f aca="false">MIN(AM197,MAX(0,$AP197-SUMPRODUCT(($AH$1:$AO$1&lt;AM$1)*$AH197:$AO197)))</f>
        <v>0</v>
      </c>
      <c r="AW197" s="0" t="n">
        <f aca="false">MIN(AN197,MAX(0,$AP197-SUMPRODUCT(($AH$1:$AO$1&lt;AN$1)*$AH197:$AO197)))</f>
        <v>0</v>
      </c>
      <c r="AX197" s="0" t="n">
        <f aca="false">MIN(AO197,MAX(0,$AP197-SUMPRODUCT(($AH$1:$AO$1&lt;AO$1)*$AH197:$AO197)))</f>
        <v>0</v>
      </c>
      <c r="AY197" s="0" t="n">
        <f aca="false">ROUND(AH197-AQ197,2)</f>
        <v>0</v>
      </c>
      <c r="AZ197" s="0" t="n">
        <f aca="false">ROUND(AI197-AR197,2)</f>
        <v>0</v>
      </c>
      <c r="BA197" s="0" t="n">
        <f aca="false">ROUND(AJ197-AS197,2)</f>
        <v>0</v>
      </c>
      <c r="BB197" s="0" t="n">
        <f aca="false">ROUND(AK197-AT197,2)</f>
        <v>0</v>
      </c>
      <c r="BC197" s="0" t="n">
        <f aca="false">ROUND(AL197-AU197,2)</f>
        <v>0</v>
      </c>
      <c r="BD197" s="0" t="n">
        <f aca="false">ROUND(AM197-AV197,2)</f>
        <v>0</v>
      </c>
      <c r="BE197" s="0" t="n">
        <f aca="false">ROUND(AN197-AW197,2)</f>
        <v>0</v>
      </c>
      <c r="BF197" s="0" t="n">
        <f aca="false">ROUND(AO197-AX197,2)</f>
        <v>0</v>
      </c>
      <c r="BG197" s="0" t="n">
        <f aca="false">SUM(AY197:BF197)</f>
        <v>0</v>
      </c>
    </row>
    <row r="198" customFormat="false" ht="15" hidden="false" customHeight="false" outlineLevel="0" collapsed="false">
      <c r="A198" s="0" t="n">
        <v>196</v>
      </c>
      <c r="B198" s="0" t="n">
        <f aca="false">AY197</f>
        <v>0</v>
      </c>
      <c r="C198" s="0" t="n">
        <f aca="false">AZ197</f>
        <v>0</v>
      </c>
      <c r="D198" s="0" t="n">
        <f aca="false">BA197</f>
        <v>0</v>
      </c>
      <c r="E198" s="0" t="n">
        <f aca="false">BB197</f>
        <v>0</v>
      </c>
      <c r="F198" s="0" t="n">
        <f aca="false">BC197</f>
        <v>0</v>
      </c>
      <c r="G198" s="0" t="n">
        <f aca="false">BD197</f>
        <v>0</v>
      </c>
      <c r="H198" s="0" t="n">
        <f aca="false">BE197</f>
        <v>0</v>
      </c>
      <c r="I198" s="0" t="n">
        <f aca="false">BF197</f>
        <v>0</v>
      </c>
      <c r="J198" s="0" t="n">
        <f aca="false">B198*N('Debt Payoff'!D9)/12</f>
        <v>0</v>
      </c>
      <c r="K198" s="0" t="n">
        <f aca="false">C198*N('Debt Payoff'!D10)/12</f>
        <v>0</v>
      </c>
      <c r="L198" s="0" t="n">
        <f aca="false">D198*N('Debt Payoff'!D11)/12</f>
        <v>0</v>
      </c>
      <c r="M198" s="0" t="n">
        <f aca="false">E198*N('Debt Payoff'!D12)/12</f>
        <v>0</v>
      </c>
      <c r="N198" s="0" t="n">
        <f aca="false">F198*N('Debt Payoff'!D13)/12</f>
        <v>0</v>
      </c>
      <c r="O198" s="0" t="n">
        <f aca="false">G198*N('Debt Payoff'!D14)/12</f>
        <v>0</v>
      </c>
      <c r="P198" s="0" t="n">
        <f aca="false">H198*N('Debt Payoff'!D15)/12</f>
        <v>0</v>
      </c>
      <c r="Q198" s="0" t="n">
        <f aca="false">I198*N('Debt Payoff'!D16)/12</f>
        <v>0</v>
      </c>
      <c r="R198" s="0" t="n">
        <f aca="false">B198+J198</f>
        <v>0</v>
      </c>
      <c r="S198" s="0" t="n">
        <f aca="false">C198+K198</f>
        <v>0</v>
      </c>
      <c r="T198" s="0" t="n">
        <f aca="false">D198+L198</f>
        <v>0</v>
      </c>
      <c r="U198" s="0" t="n">
        <f aca="false">E198+M198</f>
        <v>0</v>
      </c>
      <c r="V198" s="0" t="n">
        <f aca="false">F198+N198</f>
        <v>0</v>
      </c>
      <c r="W198" s="0" t="n">
        <f aca="false">G198+O198</f>
        <v>0</v>
      </c>
      <c r="X198" s="0" t="n">
        <f aca="false">H198+P198</f>
        <v>0</v>
      </c>
      <c r="Y198" s="0" t="n">
        <f aca="false">I198+Q198</f>
        <v>0</v>
      </c>
      <c r="Z198" s="0" t="n">
        <f aca="false">MIN(R198,N('Debt Payoff'!E9))</f>
        <v>0</v>
      </c>
      <c r="AA198" s="0" t="n">
        <f aca="false">MIN(S198,N('Debt Payoff'!E10))</f>
        <v>0</v>
      </c>
      <c r="AB198" s="0" t="n">
        <f aca="false">MIN(T198,N('Debt Payoff'!E11))</f>
        <v>0</v>
      </c>
      <c r="AC198" s="0" t="n">
        <f aca="false">MIN(U198,N('Debt Payoff'!E12))</f>
        <v>0</v>
      </c>
      <c r="AD198" s="0" t="n">
        <f aca="false">MIN(V198,N('Debt Payoff'!E13))</f>
        <v>0</v>
      </c>
      <c r="AE198" s="0" t="n">
        <f aca="false">MIN(W198,N('Debt Payoff'!E14))</f>
        <v>0</v>
      </c>
      <c r="AF198" s="0" t="n">
        <f aca="false">MIN(X198,N('Debt Payoff'!E15))</f>
        <v>0</v>
      </c>
      <c r="AG198" s="0" t="n">
        <f aca="false">MIN(Y198,N('Debt Payoff'!E16))</f>
        <v>0</v>
      </c>
      <c r="AH198" s="0" t="n">
        <f aca="false">R198-Z198</f>
        <v>0</v>
      </c>
      <c r="AI198" s="0" t="n">
        <f aca="false">S198-AA198</f>
        <v>0</v>
      </c>
      <c r="AJ198" s="0" t="n">
        <f aca="false">T198-AB198</f>
        <v>0</v>
      </c>
      <c r="AK198" s="0" t="n">
        <f aca="false">U198-AC198</f>
        <v>0</v>
      </c>
      <c r="AL198" s="0" t="n">
        <f aca="false">V198-AD198</f>
        <v>0</v>
      </c>
      <c r="AM198" s="0" t="n">
        <f aca="false">W198-AE198</f>
        <v>0</v>
      </c>
      <c r="AN198" s="0" t="n">
        <f aca="false">X198-AF198</f>
        <v>0</v>
      </c>
      <c r="AO198" s="0" t="n">
        <f aca="false">Y198-AG198</f>
        <v>0</v>
      </c>
      <c r="AP198" s="0" t="n">
        <f aca="false">MAX(0,'Debt Payoff'!$D$17-SUM(Z198:AG198))</f>
        <v>805</v>
      </c>
      <c r="AQ198" s="0" t="n">
        <f aca="false">MIN(AH198,MAX(0,$AP198-SUMPRODUCT(($AH$1:$AO$1&lt;AH$1)*$AH198:$AO198)))</f>
        <v>0</v>
      </c>
      <c r="AR198" s="0" t="n">
        <f aca="false">MIN(AI198,MAX(0,$AP198-SUMPRODUCT(($AH$1:$AO$1&lt;AI$1)*$AH198:$AO198)))</f>
        <v>0</v>
      </c>
      <c r="AS198" s="0" t="n">
        <f aca="false">MIN(AJ198,MAX(0,$AP198-SUMPRODUCT(($AH$1:$AO$1&lt;AJ$1)*$AH198:$AO198)))</f>
        <v>0</v>
      </c>
      <c r="AT198" s="0" t="n">
        <f aca="false">MIN(AK198,MAX(0,$AP198-SUMPRODUCT(($AH$1:$AO$1&lt;AK$1)*$AH198:$AO198)))</f>
        <v>0</v>
      </c>
      <c r="AU198" s="0" t="n">
        <f aca="false">MIN(AL198,MAX(0,$AP198-SUMPRODUCT(($AH$1:$AO$1&lt;AL$1)*$AH198:$AO198)))</f>
        <v>0</v>
      </c>
      <c r="AV198" s="0" t="n">
        <f aca="false">MIN(AM198,MAX(0,$AP198-SUMPRODUCT(($AH$1:$AO$1&lt;AM$1)*$AH198:$AO198)))</f>
        <v>0</v>
      </c>
      <c r="AW198" s="0" t="n">
        <f aca="false">MIN(AN198,MAX(0,$AP198-SUMPRODUCT(($AH$1:$AO$1&lt;AN$1)*$AH198:$AO198)))</f>
        <v>0</v>
      </c>
      <c r="AX198" s="0" t="n">
        <f aca="false">MIN(AO198,MAX(0,$AP198-SUMPRODUCT(($AH$1:$AO$1&lt;AO$1)*$AH198:$AO198)))</f>
        <v>0</v>
      </c>
      <c r="AY198" s="0" t="n">
        <f aca="false">ROUND(AH198-AQ198,2)</f>
        <v>0</v>
      </c>
      <c r="AZ198" s="0" t="n">
        <f aca="false">ROUND(AI198-AR198,2)</f>
        <v>0</v>
      </c>
      <c r="BA198" s="0" t="n">
        <f aca="false">ROUND(AJ198-AS198,2)</f>
        <v>0</v>
      </c>
      <c r="BB198" s="0" t="n">
        <f aca="false">ROUND(AK198-AT198,2)</f>
        <v>0</v>
      </c>
      <c r="BC198" s="0" t="n">
        <f aca="false">ROUND(AL198-AU198,2)</f>
        <v>0</v>
      </c>
      <c r="BD198" s="0" t="n">
        <f aca="false">ROUND(AM198-AV198,2)</f>
        <v>0</v>
      </c>
      <c r="BE198" s="0" t="n">
        <f aca="false">ROUND(AN198-AW198,2)</f>
        <v>0</v>
      </c>
      <c r="BF198" s="0" t="n">
        <f aca="false">ROUND(AO198-AX198,2)</f>
        <v>0</v>
      </c>
      <c r="BG198" s="0" t="n">
        <f aca="false">SUM(AY198:BF198)</f>
        <v>0</v>
      </c>
    </row>
    <row r="199" customFormat="false" ht="15" hidden="false" customHeight="false" outlineLevel="0" collapsed="false">
      <c r="A199" s="0" t="n">
        <v>197</v>
      </c>
      <c r="B199" s="0" t="n">
        <f aca="false">AY198</f>
        <v>0</v>
      </c>
      <c r="C199" s="0" t="n">
        <f aca="false">AZ198</f>
        <v>0</v>
      </c>
      <c r="D199" s="0" t="n">
        <f aca="false">BA198</f>
        <v>0</v>
      </c>
      <c r="E199" s="0" t="n">
        <f aca="false">BB198</f>
        <v>0</v>
      </c>
      <c r="F199" s="0" t="n">
        <f aca="false">BC198</f>
        <v>0</v>
      </c>
      <c r="G199" s="0" t="n">
        <f aca="false">BD198</f>
        <v>0</v>
      </c>
      <c r="H199" s="0" t="n">
        <f aca="false">BE198</f>
        <v>0</v>
      </c>
      <c r="I199" s="0" t="n">
        <f aca="false">BF198</f>
        <v>0</v>
      </c>
      <c r="J199" s="0" t="n">
        <f aca="false">B199*N('Debt Payoff'!D9)/12</f>
        <v>0</v>
      </c>
      <c r="K199" s="0" t="n">
        <f aca="false">C199*N('Debt Payoff'!D10)/12</f>
        <v>0</v>
      </c>
      <c r="L199" s="0" t="n">
        <f aca="false">D199*N('Debt Payoff'!D11)/12</f>
        <v>0</v>
      </c>
      <c r="M199" s="0" t="n">
        <f aca="false">E199*N('Debt Payoff'!D12)/12</f>
        <v>0</v>
      </c>
      <c r="N199" s="0" t="n">
        <f aca="false">F199*N('Debt Payoff'!D13)/12</f>
        <v>0</v>
      </c>
      <c r="O199" s="0" t="n">
        <f aca="false">G199*N('Debt Payoff'!D14)/12</f>
        <v>0</v>
      </c>
      <c r="P199" s="0" t="n">
        <f aca="false">H199*N('Debt Payoff'!D15)/12</f>
        <v>0</v>
      </c>
      <c r="Q199" s="0" t="n">
        <f aca="false">I199*N('Debt Payoff'!D16)/12</f>
        <v>0</v>
      </c>
      <c r="R199" s="0" t="n">
        <f aca="false">B199+J199</f>
        <v>0</v>
      </c>
      <c r="S199" s="0" t="n">
        <f aca="false">C199+K199</f>
        <v>0</v>
      </c>
      <c r="T199" s="0" t="n">
        <f aca="false">D199+L199</f>
        <v>0</v>
      </c>
      <c r="U199" s="0" t="n">
        <f aca="false">E199+M199</f>
        <v>0</v>
      </c>
      <c r="V199" s="0" t="n">
        <f aca="false">F199+N199</f>
        <v>0</v>
      </c>
      <c r="W199" s="0" t="n">
        <f aca="false">G199+O199</f>
        <v>0</v>
      </c>
      <c r="X199" s="0" t="n">
        <f aca="false">H199+P199</f>
        <v>0</v>
      </c>
      <c r="Y199" s="0" t="n">
        <f aca="false">I199+Q199</f>
        <v>0</v>
      </c>
      <c r="Z199" s="0" t="n">
        <f aca="false">MIN(R199,N('Debt Payoff'!E9))</f>
        <v>0</v>
      </c>
      <c r="AA199" s="0" t="n">
        <f aca="false">MIN(S199,N('Debt Payoff'!E10))</f>
        <v>0</v>
      </c>
      <c r="AB199" s="0" t="n">
        <f aca="false">MIN(T199,N('Debt Payoff'!E11))</f>
        <v>0</v>
      </c>
      <c r="AC199" s="0" t="n">
        <f aca="false">MIN(U199,N('Debt Payoff'!E12))</f>
        <v>0</v>
      </c>
      <c r="AD199" s="0" t="n">
        <f aca="false">MIN(V199,N('Debt Payoff'!E13))</f>
        <v>0</v>
      </c>
      <c r="AE199" s="0" t="n">
        <f aca="false">MIN(W199,N('Debt Payoff'!E14))</f>
        <v>0</v>
      </c>
      <c r="AF199" s="0" t="n">
        <f aca="false">MIN(X199,N('Debt Payoff'!E15))</f>
        <v>0</v>
      </c>
      <c r="AG199" s="0" t="n">
        <f aca="false">MIN(Y199,N('Debt Payoff'!E16))</f>
        <v>0</v>
      </c>
      <c r="AH199" s="0" t="n">
        <f aca="false">R199-Z199</f>
        <v>0</v>
      </c>
      <c r="AI199" s="0" t="n">
        <f aca="false">S199-AA199</f>
        <v>0</v>
      </c>
      <c r="AJ199" s="0" t="n">
        <f aca="false">T199-AB199</f>
        <v>0</v>
      </c>
      <c r="AK199" s="0" t="n">
        <f aca="false">U199-AC199</f>
        <v>0</v>
      </c>
      <c r="AL199" s="0" t="n">
        <f aca="false">V199-AD199</f>
        <v>0</v>
      </c>
      <c r="AM199" s="0" t="n">
        <f aca="false">W199-AE199</f>
        <v>0</v>
      </c>
      <c r="AN199" s="0" t="n">
        <f aca="false">X199-AF199</f>
        <v>0</v>
      </c>
      <c r="AO199" s="0" t="n">
        <f aca="false">Y199-AG199</f>
        <v>0</v>
      </c>
      <c r="AP199" s="0" t="n">
        <f aca="false">MAX(0,'Debt Payoff'!$D$17-SUM(Z199:AG199))</f>
        <v>805</v>
      </c>
      <c r="AQ199" s="0" t="n">
        <f aca="false">MIN(AH199,MAX(0,$AP199-SUMPRODUCT(($AH$1:$AO$1&lt;AH$1)*$AH199:$AO199)))</f>
        <v>0</v>
      </c>
      <c r="AR199" s="0" t="n">
        <f aca="false">MIN(AI199,MAX(0,$AP199-SUMPRODUCT(($AH$1:$AO$1&lt;AI$1)*$AH199:$AO199)))</f>
        <v>0</v>
      </c>
      <c r="AS199" s="0" t="n">
        <f aca="false">MIN(AJ199,MAX(0,$AP199-SUMPRODUCT(($AH$1:$AO$1&lt;AJ$1)*$AH199:$AO199)))</f>
        <v>0</v>
      </c>
      <c r="AT199" s="0" t="n">
        <f aca="false">MIN(AK199,MAX(0,$AP199-SUMPRODUCT(($AH$1:$AO$1&lt;AK$1)*$AH199:$AO199)))</f>
        <v>0</v>
      </c>
      <c r="AU199" s="0" t="n">
        <f aca="false">MIN(AL199,MAX(0,$AP199-SUMPRODUCT(($AH$1:$AO$1&lt;AL$1)*$AH199:$AO199)))</f>
        <v>0</v>
      </c>
      <c r="AV199" s="0" t="n">
        <f aca="false">MIN(AM199,MAX(0,$AP199-SUMPRODUCT(($AH$1:$AO$1&lt;AM$1)*$AH199:$AO199)))</f>
        <v>0</v>
      </c>
      <c r="AW199" s="0" t="n">
        <f aca="false">MIN(AN199,MAX(0,$AP199-SUMPRODUCT(($AH$1:$AO$1&lt;AN$1)*$AH199:$AO199)))</f>
        <v>0</v>
      </c>
      <c r="AX199" s="0" t="n">
        <f aca="false">MIN(AO199,MAX(0,$AP199-SUMPRODUCT(($AH$1:$AO$1&lt;AO$1)*$AH199:$AO199)))</f>
        <v>0</v>
      </c>
      <c r="AY199" s="0" t="n">
        <f aca="false">ROUND(AH199-AQ199,2)</f>
        <v>0</v>
      </c>
      <c r="AZ199" s="0" t="n">
        <f aca="false">ROUND(AI199-AR199,2)</f>
        <v>0</v>
      </c>
      <c r="BA199" s="0" t="n">
        <f aca="false">ROUND(AJ199-AS199,2)</f>
        <v>0</v>
      </c>
      <c r="BB199" s="0" t="n">
        <f aca="false">ROUND(AK199-AT199,2)</f>
        <v>0</v>
      </c>
      <c r="BC199" s="0" t="n">
        <f aca="false">ROUND(AL199-AU199,2)</f>
        <v>0</v>
      </c>
      <c r="BD199" s="0" t="n">
        <f aca="false">ROUND(AM199-AV199,2)</f>
        <v>0</v>
      </c>
      <c r="BE199" s="0" t="n">
        <f aca="false">ROUND(AN199-AW199,2)</f>
        <v>0</v>
      </c>
      <c r="BF199" s="0" t="n">
        <f aca="false">ROUND(AO199-AX199,2)</f>
        <v>0</v>
      </c>
      <c r="BG199" s="0" t="n">
        <f aca="false">SUM(AY199:BF199)</f>
        <v>0</v>
      </c>
    </row>
    <row r="200" customFormat="false" ht="15" hidden="false" customHeight="false" outlineLevel="0" collapsed="false">
      <c r="A200" s="0" t="n">
        <v>198</v>
      </c>
      <c r="B200" s="0" t="n">
        <f aca="false">AY199</f>
        <v>0</v>
      </c>
      <c r="C200" s="0" t="n">
        <f aca="false">AZ199</f>
        <v>0</v>
      </c>
      <c r="D200" s="0" t="n">
        <f aca="false">BA199</f>
        <v>0</v>
      </c>
      <c r="E200" s="0" t="n">
        <f aca="false">BB199</f>
        <v>0</v>
      </c>
      <c r="F200" s="0" t="n">
        <f aca="false">BC199</f>
        <v>0</v>
      </c>
      <c r="G200" s="0" t="n">
        <f aca="false">BD199</f>
        <v>0</v>
      </c>
      <c r="H200" s="0" t="n">
        <f aca="false">BE199</f>
        <v>0</v>
      </c>
      <c r="I200" s="0" t="n">
        <f aca="false">BF199</f>
        <v>0</v>
      </c>
      <c r="J200" s="0" t="n">
        <f aca="false">B200*N('Debt Payoff'!D9)/12</f>
        <v>0</v>
      </c>
      <c r="K200" s="0" t="n">
        <f aca="false">C200*N('Debt Payoff'!D10)/12</f>
        <v>0</v>
      </c>
      <c r="L200" s="0" t="n">
        <f aca="false">D200*N('Debt Payoff'!D11)/12</f>
        <v>0</v>
      </c>
      <c r="M200" s="0" t="n">
        <f aca="false">E200*N('Debt Payoff'!D12)/12</f>
        <v>0</v>
      </c>
      <c r="N200" s="0" t="n">
        <f aca="false">F200*N('Debt Payoff'!D13)/12</f>
        <v>0</v>
      </c>
      <c r="O200" s="0" t="n">
        <f aca="false">G200*N('Debt Payoff'!D14)/12</f>
        <v>0</v>
      </c>
      <c r="P200" s="0" t="n">
        <f aca="false">H200*N('Debt Payoff'!D15)/12</f>
        <v>0</v>
      </c>
      <c r="Q200" s="0" t="n">
        <f aca="false">I200*N('Debt Payoff'!D16)/12</f>
        <v>0</v>
      </c>
      <c r="R200" s="0" t="n">
        <f aca="false">B200+J200</f>
        <v>0</v>
      </c>
      <c r="S200" s="0" t="n">
        <f aca="false">C200+K200</f>
        <v>0</v>
      </c>
      <c r="T200" s="0" t="n">
        <f aca="false">D200+L200</f>
        <v>0</v>
      </c>
      <c r="U200" s="0" t="n">
        <f aca="false">E200+M200</f>
        <v>0</v>
      </c>
      <c r="V200" s="0" t="n">
        <f aca="false">F200+N200</f>
        <v>0</v>
      </c>
      <c r="W200" s="0" t="n">
        <f aca="false">G200+O200</f>
        <v>0</v>
      </c>
      <c r="X200" s="0" t="n">
        <f aca="false">H200+P200</f>
        <v>0</v>
      </c>
      <c r="Y200" s="0" t="n">
        <f aca="false">I200+Q200</f>
        <v>0</v>
      </c>
      <c r="Z200" s="0" t="n">
        <f aca="false">MIN(R200,N('Debt Payoff'!E9))</f>
        <v>0</v>
      </c>
      <c r="AA200" s="0" t="n">
        <f aca="false">MIN(S200,N('Debt Payoff'!E10))</f>
        <v>0</v>
      </c>
      <c r="AB200" s="0" t="n">
        <f aca="false">MIN(T200,N('Debt Payoff'!E11))</f>
        <v>0</v>
      </c>
      <c r="AC200" s="0" t="n">
        <f aca="false">MIN(U200,N('Debt Payoff'!E12))</f>
        <v>0</v>
      </c>
      <c r="AD200" s="0" t="n">
        <f aca="false">MIN(V200,N('Debt Payoff'!E13))</f>
        <v>0</v>
      </c>
      <c r="AE200" s="0" t="n">
        <f aca="false">MIN(W200,N('Debt Payoff'!E14))</f>
        <v>0</v>
      </c>
      <c r="AF200" s="0" t="n">
        <f aca="false">MIN(X200,N('Debt Payoff'!E15))</f>
        <v>0</v>
      </c>
      <c r="AG200" s="0" t="n">
        <f aca="false">MIN(Y200,N('Debt Payoff'!E16))</f>
        <v>0</v>
      </c>
      <c r="AH200" s="0" t="n">
        <f aca="false">R200-Z200</f>
        <v>0</v>
      </c>
      <c r="AI200" s="0" t="n">
        <f aca="false">S200-AA200</f>
        <v>0</v>
      </c>
      <c r="AJ200" s="0" t="n">
        <f aca="false">T200-AB200</f>
        <v>0</v>
      </c>
      <c r="AK200" s="0" t="n">
        <f aca="false">U200-AC200</f>
        <v>0</v>
      </c>
      <c r="AL200" s="0" t="n">
        <f aca="false">V200-AD200</f>
        <v>0</v>
      </c>
      <c r="AM200" s="0" t="n">
        <f aca="false">W200-AE200</f>
        <v>0</v>
      </c>
      <c r="AN200" s="0" t="n">
        <f aca="false">X200-AF200</f>
        <v>0</v>
      </c>
      <c r="AO200" s="0" t="n">
        <f aca="false">Y200-AG200</f>
        <v>0</v>
      </c>
      <c r="AP200" s="0" t="n">
        <f aca="false">MAX(0,'Debt Payoff'!$D$17-SUM(Z200:AG200))</f>
        <v>805</v>
      </c>
      <c r="AQ200" s="0" t="n">
        <f aca="false">MIN(AH200,MAX(0,$AP200-SUMPRODUCT(($AH$1:$AO$1&lt;AH$1)*$AH200:$AO200)))</f>
        <v>0</v>
      </c>
      <c r="AR200" s="0" t="n">
        <f aca="false">MIN(AI200,MAX(0,$AP200-SUMPRODUCT(($AH$1:$AO$1&lt;AI$1)*$AH200:$AO200)))</f>
        <v>0</v>
      </c>
      <c r="AS200" s="0" t="n">
        <f aca="false">MIN(AJ200,MAX(0,$AP200-SUMPRODUCT(($AH$1:$AO$1&lt;AJ$1)*$AH200:$AO200)))</f>
        <v>0</v>
      </c>
      <c r="AT200" s="0" t="n">
        <f aca="false">MIN(AK200,MAX(0,$AP200-SUMPRODUCT(($AH$1:$AO$1&lt;AK$1)*$AH200:$AO200)))</f>
        <v>0</v>
      </c>
      <c r="AU200" s="0" t="n">
        <f aca="false">MIN(AL200,MAX(0,$AP200-SUMPRODUCT(($AH$1:$AO$1&lt;AL$1)*$AH200:$AO200)))</f>
        <v>0</v>
      </c>
      <c r="AV200" s="0" t="n">
        <f aca="false">MIN(AM200,MAX(0,$AP200-SUMPRODUCT(($AH$1:$AO$1&lt;AM$1)*$AH200:$AO200)))</f>
        <v>0</v>
      </c>
      <c r="AW200" s="0" t="n">
        <f aca="false">MIN(AN200,MAX(0,$AP200-SUMPRODUCT(($AH$1:$AO$1&lt;AN$1)*$AH200:$AO200)))</f>
        <v>0</v>
      </c>
      <c r="AX200" s="0" t="n">
        <f aca="false">MIN(AO200,MAX(0,$AP200-SUMPRODUCT(($AH$1:$AO$1&lt;AO$1)*$AH200:$AO200)))</f>
        <v>0</v>
      </c>
      <c r="AY200" s="0" t="n">
        <f aca="false">ROUND(AH200-AQ200,2)</f>
        <v>0</v>
      </c>
      <c r="AZ200" s="0" t="n">
        <f aca="false">ROUND(AI200-AR200,2)</f>
        <v>0</v>
      </c>
      <c r="BA200" s="0" t="n">
        <f aca="false">ROUND(AJ200-AS200,2)</f>
        <v>0</v>
      </c>
      <c r="BB200" s="0" t="n">
        <f aca="false">ROUND(AK200-AT200,2)</f>
        <v>0</v>
      </c>
      <c r="BC200" s="0" t="n">
        <f aca="false">ROUND(AL200-AU200,2)</f>
        <v>0</v>
      </c>
      <c r="BD200" s="0" t="n">
        <f aca="false">ROUND(AM200-AV200,2)</f>
        <v>0</v>
      </c>
      <c r="BE200" s="0" t="n">
        <f aca="false">ROUND(AN200-AW200,2)</f>
        <v>0</v>
      </c>
      <c r="BF200" s="0" t="n">
        <f aca="false">ROUND(AO200-AX200,2)</f>
        <v>0</v>
      </c>
      <c r="BG200" s="0" t="n">
        <f aca="false">SUM(AY200:BF200)</f>
        <v>0</v>
      </c>
    </row>
    <row r="201" customFormat="false" ht="15" hidden="false" customHeight="false" outlineLevel="0" collapsed="false">
      <c r="A201" s="0" t="n">
        <v>199</v>
      </c>
      <c r="B201" s="0" t="n">
        <f aca="false">AY200</f>
        <v>0</v>
      </c>
      <c r="C201" s="0" t="n">
        <f aca="false">AZ200</f>
        <v>0</v>
      </c>
      <c r="D201" s="0" t="n">
        <f aca="false">BA200</f>
        <v>0</v>
      </c>
      <c r="E201" s="0" t="n">
        <f aca="false">BB200</f>
        <v>0</v>
      </c>
      <c r="F201" s="0" t="n">
        <f aca="false">BC200</f>
        <v>0</v>
      </c>
      <c r="G201" s="0" t="n">
        <f aca="false">BD200</f>
        <v>0</v>
      </c>
      <c r="H201" s="0" t="n">
        <f aca="false">BE200</f>
        <v>0</v>
      </c>
      <c r="I201" s="0" t="n">
        <f aca="false">BF200</f>
        <v>0</v>
      </c>
      <c r="J201" s="0" t="n">
        <f aca="false">B201*N('Debt Payoff'!D9)/12</f>
        <v>0</v>
      </c>
      <c r="K201" s="0" t="n">
        <f aca="false">C201*N('Debt Payoff'!D10)/12</f>
        <v>0</v>
      </c>
      <c r="L201" s="0" t="n">
        <f aca="false">D201*N('Debt Payoff'!D11)/12</f>
        <v>0</v>
      </c>
      <c r="M201" s="0" t="n">
        <f aca="false">E201*N('Debt Payoff'!D12)/12</f>
        <v>0</v>
      </c>
      <c r="N201" s="0" t="n">
        <f aca="false">F201*N('Debt Payoff'!D13)/12</f>
        <v>0</v>
      </c>
      <c r="O201" s="0" t="n">
        <f aca="false">G201*N('Debt Payoff'!D14)/12</f>
        <v>0</v>
      </c>
      <c r="P201" s="0" t="n">
        <f aca="false">H201*N('Debt Payoff'!D15)/12</f>
        <v>0</v>
      </c>
      <c r="Q201" s="0" t="n">
        <f aca="false">I201*N('Debt Payoff'!D16)/12</f>
        <v>0</v>
      </c>
      <c r="R201" s="0" t="n">
        <f aca="false">B201+J201</f>
        <v>0</v>
      </c>
      <c r="S201" s="0" t="n">
        <f aca="false">C201+K201</f>
        <v>0</v>
      </c>
      <c r="T201" s="0" t="n">
        <f aca="false">D201+L201</f>
        <v>0</v>
      </c>
      <c r="U201" s="0" t="n">
        <f aca="false">E201+M201</f>
        <v>0</v>
      </c>
      <c r="V201" s="0" t="n">
        <f aca="false">F201+N201</f>
        <v>0</v>
      </c>
      <c r="W201" s="0" t="n">
        <f aca="false">G201+O201</f>
        <v>0</v>
      </c>
      <c r="X201" s="0" t="n">
        <f aca="false">H201+P201</f>
        <v>0</v>
      </c>
      <c r="Y201" s="0" t="n">
        <f aca="false">I201+Q201</f>
        <v>0</v>
      </c>
      <c r="Z201" s="0" t="n">
        <f aca="false">MIN(R201,N('Debt Payoff'!E9))</f>
        <v>0</v>
      </c>
      <c r="AA201" s="0" t="n">
        <f aca="false">MIN(S201,N('Debt Payoff'!E10))</f>
        <v>0</v>
      </c>
      <c r="AB201" s="0" t="n">
        <f aca="false">MIN(T201,N('Debt Payoff'!E11))</f>
        <v>0</v>
      </c>
      <c r="AC201" s="0" t="n">
        <f aca="false">MIN(U201,N('Debt Payoff'!E12))</f>
        <v>0</v>
      </c>
      <c r="AD201" s="0" t="n">
        <f aca="false">MIN(V201,N('Debt Payoff'!E13))</f>
        <v>0</v>
      </c>
      <c r="AE201" s="0" t="n">
        <f aca="false">MIN(W201,N('Debt Payoff'!E14))</f>
        <v>0</v>
      </c>
      <c r="AF201" s="0" t="n">
        <f aca="false">MIN(X201,N('Debt Payoff'!E15))</f>
        <v>0</v>
      </c>
      <c r="AG201" s="0" t="n">
        <f aca="false">MIN(Y201,N('Debt Payoff'!E16))</f>
        <v>0</v>
      </c>
      <c r="AH201" s="0" t="n">
        <f aca="false">R201-Z201</f>
        <v>0</v>
      </c>
      <c r="AI201" s="0" t="n">
        <f aca="false">S201-AA201</f>
        <v>0</v>
      </c>
      <c r="AJ201" s="0" t="n">
        <f aca="false">T201-AB201</f>
        <v>0</v>
      </c>
      <c r="AK201" s="0" t="n">
        <f aca="false">U201-AC201</f>
        <v>0</v>
      </c>
      <c r="AL201" s="0" t="n">
        <f aca="false">V201-AD201</f>
        <v>0</v>
      </c>
      <c r="AM201" s="0" t="n">
        <f aca="false">W201-AE201</f>
        <v>0</v>
      </c>
      <c r="AN201" s="0" t="n">
        <f aca="false">X201-AF201</f>
        <v>0</v>
      </c>
      <c r="AO201" s="0" t="n">
        <f aca="false">Y201-AG201</f>
        <v>0</v>
      </c>
      <c r="AP201" s="0" t="n">
        <f aca="false">MAX(0,'Debt Payoff'!$D$17-SUM(Z201:AG201))</f>
        <v>805</v>
      </c>
      <c r="AQ201" s="0" t="n">
        <f aca="false">MIN(AH201,MAX(0,$AP201-SUMPRODUCT(($AH$1:$AO$1&lt;AH$1)*$AH201:$AO201)))</f>
        <v>0</v>
      </c>
      <c r="AR201" s="0" t="n">
        <f aca="false">MIN(AI201,MAX(0,$AP201-SUMPRODUCT(($AH$1:$AO$1&lt;AI$1)*$AH201:$AO201)))</f>
        <v>0</v>
      </c>
      <c r="AS201" s="0" t="n">
        <f aca="false">MIN(AJ201,MAX(0,$AP201-SUMPRODUCT(($AH$1:$AO$1&lt;AJ$1)*$AH201:$AO201)))</f>
        <v>0</v>
      </c>
      <c r="AT201" s="0" t="n">
        <f aca="false">MIN(AK201,MAX(0,$AP201-SUMPRODUCT(($AH$1:$AO$1&lt;AK$1)*$AH201:$AO201)))</f>
        <v>0</v>
      </c>
      <c r="AU201" s="0" t="n">
        <f aca="false">MIN(AL201,MAX(0,$AP201-SUMPRODUCT(($AH$1:$AO$1&lt;AL$1)*$AH201:$AO201)))</f>
        <v>0</v>
      </c>
      <c r="AV201" s="0" t="n">
        <f aca="false">MIN(AM201,MAX(0,$AP201-SUMPRODUCT(($AH$1:$AO$1&lt;AM$1)*$AH201:$AO201)))</f>
        <v>0</v>
      </c>
      <c r="AW201" s="0" t="n">
        <f aca="false">MIN(AN201,MAX(0,$AP201-SUMPRODUCT(($AH$1:$AO$1&lt;AN$1)*$AH201:$AO201)))</f>
        <v>0</v>
      </c>
      <c r="AX201" s="0" t="n">
        <f aca="false">MIN(AO201,MAX(0,$AP201-SUMPRODUCT(($AH$1:$AO$1&lt;AO$1)*$AH201:$AO201)))</f>
        <v>0</v>
      </c>
      <c r="AY201" s="0" t="n">
        <f aca="false">ROUND(AH201-AQ201,2)</f>
        <v>0</v>
      </c>
      <c r="AZ201" s="0" t="n">
        <f aca="false">ROUND(AI201-AR201,2)</f>
        <v>0</v>
      </c>
      <c r="BA201" s="0" t="n">
        <f aca="false">ROUND(AJ201-AS201,2)</f>
        <v>0</v>
      </c>
      <c r="BB201" s="0" t="n">
        <f aca="false">ROUND(AK201-AT201,2)</f>
        <v>0</v>
      </c>
      <c r="BC201" s="0" t="n">
        <f aca="false">ROUND(AL201-AU201,2)</f>
        <v>0</v>
      </c>
      <c r="BD201" s="0" t="n">
        <f aca="false">ROUND(AM201-AV201,2)</f>
        <v>0</v>
      </c>
      <c r="BE201" s="0" t="n">
        <f aca="false">ROUND(AN201-AW201,2)</f>
        <v>0</v>
      </c>
      <c r="BF201" s="0" t="n">
        <f aca="false">ROUND(AO201-AX201,2)</f>
        <v>0</v>
      </c>
      <c r="BG201" s="0" t="n">
        <f aca="false">SUM(AY201:BF201)</f>
        <v>0</v>
      </c>
    </row>
    <row r="202" customFormat="false" ht="15" hidden="false" customHeight="false" outlineLevel="0" collapsed="false">
      <c r="A202" s="0" t="n">
        <v>200</v>
      </c>
      <c r="B202" s="0" t="n">
        <f aca="false">AY201</f>
        <v>0</v>
      </c>
      <c r="C202" s="0" t="n">
        <f aca="false">AZ201</f>
        <v>0</v>
      </c>
      <c r="D202" s="0" t="n">
        <f aca="false">BA201</f>
        <v>0</v>
      </c>
      <c r="E202" s="0" t="n">
        <f aca="false">BB201</f>
        <v>0</v>
      </c>
      <c r="F202" s="0" t="n">
        <f aca="false">BC201</f>
        <v>0</v>
      </c>
      <c r="G202" s="0" t="n">
        <f aca="false">BD201</f>
        <v>0</v>
      </c>
      <c r="H202" s="0" t="n">
        <f aca="false">BE201</f>
        <v>0</v>
      </c>
      <c r="I202" s="0" t="n">
        <f aca="false">BF201</f>
        <v>0</v>
      </c>
      <c r="J202" s="0" t="n">
        <f aca="false">B202*N('Debt Payoff'!D9)/12</f>
        <v>0</v>
      </c>
      <c r="K202" s="0" t="n">
        <f aca="false">C202*N('Debt Payoff'!D10)/12</f>
        <v>0</v>
      </c>
      <c r="L202" s="0" t="n">
        <f aca="false">D202*N('Debt Payoff'!D11)/12</f>
        <v>0</v>
      </c>
      <c r="M202" s="0" t="n">
        <f aca="false">E202*N('Debt Payoff'!D12)/12</f>
        <v>0</v>
      </c>
      <c r="N202" s="0" t="n">
        <f aca="false">F202*N('Debt Payoff'!D13)/12</f>
        <v>0</v>
      </c>
      <c r="O202" s="0" t="n">
        <f aca="false">G202*N('Debt Payoff'!D14)/12</f>
        <v>0</v>
      </c>
      <c r="P202" s="0" t="n">
        <f aca="false">H202*N('Debt Payoff'!D15)/12</f>
        <v>0</v>
      </c>
      <c r="Q202" s="0" t="n">
        <f aca="false">I202*N('Debt Payoff'!D16)/12</f>
        <v>0</v>
      </c>
      <c r="R202" s="0" t="n">
        <f aca="false">B202+J202</f>
        <v>0</v>
      </c>
      <c r="S202" s="0" t="n">
        <f aca="false">C202+K202</f>
        <v>0</v>
      </c>
      <c r="T202" s="0" t="n">
        <f aca="false">D202+L202</f>
        <v>0</v>
      </c>
      <c r="U202" s="0" t="n">
        <f aca="false">E202+M202</f>
        <v>0</v>
      </c>
      <c r="V202" s="0" t="n">
        <f aca="false">F202+N202</f>
        <v>0</v>
      </c>
      <c r="W202" s="0" t="n">
        <f aca="false">G202+O202</f>
        <v>0</v>
      </c>
      <c r="X202" s="0" t="n">
        <f aca="false">H202+P202</f>
        <v>0</v>
      </c>
      <c r="Y202" s="0" t="n">
        <f aca="false">I202+Q202</f>
        <v>0</v>
      </c>
      <c r="Z202" s="0" t="n">
        <f aca="false">MIN(R202,N('Debt Payoff'!E9))</f>
        <v>0</v>
      </c>
      <c r="AA202" s="0" t="n">
        <f aca="false">MIN(S202,N('Debt Payoff'!E10))</f>
        <v>0</v>
      </c>
      <c r="AB202" s="0" t="n">
        <f aca="false">MIN(T202,N('Debt Payoff'!E11))</f>
        <v>0</v>
      </c>
      <c r="AC202" s="0" t="n">
        <f aca="false">MIN(U202,N('Debt Payoff'!E12))</f>
        <v>0</v>
      </c>
      <c r="AD202" s="0" t="n">
        <f aca="false">MIN(V202,N('Debt Payoff'!E13))</f>
        <v>0</v>
      </c>
      <c r="AE202" s="0" t="n">
        <f aca="false">MIN(W202,N('Debt Payoff'!E14))</f>
        <v>0</v>
      </c>
      <c r="AF202" s="0" t="n">
        <f aca="false">MIN(X202,N('Debt Payoff'!E15))</f>
        <v>0</v>
      </c>
      <c r="AG202" s="0" t="n">
        <f aca="false">MIN(Y202,N('Debt Payoff'!E16))</f>
        <v>0</v>
      </c>
      <c r="AH202" s="0" t="n">
        <f aca="false">R202-Z202</f>
        <v>0</v>
      </c>
      <c r="AI202" s="0" t="n">
        <f aca="false">S202-AA202</f>
        <v>0</v>
      </c>
      <c r="AJ202" s="0" t="n">
        <f aca="false">T202-AB202</f>
        <v>0</v>
      </c>
      <c r="AK202" s="0" t="n">
        <f aca="false">U202-AC202</f>
        <v>0</v>
      </c>
      <c r="AL202" s="0" t="n">
        <f aca="false">V202-AD202</f>
        <v>0</v>
      </c>
      <c r="AM202" s="0" t="n">
        <f aca="false">W202-AE202</f>
        <v>0</v>
      </c>
      <c r="AN202" s="0" t="n">
        <f aca="false">X202-AF202</f>
        <v>0</v>
      </c>
      <c r="AO202" s="0" t="n">
        <f aca="false">Y202-AG202</f>
        <v>0</v>
      </c>
      <c r="AP202" s="0" t="n">
        <f aca="false">MAX(0,'Debt Payoff'!$D$17-SUM(Z202:AG202))</f>
        <v>805</v>
      </c>
      <c r="AQ202" s="0" t="n">
        <f aca="false">MIN(AH202,MAX(0,$AP202-SUMPRODUCT(($AH$1:$AO$1&lt;AH$1)*$AH202:$AO202)))</f>
        <v>0</v>
      </c>
      <c r="AR202" s="0" t="n">
        <f aca="false">MIN(AI202,MAX(0,$AP202-SUMPRODUCT(($AH$1:$AO$1&lt;AI$1)*$AH202:$AO202)))</f>
        <v>0</v>
      </c>
      <c r="AS202" s="0" t="n">
        <f aca="false">MIN(AJ202,MAX(0,$AP202-SUMPRODUCT(($AH$1:$AO$1&lt;AJ$1)*$AH202:$AO202)))</f>
        <v>0</v>
      </c>
      <c r="AT202" s="0" t="n">
        <f aca="false">MIN(AK202,MAX(0,$AP202-SUMPRODUCT(($AH$1:$AO$1&lt;AK$1)*$AH202:$AO202)))</f>
        <v>0</v>
      </c>
      <c r="AU202" s="0" t="n">
        <f aca="false">MIN(AL202,MAX(0,$AP202-SUMPRODUCT(($AH$1:$AO$1&lt;AL$1)*$AH202:$AO202)))</f>
        <v>0</v>
      </c>
      <c r="AV202" s="0" t="n">
        <f aca="false">MIN(AM202,MAX(0,$AP202-SUMPRODUCT(($AH$1:$AO$1&lt;AM$1)*$AH202:$AO202)))</f>
        <v>0</v>
      </c>
      <c r="AW202" s="0" t="n">
        <f aca="false">MIN(AN202,MAX(0,$AP202-SUMPRODUCT(($AH$1:$AO$1&lt;AN$1)*$AH202:$AO202)))</f>
        <v>0</v>
      </c>
      <c r="AX202" s="0" t="n">
        <f aca="false">MIN(AO202,MAX(0,$AP202-SUMPRODUCT(($AH$1:$AO$1&lt;AO$1)*$AH202:$AO202)))</f>
        <v>0</v>
      </c>
      <c r="AY202" s="0" t="n">
        <f aca="false">ROUND(AH202-AQ202,2)</f>
        <v>0</v>
      </c>
      <c r="AZ202" s="0" t="n">
        <f aca="false">ROUND(AI202-AR202,2)</f>
        <v>0</v>
      </c>
      <c r="BA202" s="0" t="n">
        <f aca="false">ROUND(AJ202-AS202,2)</f>
        <v>0</v>
      </c>
      <c r="BB202" s="0" t="n">
        <f aca="false">ROUND(AK202-AT202,2)</f>
        <v>0</v>
      </c>
      <c r="BC202" s="0" t="n">
        <f aca="false">ROUND(AL202-AU202,2)</f>
        <v>0</v>
      </c>
      <c r="BD202" s="0" t="n">
        <f aca="false">ROUND(AM202-AV202,2)</f>
        <v>0</v>
      </c>
      <c r="BE202" s="0" t="n">
        <f aca="false">ROUND(AN202-AW202,2)</f>
        <v>0</v>
      </c>
      <c r="BF202" s="0" t="n">
        <f aca="false">ROUND(AO202-AX202,2)</f>
        <v>0</v>
      </c>
      <c r="BG202" s="0" t="n">
        <f aca="false">SUM(AY202:BF202)</f>
        <v>0</v>
      </c>
    </row>
    <row r="203" customFormat="false" ht="15" hidden="false" customHeight="false" outlineLevel="0" collapsed="false">
      <c r="A203" s="0" t="n">
        <v>201</v>
      </c>
      <c r="B203" s="0" t="n">
        <f aca="false">AY202</f>
        <v>0</v>
      </c>
      <c r="C203" s="0" t="n">
        <f aca="false">AZ202</f>
        <v>0</v>
      </c>
      <c r="D203" s="0" t="n">
        <f aca="false">BA202</f>
        <v>0</v>
      </c>
      <c r="E203" s="0" t="n">
        <f aca="false">BB202</f>
        <v>0</v>
      </c>
      <c r="F203" s="0" t="n">
        <f aca="false">BC202</f>
        <v>0</v>
      </c>
      <c r="G203" s="0" t="n">
        <f aca="false">BD202</f>
        <v>0</v>
      </c>
      <c r="H203" s="0" t="n">
        <f aca="false">BE202</f>
        <v>0</v>
      </c>
      <c r="I203" s="0" t="n">
        <f aca="false">BF202</f>
        <v>0</v>
      </c>
      <c r="J203" s="0" t="n">
        <f aca="false">B203*N('Debt Payoff'!D9)/12</f>
        <v>0</v>
      </c>
      <c r="K203" s="0" t="n">
        <f aca="false">C203*N('Debt Payoff'!D10)/12</f>
        <v>0</v>
      </c>
      <c r="L203" s="0" t="n">
        <f aca="false">D203*N('Debt Payoff'!D11)/12</f>
        <v>0</v>
      </c>
      <c r="M203" s="0" t="n">
        <f aca="false">E203*N('Debt Payoff'!D12)/12</f>
        <v>0</v>
      </c>
      <c r="N203" s="0" t="n">
        <f aca="false">F203*N('Debt Payoff'!D13)/12</f>
        <v>0</v>
      </c>
      <c r="O203" s="0" t="n">
        <f aca="false">G203*N('Debt Payoff'!D14)/12</f>
        <v>0</v>
      </c>
      <c r="P203" s="0" t="n">
        <f aca="false">H203*N('Debt Payoff'!D15)/12</f>
        <v>0</v>
      </c>
      <c r="Q203" s="0" t="n">
        <f aca="false">I203*N('Debt Payoff'!D16)/12</f>
        <v>0</v>
      </c>
      <c r="R203" s="0" t="n">
        <f aca="false">B203+J203</f>
        <v>0</v>
      </c>
      <c r="S203" s="0" t="n">
        <f aca="false">C203+K203</f>
        <v>0</v>
      </c>
      <c r="T203" s="0" t="n">
        <f aca="false">D203+L203</f>
        <v>0</v>
      </c>
      <c r="U203" s="0" t="n">
        <f aca="false">E203+M203</f>
        <v>0</v>
      </c>
      <c r="V203" s="0" t="n">
        <f aca="false">F203+N203</f>
        <v>0</v>
      </c>
      <c r="W203" s="0" t="n">
        <f aca="false">G203+O203</f>
        <v>0</v>
      </c>
      <c r="X203" s="0" t="n">
        <f aca="false">H203+P203</f>
        <v>0</v>
      </c>
      <c r="Y203" s="0" t="n">
        <f aca="false">I203+Q203</f>
        <v>0</v>
      </c>
      <c r="Z203" s="0" t="n">
        <f aca="false">MIN(R203,N('Debt Payoff'!E9))</f>
        <v>0</v>
      </c>
      <c r="AA203" s="0" t="n">
        <f aca="false">MIN(S203,N('Debt Payoff'!E10))</f>
        <v>0</v>
      </c>
      <c r="AB203" s="0" t="n">
        <f aca="false">MIN(T203,N('Debt Payoff'!E11))</f>
        <v>0</v>
      </c>
      <c r="AC203" s="0" t="n">
        <f aca="false">MIN(U203,N('Debt Payoff'!E12))</f>
        <v>0</v>
      </c>
      <c r="AD203" s="0" t="n">
        <f aca="false">MIN(V203,N('Debt Payoff'!E13))</f>
        <v>0</v>
      </c>
      <c r="AE203" s="0" t="n">
        <f aca="false">MIN(W203,N('Debt Payoff'!E14))</f>
        <v>0</v>
      </c>
      <c r="AF203" s="0" t="n">
        <f aca="false">MIN(X203,N('Debt Payoff'!E15))</f>
        <v>0</v>
      </c>
      <c r="AG203" s="0" t="n">
        <f aca="false">MIN(Y203,N('Debt Payoff'!E16))</f>
        <v>0</v>
      </c>
      <c r="AH203" s="0" t="n">
        <f aca="false">R203-Z203</f>
        <v>0</v>
      </c>
      <c r="AI203" s="0" t="n">
        <f aca="false">S203-AA203</f>
        <v>0</v>
      </c>
      <c r="AJ203" s="0" t="n">
        <f aca="false">T203-AB203</f>
        <v>0</v>
      </c>
      <c r="AK203" s="0" t="n">
        <f aca="false">U203-AC203</f>
        <v>0</v>
      </c>
      <c r="AL203" s="0" t="n">
        <f aca="false">V203-AD203</f>
        <v>0</v>
      </c>
      <c r="AM203" s="0" t="n">
        <f aca="false">W203-AE203</f>
        <v>0</v>
      </c>
      <c r="AN203" s="0" t="n">
        <f aca="false">X203-AF203</f>
        <v>0</v>
      </c>
      <c r="AO203" s="0" t="n">
        <f aca="false">Y203-AG203</f>
        <v>0</v>
      </c>
      <c r="AP203" s="0" t="n">
        <f aca="false">MAX(0,'Debt Payoff'!$D$17-SUM(Z203:AG203))</f>
        <v>805</v>
      </c>
      <c r="AQ203" s="0" t="n">
        <f aca="false">MIN(AH203,MAX(0,$AP203-SUMPRODUCT(($AH$1:$AO$1&lt;AH$1)*$AH203:$AO203)))</f>
        <v>0</v>
      </c>
      <c r="AR203" s="0" t="n">
        <f aca="false">MIN(AI203,MAX(0,$AP203-SUMPRODUCT(($AH$1:$AO$1&lt;AI$1)*$AH203:$AO203)))</f>
        <v>0</v>
      </c>
      <c r="AS203" s="0" t="n">
        <f aca="false">MIN(AJ203,MAX(0,$AP203-SUMPRODUCT(($AH$1:$AO$1&lt;AJ$1)*$AH203:$AO203)))</f>
        <v>0</v>
      </c>
      <c r="AT203" s="0" t="n">
        <f aca="false">MIN(AK203,MAX(0,$AP203-SUMPRODUCT(($AH$1:$AO$1&lt;AK$1)*$AH203:$AO203)))</f>
        <v>0</v>
      </c>
      <c r="AU203" s="0" t="n">
        <f aca="false">MIN(AL203,MAX(0,$AP203-SUMPRODUCT(($AH$1:$AO$1&lt;AL$1)*$AH203:$AO203)))</f>
        <v>0</v>
      </c>
      <c r="AV203" s="0" t="n">
        <f aca="false">MIN(AM203,MAX(0,$AP203-SUMPRODUCT(($AH$1:$AO$1&lt;AM$1)*$AH203:$AO203)))</f>
        <v>0</v>
      </c>
      <c r="AW203" s="0" t="n">
        <f aca="false">MIN(AN203,MAX(0,$AP203-SUMPRODUCT(($AH$1:$AO$1&lt;AN$1)*$AH203:$AO203)))</f>
        <v>0</v>
      </c>
      <c r="AX203" s="0" t="n">
        <f aca="false">MIN(AO203,MAX(0,$AP203-SUMPRODUCT(($AH$1:$AO$1&lt;AO$1)*$AH203:$AO203)))</f>
        <v>0</v>
      </c>
      <c r="AY203" s="0" t="n">
        <f aca="false">ROUND(AH203-AQ203,2)</f>
        <v>0</v>
      </c>
      <c r="AZ203" s="0" t="n">
        <f aca="false">ROUND(AI203-AR203,2)</f>
        <v>0</v>
      </c>
      <c r="BA203" s="0" t="n">
        <f aca="false">ROUND(AJ203-AS203,2)</f>
        <v>0</v>
      </c>
      <c r="BB203" s="0" t="n">
        <f aca="false">ROUND(AK203-AT203,2)</f>
        <v>0</v>
      </c>
      <c r="BC203" s="0" t="n">
        <f aca="false">ROUND(AL203-AU203,2)</f>
        <v>0</v>
      </c>
      <c r="BD203" s="0" t="n">
        <f aca="false">ROUND(AM203-AV203,2)</f>
        <v>0</v>
      </c>
      <c r="BE203" s="0" t="n">
        <f aca="false">ROUND(AN203-AW203,2)</f>
        <v>0</v>
      </c>
      <c r="BF203" s="0" t="n">
        <f aca="false">ROUND(AO203-AX203,2)</f>
        <v>0</v>
      </c>
      <c r="BG203" s="0" t="n">
        <f aca="false">SUM(AY203:BF203)</f>
        <v>0</v>
      </c>
    </row>
    <row r="204" customFormat="false" ht="15" hidden="false" customHeight="false" outlineLevel="0" collapsed="false">
      <c r="A204" s="0" t="n">
        <v>202</v>
      </c>
      <c r="B204" s="0" t="n">
        <f aca="false">AY203</f>
        <v>0</v>
      </c>
      <c r="C204" s="0" t="n">
        <f aca="false">AZ203</f>
        <v>0</v>
      </c>
      <c r="D204" s="0" t="n">
        <f aca="false">BA203</f>
        <v>0</v>
      </c>
      <c r="E204" s="0" t="n">
        <f aca="false">BB203</f>
        <v>0</v>
      </c>
      <c r="F204" s="0" t="n">
        <f aca="false">BC203</f>
        <v>0</v>
      </c>
      <c r="G204" s="0" t="n">
        <f aca="false">BD203</f>
        <v>0</v>
      </c>
      <c r="H204" s="0" t="n">
        <f aca="false">BE203</f>
        <v>0</v>
      </c>
      <c r="I204" s="0" t="n">
        <f aca="false">BF203</f>
        <v>0</v>
      </c>
      <c r="J204" s="0" t="n">
        <f aca="false">B204*N('Debt Payoff'!D9)/12</f>
        <v>0</v>
      </c>
      <c r="K204" s="0" t="n">
        <f aca="false">C204*N('Debt Payoff'!D10)/12</f>
        <v>0</v>
      </c>
      <c r="L204" s="0" t="n">
        <f aca="false">D204*N('Debt Payoff'!D11)/12</f>
        <v>0</v>
      </c>
      <c r="M204" s="0" t="n">
        <f aca="false">E204*N('Debt Payoff'!D12)/12</f>
        <v>0</v>
      </c>
      <c r="N204" s="0" t="n">
        <f aca="false">F204*N('Debt Payoff'!D13)/12</f>
        <v>0</v>
      </c>
      <c r="O204" s="0" t="n">
        <f aca="false">G204*N('Debt Payoff'!D14)/12</f>
        <v>0</v>
      </c>
      <c r="P204" s="0" t="n">
        <f aca="false">H204*N('Debt Payoff'!D15)/12</f>
        <v>0</v>
      </c>
      <c r="Q204" s="0" t="n">
        <f aca="false">I204*N('Debt Payoff'!D16)/12</f>
        <v>0</v>
      </c>
      <c r="R204" s="0" t="n">
        <f aca="false">B204+J204</f>
        <v>0</v>
      </c>
      <c r="S204" s="0" t="n">
        <f aca="false">C204+K204</f>
        <v>0</v>
      </c>
      <c r="T204" s="0" t="n">
        <f aca="false">D204+L204</f>
        <v>0</v>
      </c>
      <c r="U204" s="0" t="n">
        <f aca="false">E204+M204</f>
        <v>0</v>
      </c>
      <c r="V204" s="0" t="n">
        <f aca="false">F204+N204</f>
        <v>0</v>
      </c>
      <c r="W204" s="0" t="n">
        <f aca="false">G204+O204</f>
        <v>0</v>
      </c>
      <c r="X204" s="0" t="n">
        <f aca="false">H204+P204</f>
        <v>0</v>
      </c>
      <c r="Y204" s="0" t="n">
        <f aca="false">I204+Q204</f>
        <v>0</v>
      </c>
      <c r="Z204" s="0" t="n">
        <f aca="false">MIN(R204,N('Debt Payoff'!E9))</f>
        <v>0</v>
      </c>
      <c r="AA204" s="0" t="n">
        <f aca="false">MIN(S204,N('Debt Payoff'!E10))</f>
        <v>0</v>
      </c>
      <c r="AB204" s="0" t="n">
        <f aca="false">MIN(T204,N('Debt Payoff'!E11))</f>
        <v>0</v>
      </c>
      <c r="AC204" s="0" t="n">
        <f aca="false">MIN(U204,N('Debt Payoff'!E12))</f>
        <v>0</v>
      </c>
      <c r="AD204" s="0" t="n">
        <f aca="false">MIN(V204,N('Debt Payoff'!E13))</f>
        <v>0</v>
      </c>
      <c r="AE204" s="0" t="n">
        <f aca="false">MIN(W204,N('Debt Payoff'!E14))</f>
        <v>0</v>
      </c>
      <c r="AF204" s="0" t="n">
        <f aca="false">MIN(X204,N('Debt Payoff'!E15))</f>
        <v>0</v>
      </c>
      <c r="AG204" s="0" t="n">
        <f aca="false">MIN(Y204,N('Debt Payoff'!E16))</f>
        <v>0</v>
      </c>
      <c r="AH204" s="0" t="n">
        <f aca="false">R204-Z204</f>
        <v>0</v>
      </c>
      <c r="AI204" s="0" t="n">
        <f aca="false">S204-AA204</f>
        <v>0</v>
      </c>
      <c r="AJ204" s="0" t="n">
        <f aca="false">T204-AB204</f>
        <v>0</v>
      </c>
      <c r="AK204" s="0" t="n">
        <f aca="false">U204-AC204</f>
        <v>0</v>
      </c>
      <c r="AL204" s="0" t="n">
        <f aca="false">V204-AD204</f>
        <v>0</v>
      </c>
      <c r="AM204" s="0" t="n">
        <f aca="false">W204-AE204</f>
        <v>0</v>
      </c>
      <c r="AN204" s="0" t="n">
        <f aca="false">X204-AF204</f>
        <v>0</v>
      </c>
      <c r="AO204" s="0" t="n">
        <f aca="false">Y204-AG204</f>
        <v>0</v>
      </c>
      <c r="AP204" s="0" t="n">
        <f aca="false">MAX(0,'Debt Payoff'!$D$17-SUM(Z204:AG204))</f>
        <v>805</v>
      </c>
      <c r="AQ204" s="0" t="n">
        <f aca="false">MIN(AH204,MAX(0,$AP204-SUMPRODUCT(($AH$1:$AO$1&lt;AH$1)*$AH204:$AO204)))</f>
        <v>0</v>
      </c>
      <c r="AR204" s="0" t="n">
        <f aca="false">MIN(AI204,MAX(0,$AP204-SUMPRODUCT(($AH$1:$AO$1&lt;AI$1)*$AH204:$AO204)))</f>
        <v>0</v>
      </c>
      <c r="AS204" s="0" t="n">
        <f aca="false">MIN(AJ204,MAX(0,$AP204-SUMPRODUCT(($AH$1:$AO$1&lt;AJ$1)*$AH204:$AO204)))</f>
        <v>0</v>
      </c>
      <c r="AT204" s="0" t="n">
        <f aca="false">MIN(AK204,MAX(0,$AP204-SUMPRODUCT(($AH$1:$AO$1&lt;AK$1)*$AH204:$AO204)))</f>
        <v>0</v>
      </c>
      <c r="AU204" s="0" t="n">
        <f aca="false">MIN(AL204,MAX(0,$AP204-SUMPRODUCT(($AH$1:$AO$1&lt;AL$1)*$AH204:$AO204)))</f>
        <v>0</v>
      </c>
      <c r="AV204" s="0" t="n">
        <f aca="false">MIN(AM204,MAX(0,$AP204-SUMPRODUCT(($AH$1:$AO$1&lt;AM$1)*$AH204:$AO204)))</f>
        <v>0</v>
      </c>
      <c r="AW204" s="0" t="n">
        <f aca="false">MIN(AN204,MAX(0,$AP204-SUMPRODUCT(($AH$1:$AO$1&lt;AN$1)*$AH204:$AO204)))</f>
        <v>0</v>
      </c>
      <c r="AX204" s="0" t="n">
        <f aca="false">MIN(AO204,MAX(0,$AP204-SUMPRODUCT(($AH$1:$AO$1&lt;AO$1)*$AH204:$AO204)))</f>
        <v>0</v>
      </c>
      <c r="AY204" s="0" t="n">
        <f aca="false">ROUND(AH204-AQ204,2)</f>
        <v>0</v>
      </c>
      <c r="AZ204" s="0" t="n">
        <f aca="false">ROUND(AI204-AR204,2)</f>
        <v>0</v>
      </c>
      <c r="BA204" s="0" t="n">
        <f aca="false">ROUND(AJ204-AS204,2)</f>
        <v>0</v>
      </c>
      <c r="BB204" s="0" t="n">
        <f aca="false">ROUND(AK204-AT204,2)</f>
        <v>0</v>
      </c>
      <c r="BC204" s="0" t="n">
        <f aca="false">ROUND(AL204-AU204,2)</f>
        <v>0</v>
      </c>
      <c r="BD204" s="0" t="n">
        <f aca="false">ROUND(AM204-AV204,2)</f>
        <v>0</v>
      </c>
      <c r="BE204" s="0" t="n">
        <f aca="false">ROUND(AN204-AW204,2)</f>
        <v>0</v>
      </c>
      <c r="BF204" s="0" t="n">
        <f aca="false">ROUND(AO204-AX204,2)</f>
        <v>0</v>
      </c>
      <c r="BG204" s="0" t="n">
        <f aca="false">SUM(AY204:BF204)</f>
        <v>0</v>
      </c>
    </row>
    <row r="205" customFormat="false" ht="15" hidden="false" customHeight="false" outlineLevel="0" collapsed="false">
      <c r="A205" s="0" t="n">
        <v>203</v>
      </c>
      <c r="B205" s="0" t="n">
        <f aca="false">AY204</f>
        <v>0</v>
      </c>
      <c r="C205" s="0" t="n">
        <f aca="false">AZ204</f>
        <v>0</v>
      </c>
      <c r="D205" s="0" t="n">
        <f aca="false">BA204</f>
        <v>0</v>
      </c>
      <c r="E205" s="0" t="n">
        <f aca="false">BB204</f>
        <v>0</v>
      </c>
      <c r="F205" s="0" t="n">
        <f aca="false">BC204</f>
        <v>0</v>
      </c>
      <c r="G205" s="0" t="n">
        <f aca="false">BD204</f>
        <v>0</v>
      </c>
      <c r="H205" s="0" t="n">
        <f aca="false">BE204</f>
        <v>0</v>
      </c>
      <c r="I205" s="0" t="n">
        <f aca="false">BF204</f>
        <v>0</v>
      </c>
      <c r="J205" s="0" t="n">
        <f aca="false">B205*N('Debt Payoff'!D9)/12</f>
        <v>0</v>
      </c>
      <c r="K205" s="0" t="n">
        <f aca="false">C205*N('Debt Payoff'!D10)/12</f>
        <v>0</v>
      </c>
      <c r="L205" s="0" t="n">
        <f aca="false">D205*N('Debt Payoff'!D11)/12</f>
        <v>0</v>
      </c>
      <c r="M205" s="0" t="n">
        <f aca="false">E205*N('Debt Payoff'!D12)/12</f>
        <v>0</v>
      </c>
      <c r="N205" s="0" t="n">
        <f aca="false">F205*N('Debt Payoff'!D13)/12</f>
        <v>0</v>
      </c>
      <c r="O205" s="0" t="n">
        <f aca="false">G205*N('Debt Payoff'!D14)/12</f>
        <v>0</v>
      </c>
      <c r="P205" s="0" t="n">
        <f aca="false">H205*N('Debt Payoff'!D15)/12</f>
        <v>0</v>
      </c>
      <c r="Q205" s="0" t="n">
        <f aca="false">I205*N('Debt Payoff'!D16)/12</f>
        <v>0</v>
      </c>
      <c r="R205" s="0" t="n">
        <f aca="false">B205+J205</f>
        <v>0</v>
      </c>
      <c r="S205" s="0" t="n">
        <f aca="false">C205+K205</f>
        <v>0</v>
      </c>
      <c r="T205" s="0" t="n">
        <f aca="false">D205+L205</f>
        <v>0</v>
      </c>
      <c r="U205" s="0" t="n">
        <f aca="false">E205+M205</f>
        <v>0</v>
      </c>
      <c r="V205" s="0" t="n">
        <f aca="false">F205+N205</f>
        <v>0</v>
      </c>
      <c r="W205" s="0" t="n">
        <f aca="false">G205+O205</f>
        <v>0</v>
      </c>
      <c r="X205" s="0" t="n">
        <f aca="false">H205+P205</f>
        <v>0</v>
      </c>
      <c r="Y205" s="0" t="n">
        <f aca="false">I205+Q205</f>
        <v>0</v>
      </c>
      <c r="Z205" s="0" t="n">
        <f aca="false">MIN(R205,N('Debt Payoff'!E9))</f>
        <v>0</v>
      </c>
      <c r="AA205" s="0" t="n">
        <f aca="false">MIN(S205,N('Debt Payoff'!E10))</f>
        <v>0</v>
      </c>
      <c r="AB205" s="0" t="n">
        <f aca="false">MIN(T205,N('Debt Payoff'!E11))</f>
        <v>0</v>
      </c>
      <c r="AC205" s="0" t="n">
        <f aca="false">MIN(U205,N('Debt Payoff'!E12))</f>
        <v>0</v>
      </c>
      <c r="AD205" s="0" t="n">
        <f aca="false">MIN(V205,N('Debt Payoff'!E13))</f>
        <v>0</v>
      </c>
      <c r="AE205" s="0" t="n">
        <f aca="false">MIN(W205,N('Debt Payoff'!E14))</f>
        <v>0</v>
      </c>
      <c r="AF205" s="0" t="n">
        <f aca="false">MIN(X205,N('Debt Payoff'!E15))</f>
        <v>0</v>
      </c>
      <c r="AG205" s="0" t="n">
        <f aca="false">MIN(Y205,N('Debt Payoff'!E16))</f>
        <v>0</v>
      </c>
      <c r="AH205" s="0" t="n">
        <f aca="false">R205-Z205</f>
        <v>0</v>
      </c>
      <c r="AI205" s="0" t="n">
        <f aca="false">S205-AA205</f>
        <v>0</v>
      </c>
      <c r="AJ205" s="0" t="n">
        <f aca="false">T205-AB205</f>
        <v>0</v>
      </c>
      <c r="AK205" s="0" t="n">
        <f aca="false">U205-AC205</f>
        <v>0</v>
      </c>
      <c r="AL205" s="0" t="n">
        <f aca="false">V205-AD205</f>
        <v>0</v>
      </c>
      <c r="AM205" s="0" t="n">
        <f aca="false">W205-AE205</f>
        <v>0</v>
      </c>
      <c r="AN205" s="0" t="n">
        <f aca="false">X205-AF205</f>
        <v>0</v>
      </c>
      <c r="AO205" s="0" t="n">
        <f aca="false">Y205-AG205</f>
        <v>0</v>
      </c>
      <c r="AP205" s="0" t="n">
        <f aca="false">MAX(0,'Debt Payoff'!$D$17-SUM(Z205:AG205))</f>
        <v>805</v>
      </c>
      <c r="AQ205" s="0" t="n">
        <f aca="false">MIN(AH205,MAX(0,$AP205-SUMPRODUCT(($AH$1:$AO$1&lt;AH$1)*$AH205:$AO205)))</f>
        <v>0</v>
      </c>
      <c r="AR205" s="0" t="n">
        <f aca="false">MIN(AI205,MAX(0,$AP205-SUMPRODUCT(($AH$1:$AO$1&lt;AI$1)*$AH205:$AO205)))</f>
        <v>0</v>
      </c>
      <c r="AS205" s="0" t="n">
        <f aca="false">MIN(AJ205,MAX(0,$AP205-SUMPRODUCT(($AH$1:$AO$1&lt;AJ$1)*$AH205:$AO205)))</f>
        <v>0</v>
      </c>
      <c r="AT205" s="0" t="n">
        <f aca="false">MIN(AK205,MAX(0,$AP205-SUMPRODUCT(($AH$1:$AO$1&lt;AK$1)*$AH205:$AO205)))</f>
        <v>0</v>
      </c>
      <c r="AU205" s="0" t="n">
        <f aca="false">MIN(AL205,MAX(0,$AP205-SUMPRODUCT(($AH$1:$AO$1&lt;AL$1)*$AH205:$AO205)))</f>
        <v>0</v>
      </c>
      <c r="AV205" s="0" t="n">
        <f aca="false">MIN(AM205,MAX(0,$AP205-SUMPRODUCT(($AH$1:$AO$1&lt;AM$1)*$AH205:$AO205)))</f>
        <v>0</v>
      </c>
      <c r="AW205" s="0" t="n">
        <f aca="false">MIN(AN205,MAX(0,$AP205-SUMPRODUCT(($AH$1:$AO$1&lt;AN$1)*$AH205:$AO205)))</f>
        <v>0</v>
      </c>
      <c r="AX205" s="0" t="n">
        <f aca="false">MIN(AO205,MAX(0,$AP205-SUMPRODUCT(($AH$1:$AO$1&lt;AO$1)*$AH205:$AO205)))</f>
        <v>0</v>
      </c>
      <c r="AY205" s="0" t="n">
        <f aca="false">ROUND(AH205-AQ205,2)</f>
        <v>0</v>
      </c>
      <c r="AZ205" s="0" t="n">
        <f aca="false">ROUND(AI205-AR205,2)</f>
        <v>0</v>
      </c>
      <c r="BA205" s="0" t="n">
        <f aca="false">ROUND(AJ205-AS205,2)</f>
        <v>0</v>
      </c>
      <c r="BB205" s="0" t="n">
        <f aca="false">ROUND(AK205-AT205,2)</f>
        <v>0</v>
      </c>
      <c r="BC205" s="0" t="n">
        <f aca="false">ROUND(AL205-AU205,2)</f>
        <v>0</v>
      </c>
      <c r="BD205" s="0" t="n">
        <f aca="false">ROUND(AM205-AV205,2)</f>
        <v>0</v>
      </c>
      <c r="BE205" s="0" t="n">
        <f aca="false">ROUND(AN205-AW205,2)</f>
        <v>0</v>
      </c>
      <c r="BF205" s="0" t="n">
        <f aca="false">ROUND(AO205-AX205,2)</f>
        <v>0</v>
      </c>
      <c r="BG205" s="0" t="n">
        <f aca="false">SUM(AY205:BF205)</f>
        <v>0</v>
      </c>
    </row>
    <row r="206" customFormat="false" ht="15" hidden="false" customHeight="false" outlineLevel="0" collapsed="false">
      <c r="A206" s="0" t="n">
        <v>204</v>
      </c>
      <c r="B206" s="0" t="n">
        <f aca="false">AY205</f>
        <v>0</v>
      </c>
      <c r="C206" s="0" t="n">
        <f aca="false">AZ205</f>
        <v>0</v>
      </c>
      <c r="D206" s="0" t="n">
        <f aca="false">BA205</f>
        <v>0</v>
      </c>
      <c r="E206" s="0" t="n">
        <f aca="false">BB205</f>
        <v>0</v>
      </c>
      <c r="F206" s="0" t="n">
        <f aca="false">BC205</f>
        <v>0</v>
      </c>
      <c r="G206" s="0" t="n">
        <f aca="false">BD205</f>
        <v>0</v>
      </c>
      <c r="H206" s="0" t="n">
        <f aca="false">BE205</f>
        <v>0</v>
      </c>
      <c r="I206" s="0" t="n">
        <f aca="false">BF205</f>
        <v>0</v>
      </c>
      <c r="J206" s="0" t="n">
        <f aca="false">B206*N('Debt Payoff'!D9)/12</f>
        <v>0</v>
      </c>
      <c r="K206" s="0" t="n">
        <f aca="false">C206*N('Debt Payoff'!D10)/12</f>
        <v>0</v>
      </c>
      <c r="L206" s="0" t="n">
        <f aca="false">D206*N('Debt Payoff'!D11)/12</f>
        <v>0</v>
      </c>
      <c r="M206" s="0" t="n">
        <f aca="false">E206*N('Debt Payoff'!D12)/12</f>
        <v>0</v>
      </c>
      <c r="N206" s="0" t="n">
        <f aca="false">F206*N('Debt Payoff'!D13)/12</f>
        <v>0</v>
      </c>
      <c r="O206" s="0" t="n">
        <f aca="false">G206*N('Debt Payoff'!D14)/12</f>
        <v>0</v>
      </c>
      <c r="P206" s="0" t="n">
        <f aca="false">H206*N('Debt Payoff'!D15)/12</f>
        <v>0</v>
      </c>
      <c r="Q206" s="0" t="n">
        <f aca="false">I206*N('Debt Payoff'!D16)/12</f>
        <v>0</v>
      </c>
      <c r="R206" s="0" t="n">
        <f aca="false">B206+J206</f>
        <v>0</v>
      </c>
      <c r="S206" s="0" t="n">
        <f aca="false">C206+K206</f>
        <v>0</v>
      </c>
      <c r="T206" s="0" t="n">
        <f aca="false">D206+L206</f>
        <v>0</v>
      </c>
      <c r="U206" s="0" t="n">
        <f aca="false">E206+M206</f>
        <v>0</v>
      </c>
      <c r="V206" s="0" t="n">
        <f aca="false">F206+N206</f>
        <v>0</v>
      </c>
      <c r="W206" s="0" t="n">
        <f aca="false">G206+O206</f>
        <v>0</v>
      </c>
      <c r="X206" s="0" t="n">
        <f aca="false">H206+P206</f>
        <v>0</v>
      </c>
      <c r="Y206" s="0" t="n">
        <f aca="false">I206+Q206</f>
        <v>0</v>
      </c>
      <c r="Z206" s="0" t="n">
        <f aca="false">MIN(R206,N('Debt Payoff'!E9))</f>
        <v>0</v>
      </c>
      <c r="AA206" s="0" t="n">
        <f aca="false">MIN(S206,N('Debt Payoff'!E10))</f>
        <v>0</v>
      </c>
      <c r="AB206" s="0" t="n">
        <f aca="false">MIN(T206,N('Debt Payoff'!E11))</f>
        <v>0</v>
      </c>
      <c r="AC206" s="0" t="n">
        <f aca="false">MIN(U206,N('Debt Payoff'!E12))</f>
        <v>0</v>
      </c>
      <c r="AD206" s="0" t="n">
        <f aca="false">MIN(V206,N('Debt Payoff'!E13))</f>
        <v>0</v>
      </c>
      <c r="AE206" s="0" t="n">
        <f aca="false">MIN(W206,N('Debt Payoff'!E14))</f>
        <v>0</v>
      </c>
      <c r="AF206" s="0" t="n">
        <f aca="false">MIN(X206,N('Debt Payoff'!E15))</f>
        <v>0</v>
      </c>
      <c r="AG206" s="0" t="n">
        <f aca="false">MIN(Y206,N('Debt Payoff'!E16))</f>
        <v>0</v>
      </c>
      <c r="AH206" s="0" t="n">
        <f aca="false">R206-Z206</f>
        <v>0</v>
      </c>
      <c r="AI206" s="0" t="n">
        <f aca="false">S206-AA206</f>
        <v>0</v>
      </c>
      <c r="AJ206" s="0" t="n">
        <f aca="false">T206-AB206</f>
        <v>0</v>
      </c>
      <c r="AK206" s="0" t="n">
        <f aca="false">U206-AC206</f>
        <v>0</v>
      </c>
      <c r="AL206" s="0" t="n">
        <f aca="false">V206-AD206</f>
        <v>0</v>
      </c>
      <c r="AM206" s="0" t="n">
        <f aca="false">W206-AE206</f>
        <v>0</v>
      </c>
      <c r="AN206" s="0" t="n">
        <f aca="false">X206-AF206</f>
        <v>0</v>
      </c>
      <c r="AO206" s="0" t="n">
        <f aca="false">Y206-AG206</f>
        <v>0</v>
      </c>
      <c r="AP206" s="0" t="n">
        <f aca="false">MAX(0,'Debt Payoff'!$D$17-SUM(Z206:AG206))</f>
        <v>805</v>
      </c>
      <c r="AQ206" s="0" t="n">
        <f aca="false">MIN(AH206,MAX(0,$AP206-SUMPRODUCT(($AH$1:$AO$1&lt;AH$1)*$AH206:$AO206)))</f>
        <v>0</v>
      </c>
      <c r="AR206" s="0" t="n">
        <f aca="false">MIN(AI206,MAX(0,$AP206-SUMPRODUCT(($AH$1:$AO$1&lt;AI$1)*$AH206:$AO206)))</f>
        <v>0</v>
      </c>
      <c r="AS206" s="0" t="n">
        <f aca="false">MIN(AJ206,MAX(0,$AP206-SUMPRODUCT(($AH$1:$AO$1&lt;AJ$1)*$AH206:$AO206)))</f>
        <v>0</v>
      </c>
      <c r="AT206" s="0" t="n">
        <f aca="false">MIN(AK206,MAX(0,$AP206-SUMPRODUCT(($AH$1:$AO$1&lt;AK$1)*$AH206:$AO206)))</f>
        <v>0</v>
      </c>
      <c r="AU206" s="0" t="n">
        <f aca="false">MIN(AL206,MAX(0,$AP206-SUMPRODUCT(($AH$1:$AO$1&lt;AL$1)*$AH206:$AO206)))</f>
        <v>0</v>
      </c>
      <c r="AV206" s="0" t="n">
        <f aca="false">MIN(AM206,MAX(0,$AP206-SUMPRODUCT(($AH$1:$AO$1&lt;AM$1)*$AH206:$AO206)))</f>
        <v>0</v>
      </c>
      <c r="AW206" s="0" t="n">
        <f aca="false">MIN(AN206,MAX(0,$AP206-SUMPRODUCT(($AH$1:$AO$1&lt;AN$1)*$AH206:$AO206)))</f>
        <v>0</v>
      </c>
      <c r="AX206" s="0" t="n">
        <f aca="false">MIN(AO206,MAX(0,$AP206-SUMPRODUCT(($AH$1:$AO$1&lt;AO$1)*$AH206:$AO206)))</f>
        <v>0</v>
      </c>
      <c r="AY206" s="0" t="n">
        <f aca="false">ROUND(AH206-AQ206,2)</f>
        <v>0</v>
      </c>
      <c r="AZ206" s="0" t="n">
        <f aca="false">ROUND(AI206-AR206,2)</f>
        <v>0</v>
      </c>
      <c r="BA206" s="0" t="n">
        <f aca="false">ROUND(AJ206-AS206,2)</f>
        <v>0</v>
      </c>
      <c r="BB206" s="0" t="n">
        <f aca="false">ROUND(AK206-AT206,2)</f>
        <v>0</v>
      </c>
      <c r="BC206" s="0" t="n">
        <f aca="false">ROUND(AL206-AU206,2)</f>
        <v>0</v>
      </c>
      <c r="BD206" s="0" t="n">
        <f aca="false">ROUND(AM206-AV206,2)</f>
        <v>0</v>
      </c>
      <c r="BE206" s="0" t="n">
        <f aca="false">ROUND(AN206-AW206,2)</f>
        <v>0</v>
      </c>
      <c r="BF206" s="0" t="n">
        <f aca="false">ROUND(AO206-AX206,2)</f>
        <v>0</v>
      </c>
      <c r="BG206" s="0" t="n">
        <f aca="false">SUM(AY206:BF206)</f>
        <v>0</v>
      </c>
    </row>
    <row r="207" customFormat="false" ht="15" hidden="false" customHeight="false" outlineLevel="0" collapsed="false">
      <c r="A207" s="0" t="n">
        <v>205</v>
      </c>
      <c r="B207" s="0" t="n">
        <f aca="false">AY206</f>
        <v>0</v>
      </c>
      <c r="C207" s="0" t="n">
        <f aca="false">AZ206</f>
        <v>0</v>
      </c>
      <c r="D207" s="0" t="n">
        <f aca="false">BA206</f>
        <v>0</v>
      </c>
      <c r="E207" s="0" t="n">
        <f aca="false">BB206</f>
        <v>0</v>
      </c>
      <c r="F207" s="0" t="n">
        <f aca="false">BC206</f>
        <v>0</v>
      </c>
      <c r="G207" s="0" t="n">
        <f aca="false">BD206</f>
        <v>0</v>
      </c>
      <c r="H207" s="0" t="n">
        <f aca="false">BE206</f>
        <v>0</v>
      </c>
      <c r="I207" s="0" t="n">
        <f aca="false">BF206</f>
        <v>0</v>
      </c>
      <c r="J207" s="0" t="n">
        <f aca="false">B207*N('Debt Payoff'!D9)/12</f>
        <v>0</v>
      </c>
      <c r="K207" s="0" t="n">
        <f aca="false">C207*N('Debt Payoff'!D10)/12</f>
        <v>0</v>
      </c>
      <c r="L207" s="0" t="n">
        <f aca="false">D207*N('Debt Payoff'!D11)/12</f>
        <v>0</v>
      </c>
      <c r="M207" s="0" t="n">
        <f aca="false">E207*N('Debt Payoff'!D12)/12</f>
        <v>0</v>
      </c>
      <c r="N207" s="0" t="n">
        <f aca="false">F207*N('Debt Payoff'!D13)/12</f>
        <v>0</v>
      </c>
      <c r="O207" s="0" t="n">
        <f aca="false">G207*N('Debt Payoff'!D14)/12</f>
        <v>0</v>
      </c>
      <c r="P207" s="0" t="n">
        <f aca="false">H207*N('Debt Payoff'!D15)/12</f>
        <v>0</v>
      </c>
      <c r="Q207" s="0" t="n">
        <f aca="false">I207*N('Debt Payoff'!D16)/12</f>
        <v>0</v>
      </c>
      <c r="R207" s="0" t="n">
        <f aca="false">B207+J207</f>
        <v>0</v>
      </c>
      <c r="S207" s="0" t="n">
        <f aca="false">C207+K207</f>
        <v>0</v>
      </c>
      <c r="T207" s="0" t="n">
        <f aca="false">D207+L207</f>
        <v>0</v>
      </c>
      <c r="U207" s="0" t="n">
        <f aca="false">E207+M207</f>
        <v>0</v>
      </c>
      <c r="V207" s="0" t="n">
        <f aca="false">F207+N207</f>
        <v>0</v>
      </c>
      <c r="W207" s="0" t="n">
        <f aca="false">G207+O207</f>
        <v>0</v>
      </c>
      <c r="X207" s="0" t="n">
        <f aca="false">H207+P207</f>
        <v>0</v>
      </c>
      <c r="Y207" s="0" t="n">
        <f aca="false">I207+Q207</f>
        <v>0</v>
      </c>
      <c r="Z207" s="0" t="n">
        <f aca="false">MIN(R207,N('Debt Payoff'!E9))</f>
        <v>0</v>
      </c>
      <c r="AA207" s="0" t="n">
        <f aca="false">MIN(S207,N('Debt Payoff'!E10))</f>
        <v>0</v>
      </c>
      <c r="AB207" s="0" t="n">
        <f aca="false">MIN(T207,N('Debt Payoff'!E11))</f>
        <v>0</v>
      </c>
      <c r="AC207" s="0" t="n">
        <f aca="false">MIN(U207,N('Debt Payoff'!E12))</f>
        <v>0</v>
      </c>
      <c r="AD207" s="0" t="n">
        <f aca="false">MIN(V207,N('Debt Payoff'!E13))</f>
        <v>0</v>
      </c>
      <c r="AE207" s="0" t="n">
        <f aca="false">MIN(W207,N('Debt Payoff'!E14))</f>
        <v>0</v>
      </c>
      <c r="AF207" s="0" t="n">
        <f aca="false">MIN(X207,N('Debt Payoff'!E15))</f>
        <v>0</v>
      </c>
      <c r="AG207" s="0" t="n">
        <f aca="false">MIN(Y207,N('Debt Payoff'!E16))</f>
        <v>0</v>
      </c>
      <c r="AH207" s="0" t="n">
        <f aca="false">R207-Z207</f>
        <v>0</v>
      </c>
      <c r="AI207" s="0" t="n">
        <f aca="false">S207-AA207</f>
        <v>0</v>
      </c>
      <c r="AJ207" s="0" t="n">
        <f aca="false">T207-AB207</f>
        <v>0</v>
      </c>
      <c r="AK207" s="0" t="n">
        <f aca="false">U207-AC207</f>
        <v>0</v>
      </c>
      <c r="AL207" s="0" t="n">
        <f aca="false">V207-AD207</f>
        <v>0</v>
      </c>
      <c r="AM207" s="0" t="n">
        <f aca="false">W207-AE207</f>
        <v>0</v>
      </c>
      <c r="AN207" s="0" t="n">
        <f aca="false">X207-AF207</f>
        <v>0</v>
      </c>
      <c r="AO207" s="0" t="n">
        <f aca="false">Y207-AG207</f>
        <v>0</v>
      </c>
      <c r="AP207" s="0" t="n">
        <f aca="false">MAX(0,'Debt Payoff'!$D$17-SUM(Z207:AG207))</f>
        <v>805</v>
      </c>
      <c r="AQ207" s="0" t="n">
        <f aca="false">MIN(AH207,MAX(0,$AP207-SUMPRODUCT(($AH$1:$AO$1&lt;AH$1)*$AH207:$AO207)))</f>
        <v>0</v>
      </c>
      <c r="AR207" s="0" t="n">
        <f aca="false">MIN(AI207,MAX(0,$AP207-SUMPRODUCT(($AH$1:$AO$1&lt;AI$1)*$AH207:$AO207)))</f>
        <v>0</v>
      </c>
      <c r="AS207" s="0" t="n">
        <f aca="false">MIN(AJ207,MAX(0,$AP207-SUMPRODUCT(($AH$1:$AO$1&lt;AJ$1)*$AH207:$AO207)))</f>
        <v>0</v>
      </c>
      <c r="AT207" s="0" t="n">
        <f aca="false">MIN(AK207,MAX(0,$AP207-SUMPRODUCT(($AH$1:$AO$1&lt;AK$1)*$AH207:$AO207)))</f>
        <v>0</v>
      </c>
      <c r="AU207" s="0" t="n">
        <f aca="false">MIN(AL207,MAX(0,$AP207-SUMPRODUCT(($AH$1:$AO$1&lt;AL$1)*$AH207:$AO207)))</f>
        <v>0</v>
      </c>
      <c r="AV207" s="0" t="n">
        <f aca="false">MIN(AM207,MAX(0,$AP207-SUMPRODUCT(($AH$1:$AO$1&lt;AM$1)*$AH207:$AO207)))</f>
        <v>0</v>
      </c>
      <c r="AW207" s="0" t="n">
        <f aca="false">MIN(AN207,MAX(0,$AP207-SUMPRODUCT(($AH$1:$AO$1&lt;AN$1)*$AH207:$AO207)))</f>
        <v>0</v>
      </c>
      <c r="AX207" s="0" t="n">
        <f aca="false">MIN(AO207,MAX(0,$AP207-SUMPRODUCT(($AH$1:$AO$1&lt;AO$1)*$AH207:$AO207)))</f>
        <v>0</v>
      </c>
      <c r="AY207" s="0" t="n">
        <f aca="false">ROUND(AH207-AQ207,2)</f>
        <v>0</v>
      </c>
      <c r="AZ207" s="0" t="n">
        <f aca="false">ROUND(AI207-AR207,2)</f>
        <v>0</v>
      </c>
      <c r="BA207" s="0" t="n">
        <f aca="false">ROUND(AJ207-AS207,2)</f>
        <v>0</v>
      </c>
      <c r="BB207" s="0" t="n">
        <f aca="false">ROUND(AK207-AT207,2)</f>
        <v>0</v>
      </c>
      <c r="BC207" s="0" t="n">
        <f aca="false">ROUND(AL207-AU207,2)</f>
        <v>0</v>
      </c>
      <c r="BD207" s="0" t="n">
        <f aca="false">ROUND(AM207-AV207,2)</f>
        <v>0</v>
      </c>
      <c r="BE207" s="0" t="n">
        <f aca="false">ROUND(AN207-AW207,2)</f>
        <v>0</v>
      </c>
      <c r="BF207" s="0" t="n">
        <f aca="false">ROUND(AO207-AX207,2)</f>
        <v>0</v>
      </c>
      <c r="BG207" s="0" t="n">
        <f aca="false">SUM(AY207:BF207)</f>
        <v>0</v>
      </c>
    </row>
    <row r="208" customFormat="false" ht="15" hidden="false" customHeight="false" outlineLevel="0" collapsed="false">
      <c r="A208" s="0" t="n">
        <v>206</v>
      </c>
      <c r="B208" s="0" t="n">
        <f aca="false">AY207</f>
        <v>0</v>
      </c>
      <c r="C208" s="0" t="n">
        <f aca="false">AZ207</f>
        <v>0</v>
      </c>
      <c r="D208" s="0" t="n">
        <f aca="false">BA207</f>
        <v>0</v>
      </c>
      <c r="E208" s="0" t="n">
        <f aca="false">BB207</f>
        <v>0</v>
      </c>
      <c r="F208" s="0" t="n">
        <f aca="false">BC207</f>
        <v>0</v>
      </c>
      <c r="G208" s="0" t="n">
        <f aca="false">BD207</f>
        <v>0</v>
      </c>
      <c r="H208" s="0" t="n">
        <f aca="false">BE207</f>
        <v>0</v>
      </c>
      <c r="I208" s="0" t="n">
        <f aca="false">BF207</f>
        <v>0</v>
      </c>
      <c r="J208" s="0" t="n">
        <f aca="false">B208*N('Debt Payoff'!D9)/12</f>
        <v>0</v>
      </c>
      <c r="K208" s="0" t="n">
        <f aca="false">C208*N('Debt Payoff'!D10)/12</f>
        <v>0</v>
      </c>
      <c r="L208" s="0" t="n">
        <f aca="false">D208*N('Debt Payoff'!D11)/12</f>
        <v>0</v>
      </c>
      <c r="M208" s="0" t="n">
        <f aca="false">E208*N('Debt Payoff'!D12)/12</f>
        <v>0</v>
      </c>
      <c r="N208" s="0" t="n">
        <f aca="false">F208*N('Debt Payoff'!D13)/12</f>
        <v>0</v>
      </c>
      <c r="O208" s="0" t="n">
        <f aca="false">G208*N('Debt Payoff'!D14)/12</f>
        <v>0</v>
      </c>
      <c r="P208" s="0" t="n">
        <f aca="false">H208*N('Debt Payoff'!D15)/12</f>
        <v>0</v>
      </c>
      <c r="Q208" s="0" t="n">
        <f aca="false">I208*N('Debt Payoff'!D16)/12</f>
        <v>0</v>
      </c>
      <c r="R208" s="0" t="n">
        <f aca="false">B208+J208</f>
        <v>0</v>
      </c>
      <c r="S208" s="0" t="n">
        <f aca="false">C208+K208</f>
        <v>0</v>
      </c>
      <c r="T208" s="0" t="n">
        <f aca="false">D208+L208</f>
        <v>0</v>
      </c>
      <c r="U208" s="0" t="n">
        <f aca="false">E208+M208</f>
        <v>0</v>
      </c>
      <c r="V208" s="0" t="n">
        <f aca="false">F208+N208</f>
        <v>0</v>
      </c>
      <c r="W208" s="0" t="n">
        <f aca="false">G208+O208</f>
        <v>0</v>
      </c>
      <c r="X208" s="0" t="n">
        <f aca="false">H208+P208</f>
        <v>0</v>
      </c>
      <c r="Y208" s="0" t="n">
        <f aca="false">I208+Q208</f>
        <v>0</v>
      </c>
      <c r="Z208" s="0" t="n">
        <f aca="false">MIN(R208,N('Debt Payoff'!E9))</f>
        <v>0</v>
      </c>
      <c r="AA208" s="0" t="n">
        <f aca="false">MIN(S208,N('Debt Payoff'!E10))</f>
        <v>0</v>
      </c>
      <c r="AB208" s="0" t="n">
        <f aca="false">MIN(T208,N('Debt Payoff'!E11))</f>
        <v>0</v>
      </c>
      <c r="AC208" s="0" t="n">
        <f aca="false">MIN(U208,N('Debt Payoff'!E12))</f>
        <v>0</v>
      </c>
      <c r="AD208" s="0" t="n">
        <f aca="false">MIN(V208,N('Debt Payoff'!E13))</f>
        <v>0</v>
      </c>
      <c r="AE208" s="0" t="n">
        <f aca="false">MIN(W208,N('Debt Payoff'!E14))</f>
        <v>0</v>
      </c>
      <c r="AF208" s="0" t="n">
        <f aca="false">MIN(X208,N('Debt Payoff'!E15))</f>
        <v>0</v>
      </c>
      <c r="AG208" s="0" t="n">
        <f aca="false">MIN(Y208,N('Debt Payoff'!E16))</f>
        <v>0</v>
      </c>
      <c r="AH208" s="0" t="n">
        <f aca="false">R208-Z208</f>
        <v>0</v>
      </c>
      <c r="AI208" s="0" t="n">
        <f aca="false">S208-AA208</f>
        <v>0</v>
      </c>
      <c r="AJ208" s="0" t="n">
        <f aca="false">T208-AB208</f>
        <v>0</v>
      </c>
      <c r="AK208" s="0" t="n">
        <f aca="false">U208-AC208</f>
        <v>0</v>
      </c>
      <c r="AL208" s="0" t="n">
        <f aca="false">V208-AD208</f>
        <v>0</v>
      </c>
      <c r="AM208" s="0" t="n">
        <f aca="false">W208-AE208</f>
        <v>0</v>
      </c>
      <c r="AN208" s="0" t="n">
        <f aca="false">X208-AF208</f>
        <v>0</v>
      </c>
      <c r="AO208" s="0" t="n">
        <f aca="false">Y208-AG208</f>
        <v>0</v>
      </c>
      <c r="AP208" s="0" t="n">
        <f aca="false">MAX(0,'Debt Payoff'!$D$17-SUM(Z208:AG208))</f>
        <v>805</v>
      </c>
      <c r="AQ208" s="0" t="n">
        <f aca="false">MIN(AH208,MAX(0,$AP208-SUMPRODUCT(($AH$1:$AO$1&lt;AH$1)*$AH208:$AO208)))</f>
        <v>0</v>
      </c>
      <c r="AR208" s="0" t="n">
        <f aca="false">MIN(AI208,MAX(0,$AP208-SUMPRODUCT(($AH$1:$AO$1&lt;AI$1)*$AH208:$AO208)))</f>
        <v>0</v>
      </c>
      <c r="AS208" s="0" t="n">
        <f aca="false">MIN(AJ208,MAX(0,$AP208-SUMPRODUCT(($AH$1:$AO$1&lt;AJ$1)*$AH208:$AO208)))</f>
        <v>0</v>
      </c>
      <c r="AT208" s="0" t="n">
        <f aca="false">MIN(AK208,MAX(0,$AP208-SUMPRODUCT(($AH$1:$AO$1&lt;AK$1)*$AH208:$AO208)))</f>
        <v>0</v>
      </c>
      <c r="AU208" s="0" t="n">
        <f aca="false">MIN(AL208,MAX(0,$AP208-SUMPRODUCT(($AH$1:$AO$1&lt;AL$1)*$AH208:$AO208)))</f>
        <v>0</v>
      </c>
      <c r="AV208" s="0" t="n">
        <f aca="false">MIN(AM208,MAX(0,$AP208-SUMPRODUCT(($AH$1:$AO$1&lt;AM$1)*$AH208:$AO208)))</f>
        <v>0</v>
      </c>
      <c r="AW208" s="0" t="n">
        <f aca="false">MIN(AN208,MAX(0,$AP208-SUMPRODUCT(($AH$1:$AO$1&lt;AN$1)*$AH208:$AO208)))</f>
        <v>0</v>
      </c>
      <c r="AX208" s="0" t="n">
        <f aca="false">MIN(AO208,MAX(0,$AP208-SUMPRODUCT(($AH$1:$AO$1&lt;AO$1)*$AH208:$AO208)))</f>
        <v>0</v>
      </c>
      <c r="AY208" s="0" t="n">
        <f aca="false">ROUND(AH208-AQ208,2)</f>
        <v>0</v>
      </c>
      <c r="AZ208" s="0" t="n">
        <f aca="false">ROUND(AI208-AR208,2)</f>
        <v>0</v>
      </c>
      <c r="BA208" s="0" t="n">
        <f aca="false">ROUND(AJ208-AS208,2)</f>
        <v>0</v>
      </c>
      <c r="BB208" s="0" t="n">
        <f aca="false">ROUND(AK208-AT208,2)</f>
        <v>0</v>
      </c>
      <c r="BC208" s="0" t="n">
        <f aca="false">ROUND(AL208-AU208,2)</f>
        <v>0</v>
      </c>
      <c r="BD208" s="0" t="n">
        <f aca="false">ROUND(AM208-AV208,2)</f>
        <v>0</v>
      </c>
      <c r="BE208" s="0" t="n">
        <f aca="false">ROUND(AN208-AW208,2)</f>
        <v>0</v>
      </c>
      <c r="BF208" s="0" t="n">
        <f aca="false">ROUND(AO208-AX208,2)</f>
        <v>0</v>
      </c>
      <c r="BG208" s="0" t="n">
        <f aca="false">SUM(AY208:BF208)</f>
        <v>0</v>
      </c>
    </row>
    <row r="209" customFormat="false" ht="15" hidden="false" customHeight="false" outlineLevel="0" collapsed="false">
      <c r="A209" s="0" t="n">
        <v>207</v>
      </c>
      <c r="B209" s="0" t="n">
        <f aca="false">AY208</f>
        <v>0</v>
      </c>
      <c r="C209" s="0" t="n">
        <f aca="false">AZ208</f>
        <v>0</v>
      </c>
      <c r="D209" s="0" t="n">
        <f aca="false">BA208</f>
        <v>0</v>
      </c>
      <c r="E209" s="0" t="n">
        <f aca="false">BB208</f>
        <v>0</v>
      </c>
      <c r="F209" s="0" t="n">
        <f aca="false">BC208</f>
        <v>0</v>
      </c>
      <c r="G209" s="0" t="n">
        <f aca="false">BD208</f>
        <v>0</v>
      </c>
      <c r="H209" s="0" t="n">
        <f aca="false">BE208</f>
        <v>0</v>
      </c>
      <c r="I209" s="0" t="n">
        <f aca="false">BF208</f>
        <v>0</v>
      </c>
      <c r="J209" s="0" t="n">
        <f aca="false">B209*N('Debt Payoff'!D9)/12</f>
        <v>0</v>
      </c>
      <c r="K209" s="0" t="n">
        <f aca="false">C209*N('Debt Payoff'!D10)/12</f>
        <v>0</v>
      </c>
      <c r="L209" s="0" t="n">
        <f aca="false">D209*N('Debt Payoff'!D11)/12</f>
        <v>0</v>
      </c>
      <c r="M209" s="0" t="n">
        <f aca="false">E209*N('Debt Payoff'!D12)/12</f>
        <v>0</v>
      </c>
      <c r="N209" s="0" t="n">
        <f aca="false">F209*N('Debt Payoff'!D13)/12</f>
        <v>0</v>
      </c>
      <c r="O209" s="0" t="n">
        <f aca="false">G209*N('Debt Payoff'!D14)/12</f>
        <v>0</v>
      </c>
      <c r="P209" s="0" t="n">
        <f aca="false">H209*N('Debt Payoff'!D15)/12</f>
        <v>0</v>
      </c>
      <c r="Q209" s="0" t="n">
        <f aca="false">I209*N('Debt Payoff'!D16)/12</f>
        <v>0</v>
      </c>
      <c r="R209" s="0" t="n">
        <f aca="false">B209+J209</f>
        <v>0</v>
      </c>
      <c r="S209" s="0" t="n">
        <f aca="false">C209+K209</f>
        <v>0</v>
      </c>
      <c r="T209" s="0" t="n">
        <f aca="false">D209+L209</f>
        <v>0</v>
      </c>
      <c r="U209" s="0" t="n">
        <f aca="false">E209+M209</f>
        <v>0</v>
      </c>
      <c r="V209" s="0" t="n">
        <f aca="false">F209+N209</f>
        <v>0</v>
      </c>
      <c r="W209" s="0" t="n">
        <f aca="false">G209+O209</f>
        <v>0</v>
      </c>
      <c r="X209" s="0" t="n">
        <f aca="false">H209+P209</f>
        <v>0</v>
      </c>
      <c r="Y209" s="0" t="n">
        <f aca="false">I209+Q209</f>
        <v>0</v>
      </c>
      <c r="Z209" s="0" t="n">
        <f aca="false">MIN(R209,N('Debt Payoff'!E9))</f>
        <v>0</v>
      </c>
      <c r="AA209" s="0" t="n">
        <f aca="false">MIN(S209,N('Debt Payoff'!E10))</f>
        <v>0</v>
      </c>
      <c r="AB209" s="0" t="n">
        <f aca="false">MIN(T209,N('Debt Payoff'!E11))</f>
        <v>0</v>
      </c>
      <c r="AC209" s="0" t="n">
        <f aca="false">MIN(U209,N('Debt Payoff'!E12))</f>
        <v>0</v>
      </c>
      <c r="AD209" s="0" t="n">
        <f aca="false">MIN(V209,N('Debt Payoff'!E13))</f>
        <v>0</v>
      </c>
      <c r="AE209" s="0" t="n">
        <f aca="false">MIN(W209,N('Debt Payoff'!E14))</f>
        <v>0</v>
      </c>
      <c r="AF209" s="0" t="n">
        <f aca="false">MIN(X209,N('Debt Payoff'!E15))</f>
        <v>0</v>
      </c>
      <c r="AG209" s="0" t="n">
        <f aca="false">MIN(Y209,N('Debt Payoff'!E16))</f>
        <v>0</v>
      </c>
      <c r="AH209" s="0" t="n">
        <f aca="false">R209-Z209</f>
        <v>0</v>
      </c>
      <c r="AI209" s="0" t="n">
        <f aca="false">S209-AA209</f>
        <v>0</v>
      </c>
      <c r="AJ209" s="0" t="n">
        <f aca="false">T209-AB209</f>
        <v>0</v>
      </c>
      <c r="AK209" s="0" t="n">
        <f aca="false">U209-AC209</f>
        <v>0</v>
      </c>
      <c r="AL209" s="0" t="n">
        <f aca="false">V209-AD209</f>
        <v>0</v>
      </c>
      <c r="AM209" s="0" t="n">
        <f aca="false">W209-AE209</f>
        <v>0</v>
      </c>
      <c r="AN209" s="0" t="n">
        <f aca="false">X209-AF209</f>
        <v>0</v>
      </c>
      <c r="AO209" s="0" t="n">
        <f aca="false">Y209-AG209</f>
        <v>0</v>
      </c>
      <c r="AP209" s="0" t="n">
        <f aca="false">MAX(0,'Debt Payoff'!$D$17-SUM(Z209:AG209))</f>
        <v>805</v>
      </c>
      <c r="AQ209" s="0" t="n">
        <f aca="false">MIN(AH209,MAX(0,$AP209-SUMPRODUCT(($AH$1:$AO$1&lt;AH$1)*$AH209:$AO209)))</f>
        <v>0</v>
      </c>
      <c r="AR209" s="0" t="n">
        <f aca="false">MIN(AI209,MAX(0,$AP209-SUMPRODUCT(($AH$1:$AO$1&lt;AI$1)*$AH209:$AO209)))</f>
        <v>0</v>
      </c>
      <c r="AS209" s="0" t="n">
        <f aca="false">MIN(AJ209,MAX(0,$AP209-SUMPRODUCT(($AH$1:$AO$1&lt;AJ$1)*$AH209:$AO209)))</f>
        <v>0</v>
      </c>
      <c r="AT209" s="0" t="n">
        <f aca="false">MIN(AK209,MAX(0,$AP209-SUMPRODUCT(($AH$1:$AO$1&lt;AK$1)*$AH209:$AO209)))</f>
        <v>0</v>
      </c>
      <c r="AU209" s="0" t="n">
        <f aca="false">MIN(AL209,MAX(0,$AP209-SUMPRODUCT(($AH$1:$AO$1&lt;AL$1)*$AH209:$AO209)))</f>
        <v>0</v>
      </c>
      <c r="AV209" s="0" t="n">
        <f aca="false">MIN(AM209,MAX(0,$AP209-SUMPRODUCT(($AH$1:$AO$1&lt;AM$1)*$AH209:$AO209)))</f>
        <v>0</v>
      </c>
      <c r="AW209" s="0" t="n">
        <f aca="false">MIN(AN209,MAX(0,$AP209-SUMPRODUCT(($AH$1:$AO$1&lt;AN$1)*$AH209:$AO209)))</f>
        <v>0</v>
      </c>
      <c r="AX209" s="0" t="n">
        <f aca="false">MIN(AO209,MAX(0,$AP209-SUMPRODUCT(($AH$1:$AO$1&lt;AO$1)*$AH209:$AO209)))</f>
        <v>0</v>
      </c>
      <c r="AY209" s="0" t="n">
        <f aca="false">ROUND(AH209-AQ209,2)</f>
        <v>0</v>
      </c>
      <c r="AZ209" s="0" t="n">
        <f aca="false">ROUND(AI209-AR209,2)</f>
        <v>0</v>
      </c>
      <c r="BA209" s="0" t="n">
        <f aca="false">ROUND(AJ209-AS209,2)</f>
        <v>0</v>
      </c>
      <c r="BB209" s="0" t="n">
        <f aca="false">ROUND(AK209-AT209,2)</f>
        <v>0</v>
      </c>
      <c r="BC209" s="0" t="n">
        <f aca="false">ROUND(AL209-AU209,2)</f>
        <v>0</v>
      </c>
      <c r="BD209" s="0" t="n">
        <f aca="false">ROUND(AM209-AV209,2)</f>
        <v>0</v>
      </c>
      <c r="BE209" s="0" t="n">
        <f aca="false">ROUND(AN209-AW209,2)</f>
        <v>0</v>
      </c>
      <c r="BF209" s="0" t="n">
        <f aca="false">ROUND(AO209-AX209,2)</f>
        <v>0</v>
      </c>
      <c r="BG209" s="0" t="n">
        <f aca="false">SUM(AY209:BF209)</f>
        <v>0</v>
      </c>
    </row>
    <row r="210" customFormat="false" ht="15" hidden="false" customHeight="false" outlineLevel="0" collapsed="false">
      <c r="A210" s="0" t="n">
        <v>208</v>
      </c>
      <c r="B210" s="0" t="n">
        <f aca="false">AY209</f>
        <v>0</v>
      </c>
      <c r="C210" s="0" t="n">
        <f aca="false">AZ209</f>
        <v>0</v>
      </c>
      <c r="D210" s="0" t="n">
        <f aca="false">BA209</f>
        <v>0</v>
      </c>
      <c r="E210" s="0" t="n">
        <f aca="false">BB209</f>
        <v>0</v>
      </c>
      <c r="F210" s="0" t="n">
        <f aca="false">BC209</f>
        <v>0</v>
      </c>
      <c r="G210" s="0" t="n">
        <f aca="false">BD209</f>
        <v>0</v>
      </c>
      <c r="H210" s="0" t="n">
        <f aca="false">BE209</f>
        <v>0</v>
      </c>
      <c r="I210" s="0" t="n">
        <f aca="false">BF209</f>
        <v>0</v>
      </c>
      <c r="J210" s="0" t="n">
        <f aca="false">B210*N('Debt Payoff'!D9)/12</f>
        <v>0</v>
      </c>
      <c r="K210" s="0" t="n">
        <f aca="false">C210*N('Debt Payoff'!D10)/12</f>
        <v>0</v>
      </c>
      <c r="L210" s="0" t="n">
        <f aca="false">D210*N('Debt Payoff'!D11)/12</f>
        <v>0</v>
      </c>
      <c r="M210" s="0" t="n">
        <f aca="false">E210*N('Debt Payoff'!D12)/12</f>
        <v>0</v>
      </c>
      <c r="N210" s="0" t="n">
        <f aca="false">F210*N('Debt Payoff'!D13)/12</f>
        <v>0</v>
      </c>
      <c r="O210" s="0" t="n">
        <f aca="false">G210*N('Debt Payoff'!D14)/12</f>
        <v>0</v>
      </c>
      <c r="P210" s="0" t="n">
        <f aca="false">H210*N('Debt Payoff'!D15)/12</f>
        <v>0</v>
      </c>
      <c r="Q210" s="0" t="n">
        <f aca="false">I210*N('Debt Payoff'!D16)/12</f>
        <v>0</v>
      </c>
      <c r="R210" s="0" t="n">
        <f aca="false">B210+J210</f>
        <v>0</v>
      </c>
      <c r="S210" s="0" t="n">
        <f aca="false">C210+K210</f>
        <v>0</v>
      </c>
      <c r="T210" s="0" t="n">
        <f aca="false">D210+L210</f>
        <v>0</v>
      </c>
      <c r="U210" s="0" t="n">
        <f aca="false">E210+M210</f>
        <v>0</v>
      </c>
      <c r="V210" s="0" t="n">
        <f aca="false">F210+N210</f>
        <v>0</v>
      </c>
      <c r="W210" s="0" t="n">
        <f aca="false">G210+O210</f>
        <v>0</v>
      </c>
      <c r="X210" s="0" t="n">
        <f aca="false">H210+P210</f>
        <v>0</v>
      </c>
      <c r="Y210" s="0" t="n">
        <f aca="false">I210+Q210</f>
        <v>0</v>
      </c>
      <c r="Z210" s="0" t="n">
        <f aca="false">MIN(R210,N('Debt Payoff'!E9))</f>
        <v>0</v>
      </c>
      <c r="AA210" s="0" t="n">
        <f aca="false">MIN(S210,N('Debt Payoff'!E10))</f>
        <v>0</v>
      </c>
      <c r="AB210" s="0" t="n">
        <f aca="false">MIN(T210,N('Debt Payoff'!E11))</f>
        <v>0</v>
      </c>
      <c r="AC210" s="0" t="n">
        <f aca="false">MIN(U210,N('Debt Payoff'!E12))</f>
        <v>0</v>
      </c>
      <c r="AD210" s="0" t="n">
        <f aca="false">MIN(V210,N('Debt Payoff'!E13))</f>
        <v>0</v>
      </c>
      <c r="AE210" s="0" t="n">
        <f aca="false">MIN(W210,N('Debt Payoff'!E14))</f>
        <v>0</v>
      </c>
      <c r="AF210" s="0" t="n">
        <f aca="false">MIN(X210,N('Debt Payoff'!E15))</f>
        <v>0</v>
      </c>
      <c r="AG210" s="0" t="n">
        <f aca="false">MIN(Y210,N('Debt Payoff'!E16))</f>
        <v>0</v>
      </c>
      <c r="AH210" s="0" t="n">
        <f aca="false">R210-Z210</f>
        <v>0</v>
      </c>
      <c r="AI210" s="0" t="n">
        <f aca="false">S210-AA210</f>
        <v>0</v>
      </c>
      <c r="AJ210" s="0" t="n">
        <f aca="false">T210-AB210</f>
        <v>0</v>
      </c>
      <c r="AK210" s="0" t="n">
        <f aca="false">U210-AC210</f>
        <v>0</v>
      </c>
      <c r="AL210" s="0" t="n">
        <f aca="false">V210-AD210</f>
        <v>0</v>
      </c>
      <c r="AM210" s="0" t="n">
        <f aca="false">W210-AE210</f>
        <v>0</v>
      </c>
      <c r="AN210" s="0" t="n">
        <f aca="false">X210-AF210</f>
        <v>0</v>
      </c>
      <c r="AO210" s="0" t="n">
        <f aca="false">Y210-AG210</f>
        <v>0</v>
      </c>
      <c r="AP210" s="0" t="n">
        <f aca="false">MAX(0,'Debt Payoff'!$D$17-SUM(Z210:AG210))</f>
        <v>805</v>
      </c>
      <c r="AQ210" s="0" t="n">
        <f aca="false">MIN(AH210,MAX(0,$AP210-SUMPRODUCT(($AH$1:$AO$1&lt;AH$1)*$AH210:$AO210)))</f>
        <v>0</v>
      </c>
      <c r="AR210" s="0" t="n">
        <f aca="false">MIN(AI210,MAX(0,$AP210-SUMPRODUCT(($AH$1:$AO$1&lt;AI$1)*$AH210:$AO210)))</f>
        <v>0</v>
      </c>
      <c r="AS210" s="0" t="n">
        <f aca="false">MIN(AJ210,MAX(0,$AP210-SUMPRODUCT(($AH$1:$AO$1&lt;AJ$1)*$AH210:$AO210)))</f>
        <v>0</v>
      </c>
      <c r="AT210" s="0" t="n">
        <f aca="false">MIN(AK210,MAX(0,$AP210-SUMPRODUCT(($AH$1:$AO$1&lt;AK$1)*$AH210:$AO210)))</f>
        <v>0</v>
      </c>
      <c r="AU210" s="0" t="n">
        <f aca="false">MIN(AL210,MAX(0,$AP210-SUMPRODUCT(($AH$1:$AO$1&lt;AL$1)*$AH210:$AO210)))</f>
        <v>0</v>
      </c>
      <c r="AV210" s="0" t="n">
        <f aca="false">MIN(AM210,MAX(0,$AP210-SUMPRODUCT(($AH$1:$AO$1&lt;AM$1)*$AH210:$AO210)))</f>
        <v>0</v>
      </c>
      <c r="AW210" s="0" t="n">
        <f aca="false">MIN(AN210,MAX(0,$AP210-SUMPRODUCT(($AH$1:$AO$1&lt;AN$1)*$AH210:$AO210)))</f>
        <v>0</v>
      </c>
      <c r="AX210" s="0" t="n">
        <f aca="false">MIN(AO210,MAX(0,$AP210-SUMPRODUCT(($AH$1:$AO$1&lt;AO$1)*$AH210:$AO210)))</f>
        <v>0</v>
      </c>
      <c r="AY210" s="0" t="n">
        <f aca="false">ROUND(AH210-AQ210,2)</f>
        <v>0</v>
      </c>
      <c r="AZ210" s="0" t="n">
        <f aca="false">ROUND(AI210-AR210,2)</f>
        <v>0</v>
      </c>
      <c r="BA210" s="0" t="n">
        <f aca="false">ROUND(AJ210-AS210,2)</f>
        <v>0</v>
      </c>
      <c r="BB210" s="0" t="n">
        <f aca="false">ROUND(AK210-AT210,2)</f>
        <v>0</v>
      </c>
      <c r="BC210" s="0" t="n">
        <f aca="false">ROUND(AL210-AU210,2)</f>
        <v>0</v>
      </c>
      <c r="BD210" s="0" t="n">
        <f aca="false">ROUND(AM210-AV210,2)</f>
        <v>0</v>
      </c>
      <c r="BE210" s="0" t="n">
        <f aca="false">ROUND(AN210-AW210,2)</f>
        <v>0</v>
      </c>
      <c r="BF210" s="0" t="n">
        <f aca="false">ROUND(AO210-AX210,2)</f>
        <v>0</v>
      </c>
      <c r="BG210" s="0" t="n">
        <f aca="false">SUM(AY210:BF210)</f>
        <v>0</v>
      </c>
    </row>
    <row r="211" customFormat="false" ht="15" hidden="false" customHeight="false" outlineLevel="0" collapsed="false">
      <c r="A211" s="0" t="n">
        <v>209</v>
      </c>
      <c r="B211" s="0" t="n">
        <f aca="false">AY210</f>
        <v>0</v>
      </c>
      <c r="C211" s="0" t="n">
        <f aca="false">AZ210</f>
        <v>0</v>
      </c>
      <c r="D211" s="0" t="n">
        <f aca="false">BA210</f>
        <v>0</v>
      </c>
      <c r="E211" s="0" t="n">
        <f aca="false">BB210</f>
        <v>0</v>
      </c>
      <c r="F211" s="0" t="n">
        <f aca="false">BC210</f>
        <v>0</v>
      </c>
      <c r="G211" s="0" t="n">
        <f aca="false">BD210</f>
        <v>0</v>
      </c>
      <c r="H211" s="0" t="n">
        <f aca="false">BE210</f>
        <v>0</v>
      </c>
      <c r="I211" s="0" t="n">
        <f aca="false">BF210</f>
        <v>0</v>
      </c>
      <c r="J211" s="0" t="n">
        <f aca="false">B211*N('Debt Payoff'!D9)/12</f>
        <v>0</v>
      </c>
      <c r="K211" s="0" t="n">
        <f aca="false">C211*N('Debt Payoff'!D10)/12</f>
        <v>0</v>
      </c>
      <c r="L211" s="0" t="n">
        <f aca="false">D211*N('Debt Payoff'!D11)/12</f>
        <v>0</v>
      </c>
      <c r="M211" s="0" t="n">
        <f aca="false">E211*N('Debt Payoff'!D12)/12</f>
        <v>0</v>
      </c>
      <c r="N211" s="0" t="n">
        <f aca="false">F211*N('Debt Payoff'!D13)/12</f>
        <v>0</v>
      </c>
      <c r="O211" s="0" t="n">
        <f aca="false">G211*N('Debt Payoff'!D14)/12</f>
        <v>0</v>
      </c>
      <c r="P211" s="0" t="n">
        <f aca="false">H211*N('Debt Payoff'!D15)/12</f>
        <v>0</v>
      </c>
      <c r="Q211" s="0" t="n">
        <f aca="false">I211*N('Debt Payoff'!D16)/12</f>
        <v>0</v>
      </c>
      <c r="R211" s="0" t="n">
        <f aca="false">B211+J211</f>
        <v>0</v>
      </c>
      <c r="S211" s="0" t="n">
        <f aca="false">C211+K211</f>
        <v>0</v>
      </c>
      <c r="T211" s="0" t="n">
        <f aca="false">D211+L211</f>
        <v>0</v>
      </c>
      <c r="U211" s="0" t="n">
        <f aca="false">E211+M211</f>
        <v>0</v>
      </c>
      <c r="V211" s="0" t="n">
        <f aca="false">F211+N211</f>
        <v>0</v>
      </c>
      <c r="W211" s="0" t="n">
        <f aca="false">G211+O211</f>
        <v>0</v>
      </c>
      <c r="X211" s="0" t="n">
        <f aca="false">H211+P211</f>
        <v>0</v>
      </c>
      <c r="Y211" s="0" t="n">
        <f aca="false">I211+Q211</f>
        <v>0</v>
      </c>
      <c r="Z211" s="0" t="n">
        <f aca="false">MIN(R211,N('Debt Payoff'!E9))</f>
        <v>0</v>
      </c>
      <c r="AA211" s="0" t="n">
        <f aca="false">MIN(S211,N('Debt Payoff'!E10))</f>
        <v>0</v>
      </c>
      <c r="AB211" s="0" t="n">
        <f aca="false">MIN(T211,N('Debt Payoff'!E11))</f>
        <v>0</v>
      </c>
      <c r="AC211" s="0" t="n">
        <f aca="false">MIN(U211,N('Debt Payoff'!E12))</f>
        <v>0</v>
      </c>
      <c r="AD211" s="0" t="n">
        <f aca="false">MIN(V211,N('Debt Payoff'!E13))</f>
        <v>0</v>
      </c>
      <c r="AE211" s="0" t="n">
        <f aca="false">MIN(W211,N('Debt Payoff'!E14))</f>
        <v>0</v>
      </c>
      <c r="AF211" s="0" t="n">
        <f aca="false">MIN(X211,N('Debt Payoff'!E15))</f>
        <v>0</v>
      </c>
      <c r="AG211" s="0" t="n">
        <f aca="false">MIN(Y211,N('Debt Payoff'!E16))</f>
        <v>0</v>
      </c>
      <c r="AH211" s="0" t="n">
        <f aca="false">R211-Z211</f>
        <v>0</v>
      </c>
      <c r="AI211" s="0" t="n">
        <f aca="false">S211-AA211</f>
        <v>0</v>
      </c>
      <c r="AJ211" s="0" t="n">
        <f aca="false">T211-AB211</f>
        <v>0</v>
      </c>
      <c r="AK211" s="0" t="n">
        <f aca="false">U211-AC211</f>
        <v>0</v>
      </c>
      <c r="AL211" s="0" t="n">
        <f aca="false">V211-AD211</f>
        <v>0</v>
      </c>
      <c r="AM211" s="0" t="n">
        <f aca="false">W211-AE211</f>
        <v>0</v>
      </c>
      <c r="AN211" s="0" t="n">
        <f aca="false">X211-AF211</f>
        <v>0</v>
      </c>
      <c r="AO211" s="0" t="n">
        <f aca="false">Y211-AG211</f>
        <v>0</v>
      </c>
      <c r="AP211" s="0" t="n">
        <f aca="false">MAX(0,'Debt Payoff'!$D$17-SUM(Z211:AG211))</f>
        <v>805</v>
      </c>
      <c r="AQ211" s="0" t="n">
        <f aca="false">MIN(AH211,MAX(0,$AP211-SUMPRODUCT(($AH$1:$AO$1&lt;AH$1)*$AH211:$AO211)))</f>
        <v>0</v>
      </c>
      <c r="AR211" s="0" t="n">
        <f aca="false">MIN(AI211,MAX(0,$AP211-SUMPRODUCT(($AH$1:$AO$1&lt;AI$1)*$AH211:$AO211)))</f>
        <v>0</v>
      </c>
      <c r="AS211" s="0" t="n">
        <f aca="false">MIN(AJ211,MAX(0,$AP211-SUMPRODUCT(($AH$1:$AO$1&lt;AJ$1)*$AH211:$AO211)))</f>
        <v>0</v>
      </c>
      <c r="AT211" s="0" t="n">
        <f aca="false">MIN(AK211,MAX(0,$AP211-SUMPRODUCT(($AH$1:$AO$1&lt;AK$1)*$AH211:$AO211)))</f>
        <v>0</v>
      </c>
      <c r="AU211" s="0" t="n">
        <f aca="false">MIN(AL211,MAX(0,$AP211-SUMPRODUCT(($AH$1:$AO$1&lt;AL$1)*$AH211:$AO211)))</f>
        <v>0</v>
      </c>
      <c r="AV211" s="0" t="n">
        <f aca="false">MIN(AM211,MAX(0,$AP211-SUMPRODUCT(($AH$1:$AO$1&lt;AM$1)*$AH211:$AO211)))</f>
        <v>0</v>
      </c>
      <c r="AW211" s="0" t="n">
        <f aca="false">MIN(AN211,MAX(0,$AP211-SUMPRODUCT(($AH$1:$AO$1&lt;AN$1)*$AH211:$AO211)))</f>
        <v>0</v>
      </c>
      <c r="AX211" s="0" t="n">
        <f aca="false">MIN(AO211,MAX(0,$AP211-SUMPRODUCT(($AH$1:$AO$1&lt;AO$1)*$AH211:$AO211)))</f>
        <v>0</v>
      </c>
      <c r="AY211" s="0" t="n">
        <f aca="false">ROUND(AH211-AQ211,2)</f>
        <v>0</v>
      </c>
      <c r="AZ211" s="0" t="n">
        <f aca="false">ROUND(AI211-AR211,2)</f>
        <v>0</v>
      </c>
      <c r="BA211" s="0" t="n">
        <f aca="false">ROUND(AJ211-AS211,2)</f>
        <v>0</v>
      </c>
      <c r="BB211" s="0" t="n">
        <f aca="false">ROUND(AK211-AT211,2)</f>
        <v>0</v>
      </c>
      <c r="BC211" s="0" t="n">
        <f aca="false">ROUND(AL211-AU211,2)</f>
        <v>0</v>
      </c>
      <c r="BD211" s="0" t="n">
        <f aca="false">ROUND(AM211-AV211,2)</f>
        <v>0</v>
      </c>
      <c r="BE211" s="0" t="n">
        <f aca="false">ROUND(AN211-AW211,2)</f>
        <v>0</v>
      </c>
      <c r="BF211" s="0" t="n">
        <f aca="false">ROUND(AO211-AX211,2)</f>
        <v>0</v>
      </c>
      <c r="BG211" s="0" t="n">
        <f aca="false">SUM(AY211:BF211)</f>
        <v>0</v>
      </c>
    </row>
    <row r="212" customFormat="false" ht="15" hidden="false" customHeight="false" outlineLevel="0" collapsed="false">
      <c r="A212" s="0" t="n">
        <v>210</v>
      </c>
      <c r="B212" s="0" t="n">
        <f aca="false">AY211</f>
        <v>0</v>
      </c>
      <c r="C212" s="0" t="n">
        <f aca="false">AZ211</f>
        <v>0</v>
      </c>
      <c r="D212" s="0" t="n">
        <f aca="false">BA211</f>
        <v>0</v>
      </c>
      <c r="E212" s="0" t="n">
        <f aca="false">BB211</f>
        <v>0</v>
      </c>
      <c r="F212" s="0" t="n">
        <f aca="false">BC211</f>
        <v>0</v>
      </c>
      <c r="G212" s="0" t="n">
        <f aca="false">BD211</f>
        <v>0</v>
      </c>
      <c r="H212" s="0" t="n">
        <f aca="false">BE211</f>
        <v>0</v>
      </c>
      <c r="I212" s="0" t="n">
        <f aca="false">BF211</f>
        <v>0</v>
      </c>
      <c r="J212" s="0" t="n">
        <f aca="false">B212*N('Debt Payoff'!D9)/12</f>
        <v>0</v>
      </c>
      <c r="K212" s="0" t="n">
        <f aca="false">C212*N('Debt Payoff'!D10)/12</f>
        <v>0</v>
      </c>
      <c r="L212" s="0" t="n">
        <f aca="false">D212*N('Debt Payoff'!D11)/12</f>
        <v>0</v>
      </c>
      <c r="M212" s="0" t="n">
        <f aca="false">E212*N('Debt Payoff'!D12)/12</f>
        <v>0</v>
      </c>
      <c r="N212" s="0" t="n">
        <f aca="false">F212*N('Debt Payoff'!D13)/12</f>
        <v>0</v>
      </c>
      <c r="O212" s="0" t="n">
        <f aca="false">G212*N('Debt Payoff'!D14)/12</f>
        <v>0</v>
      </c>
      <c r="P212" s="0" t="n">
        <f aca="false">H212*N('Debt Payoff'!D15)/12</f>
        <v>0</v>
      </c>
      <c r="Q212" s="0" t="n">
        <f aca="false">I212*N('Debt Payoff'!D16)/12</f>
        <v>0</v>
      </c>
      <c r="R212" s="0" t="n">
        <f aca="false">B212+J212</f>
        <v>0</v>
      </c>
      <c r="S212" s="0" t="n">
        <f aca="false">C212+K212</f>
        <v>0</v>
      </c>
      <c r="T212" s="0" t="n">
        <f aca="false">D212+L212</f>
        <v>0</v>
      </c>
      <c r="U212" s="0" t="n">
        <f aca="false">E212+M212</f>
        <v>0</v>
      </c>
      <c r="V212" s="0" t="n">
        <f aca="false">F212+N212</f>
        <v>0</v>
      </c>
      <c r="W212" s="0" t="n">
        <f aca="false">G212+O212</f>
        <v>0</v>
      </c>
      <c r="X212" s="0" t="n">
        <f aca="false">H212+P212</f>
        <v>0</v>
      </c>
      <c r="Y212" s="0" t="n">
        <f aca="false">I212+Q212</f>
        <v>0</v>
      </c>
      <c r="Z212" s="0" t="n">
        <f aca="false">MIN(R212,N('Debt Payoff'!E9))</f>
        <v>0</v>
      </c>
      <c r="AA212" s="0" t="n">
        <f aca="false">MIN(S212,N('Debt Payoff'!E10))</f>
        <v>0</v>
      </c>
      <c r="AB212" s="0" t="n">
        <f aca="false">MIN(T212,N('Debt Payoff'!E11))</f>
        <v>0</v>
      </c>
      <c r="AC212" s="0" t="n">
        <f aca="false">MIN(U212,N('Debt Payoff'!E12))</f>
        <v>0</v>
      </c>
      <c r="AD212" s="0" t="n">
        <f aca="false">MIN(V212,N('Debt Payoff'!E13))</f>
        <v>0</v>
      </c>
      <c r="AE212" s="0" t="n">
        <f aca="false">MIN(W212,N('Debt Payoff'!E14))</f>
        <v>0</v>
      </c>
      <c r="AF212" s="0" t="n">
        <f aca="false">MIN(X212,N('Debt Payoff'!E15))</f>
        <v>0</v>
      </c>
      <c r="AG212" s="0" t="n">
        <f aca="false">MIN(Y212,N('Debt Payoff'!E16))</f>
        <v>0</v>
      </c>
      <c r="AH212" s="0" t="n">
        <f aca="false">R212-Z212</f>
        <v>0</v>
      </c>
      <c r="AI212" s="0" t="n">
        <f aca="false">S212-AA212</f>
        <v>0</v>
      </c>
      <c r="AJ212" s="0" t="n">
        <f aca="false">T212-AB212</f>
        <v>0</v>
      </c>
      <c r="AK212" s="0" t="n">
        <f aca="false">U212-AC212</f>
        <v>0</v>
      </c>
      <c r="AL212" s="0" t="n">
        <f aca="false">V212-AD212</f>
        <v>0</v>
      </c>
      <c r="AM212" s="0" t="n">
        <f aca="false">W212-AE212</f>
        <v>0</v>
      </c>
      <c r="AN212" s="0" t="n">
        <f aca="false">X212-AF212</f>
        <v>0</v>
      </c>
      <c r="AO212" s="0" t="n">
        <f aca="false">Y212-AG212</f>
        <v>0</v>
      </c>
      <c r="AP212" s="0" t="n">
        <f aca="false">MAX(0,'Debt Payoff'!$D$17-SUM(Z212:AG212))</f>
        <v>805</v>
      </c>
      <c r="AQ212" s="0" t="n">
        <f aca="false">MIN(AH212,MAX(0,$AP212-SUMPRODUCT(($AH$1:$AO$1&lt;AH$1)*$AH212:$AO212)))</f>
        <v>0</v>
      </c>
      <c r="AR212" s="0" t="n">
        <f aca="false">MIN(AI212,MAX(0,$AP212-SUMPRODUCT(($AH$1:$AO$1&lt;AI$1)*$AH212:$AO212)))</f>
        <v>0</v>
      </c>
      <c r="AS212" s="0" t="n">
        <f aca="false">MIN(AJ212,MAX(0,$AP212-SUMPRODUCT(($AH$1:$AO$1&lt;AJ$1)*$AH212:$AO212)))</f>
        <v>0</v>
      </c>
      <c r="AT212" s="0" t="n">
        <f aca="false">MIN(AK212,MAX(0,$AP212-SUMPRODUCT(($AH$1:$AO$1&lt;AK$1)*$AH212:$AO212)))</f>
        <v>0</v>
      </c>
      <c r="AU212" s="0" t="n">
        <f aca="false">MIN(AL212,MAX(0,$AP212-SUMPRODUCT(($AH$1:$AO$1&lt;AL$1)*$AH212:$AO212)))</f>
        <v>0</v>
      </c>
      <c r="AV212" s="0" t="n">
        <f aca="false">MIN(AM212,MAX(0,$AP212-SUMPRODUCT(($AH$1:$AO$1&lt;AM$1)*$AH212:$AO212)))</f>
        <v>0</v>
      </c>
      <c r="AW212" s="0" t="n">
        <f aca="false">MIN(AN212,MAX(0,$AP212-SUMPRODUCT(($AH$1:$AO$1&lt;AN$1)*$AH212:$AO212)))</f>
        <v>0</v>
      </c>
      <c r="AX212" s="0" t="n">
        <f aca="false">MIN(AO212,MAX(0,$AP212-SUMPRODUCT(($AH$1:$AO$1&lt;AO$1)*$AH212:$AO212)))</f>
        <v>0</v>
      </c>
      <c r="AY212" s="0" t="n">
        <f aca="false">ROUND(AH212-AQ212,2)</f>
        <v>0</v>
      </c>
      <c r="AZ212" s="0" t="n">
        <f aca="false">ROUND(AI212-AR212,2)</f>
        <v>0</v>
      </c>
      <c r="BA212" s="0" t="n">
        <f aca="false">ROUND(AJ212-AS212,2)</f>
        <v>0</v>
      </c>
      <c r="BB212" s="0" t="n">
        <f aca="false">ROUND(AK212-AT212,2)</f>
        <v>0</v>
      </c>
      <c r="BC212" s="0" t="n">
        <f aca="false">ROUND(AL212-AU212,2)</f>
        <v>0</v>
      </c>
      <c r="BD212" s="0" t="n">
        <f aca="false">ROUND(AM212-AV212,2)</f>
        <v>0</v>
      </c>
      <c r="BE212" s="0" t="n">
        <f aca="false">ROUND(AN212-AW212,2)</f>
        <v>0</v>
      </c>
      <c r="BF212" s="0" t="n">
        <f aca="false">ROUND(AO212-AX212,2)</f>
        <v>0</v>
      </c>
      <c r="BG212" s="0" t="n">
        <f aca="false">SUM(AY212:BF212)</f>
        <v>0</v>
      </c>
    </row>
    <row r="213" customFormat="false" ht="15" hidden="false" customHeight="false" outlineLevel="0" collapsed="false">
      <c r="A213" s="0" t="n">
        <v>211</v>
      </c>
      <c r="B213" s="0" t="n">
        <f aca="false">AY212</f>
        <v>0</v>
      </c>
      <c r="C213" s="0" t="n">
        <f aca="false">AZ212</f>
        <v>0</v>
      </c>
      <c r="D213" s="0" t="n">
        <f aca="false">BA212</f>
        <v>0</v>
      </c>
      <c r="E213" s="0" t="n">
        <f aca="false">BB212</f>
        <v>0</v>
      </c>
      <c r="F213" s="0" t="n">
        <f aca="false">BC212</f>
        <v>0</v>
      </c>
      <c r="G213" s="0" t="n">
        <f aca="false">BD212</f>
        <v>0</v>
      </c>
      <c r="H213" s="0" t="n">
        <f aca="false">BE212</f>
        <v>0</v>
      </c>
      <c r="I213" s="0" t="n">
        <f aca="false">BF212</f>
        <v>0</v>
      </c>
      <c r="J213" s="0" t="n">
        <f aca="false">B213*N('Debt Payoff'!D9)/12</f>
        <v>0</v>
      </c>
      <c r="K213" s="0" t="n">
        <f aca="false">C213*N('Debt Payoff'!D10)/12</f>
        <v>0</v>
      </c>
      <c r="L213" s="0" t="n">
        <f aca="false">D213*N('Debt Payoff'!D11)/12</f>
        <v>0</v>
      </c>
      <c r="M213" s="0" t="n">
        <f aca="false">E213*N('Debt Payoff'!D12)/12</f>
        <v>0</v>
      </c>
      <c r="N213" s="0" t="n">
        <f aca="false">F213*N('Debt Payoff'!D13)/12</f>
        <v>0</v>
      </c>
      <c r="O213" s="0" t="n">
        <f aca="false">G213*N('Debt Payoff'!D14)/12</f>
        <v>0</v>
      </c>
      <c r="P213" s="0" t="n">
        <f aca="false">H213*N('Debt Payoff'!D15)/12</f>
        <v>0</v>
      </c>
      <c r="Q213" s="0" t="n">
        <f aca="false">I213*N('Debt Payoff'!D16)/12</f>
        <v>0</v>
      </c>
      <c r="R213" s="0" t="n">
        <f aca="false">B213+J213</f>
        <v>0</v>
      </c>
      <c r="S213" s="0" t="n">
        <f aca="false">C213+K213</f>
        <v>0</v>
      </c>
      <c r="T213" s="0" t="n">
        <f aca="false">D213+L213</f>
        <v>0</v>
      </c>
      <c r="U213" s="0" t="n">
        <f aca="false">E213+M213</f>
        <v>0</v>
      </c>
      <c r="V213" s="0" t="n">
        <f aca="false">F213+N213</f>
        <v>0</v>
      </c>
      <c r="W213" s="0" t="n">
        <f aca="false">G213+O213</f>
        <v>0</v>
      </c>
      <c r="X213" s="0" t="n">
        <f aca="false">H213+P213</f>
        <v>0</v>
      </c>
      <c r="Y213" s="0" t="n">
        <f aca="false">I213+Q213</f>
        <v>0</v>
      </c>
      <c r="Z213" s="0" t="n">
        <f aca="false">MIN(R213,N('Debt Payoff'!E9))</f>
        <v>0</v>
      </c>
      <c r="AA213" s="0" t="n">
        <f aca="false">MIN(S213,N('Debt Payoff'!E10))</f>
        <v>0</v>
      </c>
      <c r="AB213" s="0" t="n">
        <f aca="false">MIN(T213,N('Debt Payoff'!E11))</f>
        <v>0</v>
      </c>
      <c r="AC213" s="0" t="n">
        <f aca="false">MIN(U213,N('Debt Payoff'!E12))</f>
        <v>0</v>
      </c>
      <c r="AD213" s="0" t="n">
        <f aca="false">MIN(V213,N('Debt Payoff'!E13))</f>
        <v>0</v>
      </c>
      <c r="AE213" s="0" t="n">
        <f aca="false">MIN(W213,N('Debt Payoff'!E14))</f>
        <v>0</v>
      </c>
      <c r="AF213" s="0" t="n">
        <f aca="false">MIN(X213,N('Debt Payoff'!E15))</f>
        <v>0</v>
      </c>
      <c r="AG213" s="0" t="n">
        <f aca="false">MIN(Y213,N('Debt Payoff'!E16))</f>
        <v>0</v>
      </c>
      <c r="AH213" s="0" t="n">
        <f aca="false">R213-Z213</f>
        <v>0</v>
      </c>
      <c r="AI213" s="0" t="n">
        <f aca="false">S213-AA213</f>
        <v>0</v>
      </c>
      <c r="AJ213" s="0" t="n">
        <f aca="false">T213-AB213</f>
        <v>0</v>
      </c>
      <c r="AK213" s="0" t="n">
        <f aca="false">U213-AC213</f>
        <v>0</v>
      </c>
      <c r="AL213" s="0" t="n">
        <f aca="false">V213-AD213</f>
        <v>0</v>
      </c>
      <c r="AM213" s="0" t="n">
        <f aca="false">W213-AE213</f>
        <v>0</v>
      </c>
      <c r="AN213" s="0" t="n">
        <f aca="false">X213-AF213</f>
        <v>0</v>
      </c>
      <c r="AO213" s="0" t="n">
        <f aca="false">Y213-AG213</f>
        <v>0</v>
      </c>
      <c r="AP213" s="0" t="n">
        <f aca="false">MAX(0,'Debt Payoff'!$D$17-SUM(Z213:AG213))</f>
        <v>805</v>
      </c>
      <c r="AQ213" s="0" t="n">
        <f aca="false">MIN(AH213,MAX(0,$AP213-SUMPRODUCT(($AH$1:$AO$1&lt;AH$1)*$AH213:$AO213)))</f>
        <v>0</v>
      </c>
      <c r="AR213" s="0" t="n">
        <f aca="false">MIN(AI213,MAX(0,$AP213-SUMPRODUCT(($AH$1:$AO$1&lt;AI$1)*$AH213:$AO213)))</f>
        <v>0</v>
      </c>
      <c r="AS213" s="0" t="n">
        <f aca="false">MIN(AJ213,MAX(0,$AP213-SUMPRODUCT(($AH$1:$AO$1&lt;AJ$1)*$AH213:$AO213)))</f>
        <v>0</v>
      </c>
      <c r="AT213" s="0" t="n">
        <f aca="false">MIN(AK213,MAX(0,$AP213-SUMPRODUCT(($AH$1:$AO$1&lt;AK$1)*$AH213:$AO213)))</f>
        <v>0</v>
      </c>
      <c r="AU213" s="0" t="n">
        <f aca="false">MIN(AL213,MAX(0,$AP213-SUMPRODUCT(($AH$1:$AO$1&lt;AL$1)*$AH213:$AO213)))</f>
        <v>0</v>
      </c>
      <c r="AV213" s="0" t="n">
        <f aca="false">MIN(AM213,MAX(0,$AP213-SUMPRODUCT(($AH$1:$AO$1&lt;AM$1)*$AH213:$AO213)))</f>
        <v>0</v>
      </c>
      <c r="AW213" s="0" t="n">
        <f aca="false">MIN(AN213,MAX(0,$AP213-SUMPRODUCT(($AH$1:$AO$1&lt;AN$1)*$AH213:$AO213)))</f>
        <v>0</v>
      </c>
      <c r="AX213" s="0" t="n">
        <f aca="false">MIN(AO213,MAX(0,$AP213-SUMPRODUCT(($AH$1:$AO$1&lt;AO$1)*$AH213:$AO213)))</f>
        <v>0</v>
      </c>
      <c r="AY213" s="0" t="n">
        <f aca="false">ROUND(AH213-AQ213,2)</f>
        <v>0</v>
      </c>
      <c r="AZ213" s="0" t="n">
        <f aca="false">ROUND(AI213-AR213,2)</f>
        <v>0</v>
      </c>
      <c r="BA213" s="0" t="n">
        <f aca="false">ROUND(AJ213-AS213,2)</f>
        <v>0</v>
      </c>
      <c r="BB213" s="0" t="n">
        <f aca="false">ROUND(AK213-AT213,2)</f>
        <v>0</v>
      </c>
      <c r="BC213" s="0" t="n">
        <f aca="false">ROUND(AL213-AU213,2)</f>
        <v>0</v>
      </c>
      <c r="BD213" s="0" t="n">
        <f aca="false">ROUND(AM213-AV213,2)</f>
        <v>0</v>
      </c>
      <c r="BE213" s="0" t="n">
        <f aca="false">ROUND(AN213-AW213,2)</f>
        <v>0</v>
      </c>
      <c r="BF213" s="0" t="n">
        <f aca="false">ROUND(AO213-AX213,2)</f>
        <v>0</v>
      </c>
      <c r="BG213" s="0" t="n">
        <f aca="false">SUM(AY213:BF213)</f>
        <v>0</v>
      </c>
    </row>
    <row r="214" customFormat="false" ht="15" hidden="false" customHeight="false" outlineLevel="0" collapsed="false">
      <c r="A214" s="0" t="n">
        <v>212</v>
      </c>
      <c r="B214" s="0" t="n">
        <f aca="false">AY213</f>
        <v>0</v>
      </c>
      <c r="C214" s="0" t="n">
        <f aca="false">AZ213</f>
        <v>0</v>
      </c>
      <c r="D214" s="0" t="n">
        <f aca="false">BA213</f>
        <v>0</v>
      </c>
      <c r="E214" s="0" t="n">
        <f aca="false">BB213</f>
        <v>0</v>
      </c>
      <c r="F214" s="0" t="n">
        <f aca="false">BC213</f>
        <v>0</v>
      </c>
      <c r="G214" s="0" t="n">
        <f aca="false">BD213</f>
        <v>0</v>
      </c>
      <c r="H214" s="0" t="n">
        <f aca="false">BE213</f>
        <v>0</v>
      </c>
      <c r="I214" s="0" t="n">
        <f aca="false">BF213</f>
        <v>0</v>
      </c>
      <c r="J214" s="0" t="n">
        <f aca="false">B214*N('Debt Payoff'!D9)/12</f>
        <v>0</v>
      </c>
      <c r="K214" s="0" t="n">
        <f aca="false">C214*N('Debt Payoff'!D10)/12</f>
        <v>0</v>
      </c>
      <c r="L214" s="0" t="n">
        <f aca="false">D214*N('Debt Payoff'!D11)/12</f>
        <v>0</v>
      </c>
      <c r="M214" s="0" t="n">
        <f aca="false">E214*N('Debt Payoff'!D12)/12</f>
        <v>0</v>
      </c>
      <c r="N214" s="0" t="n">
        <f aca="false">F214*N('Debt Payoff'!D13)/12</f>
        <v>0</v>
      </c>
      <c r="O214" s="0" t="n">
        <f aca="false">G214*N('Debt Payoff'!D14)/12</f>
        <v>0</v>
      </c>
      <c r="P214" s="0" t="n">
        <f aca="false">H214*N('Debt Payoff'!D15)/12</f>
        <v>0</v>
      </c>
      <c r="Q214" s="0" t="n">
        <f aca="false">I214*N('Debt Payoff'!D16)/12</f>
        <v>0</v>
      </c>
      <c r="R214" s="0" t="n">
        <f aca="false">B214+J214</f>
        <v>0</v>
      </c>
      <c r="S214" s="0" t="n">
        <f aca="false">C214+K214</f>
        <v>0</v>
      </c>
      <c r="T214" s="0" t="n">
        <f aca="false">D214+L214</f>
        <v>0</v>
      </c>
      <c r="U214" s="0" t="n">
        <f aca="false">E214+M214</f>
        <v>0</v>
      </c>
      <c r="V214" s="0" t="n">
        <f aca="false">F214+N214</f>
        <v>0</v>
      </c>
      <c r="W214" s="0" t="n">
        <f aca="false">G214+O214</f>
        <v>0</v>
      </c>
      <c r="X214" s="0" t="n">
        <f aca="false">H214+P214</f>
        <v>0</v>
      </c>
      <c r="Y214" s="0" t="n">
        <f aca="false">I214+Q214</f>
        <v>0</v>
      </c>
      <c r="Z214" s="0" t="n">
        <f aca="false">MIN(R214,N('Debt Payoff'!E9))</f>
        <v>0</v>
      </c>
      <c r="AA214" s="0" t="n">
        <f aca="false">MIN(S214,N('Debt Payoff'!E10))</f>
        <v>0</v>
      </c>
      <c r="AB214" s="0" t="n">
        <f aca="false">MIN(T214,N('Debt Payoff'!E11))</f>
        <v>0</v>
      </c>
      <c r="AC214" s="0" t="n">
        <f aca="false">MIN(U214,N('Debt Payoff'!E12))</f>
        <v>0</v>
      </c>
      <c r="AD214" s="0" t="n">
        <f aca="false">MIN(V214,N('Debt Payoff'!E13))</f>
        <v>0</v>
      </c>
      <c r="AE214" s="0" t="n">
        <f aca="false">MIN(W214,N('Debt Payoff'!E14))</f>
        <v>0</v>
      </c>
      <c r="AF214" s="0" t="n">
        <f aca="false">MIN(X214,N('Debt Payoff'!E15))</f>
        <v>0</v>
      </c>
      <c r="AG214" s="0" t="n">
        <f aca="false">MIN(Y214,N('Debt Payoff'!E16))</f>
        <v>0</v>
      </c>
      <c r="AH214" s="0" t="n">
        <f aca="false">R214-Z214</f>
        <v>0</v>
      </c>
      <c r="AI214" s="0" t="n">
        <f aca="false">S214-AA214</f>
        <v>0</v>
      </c>
      <c r="AJ214" s="0" t="n">
        <f aca="false">T214-AB214</f>
        <v>0</v>
      </c>
      <c r="AK214" s="0" t="n">
        <f aca="false">U214-AC214</f>
        <v>0</v>
      </c>
      <c r="AL214" s="0" t="n">
        <f aca="false">V214-AD214</f>
        <v>0</v>
      </c>
      <c r="AM214" s="0" t="n">
        <f aca="false">W214-AE214</f>
        <v>0</v>
      </c>
      <c r="AN214" s="0" t="n">
        <f aca="false">X214-AF214</f>
        <v>0</v>
      </c>
      <c r="AO214" s="0" t="n">
        <f aca="false">Y214-AG214</f>
        <v>0</v>
      </c>
      <c r="AP214" s="0" t="n">
        <f aca="false">MAX(0,'Debt Payoff'!$D$17-SUM(Z214:AG214))</f>
        <v>805</v>
      </c>
      <c r="AQ214" s="0" t="n">
        <f aca="false">MIN(AH214,MAX(0,$AP214-SUMPRODUCT(($AH$1:$AO$1&lt;AH$1)*$AH214:$AO214)))</f>
        <v>0</v>
      </c>
      <c r="AR214" s="0" t="n">
        <f aca="false">MIN(AI214,MAX(0,$AP214-SUMPRODUCT(($AH$1:$AO$1&lt;AI$1)*$AH214:$AO214)))</f>
        <v>0</v>
      </c>
      <c r="AS214" s="0" t="n">
        <f aca="false">MIN(AJ214,MAX(0,$AP214-SUMPRODUCT(($AH$1:$AO$1&lt;AJ$1)*$AH214:$AO214)))</f>
        <v>0</v>
      </c>
      <c r="AT214" s="0" t="n">
        <f aca="false">MIN(AK214,MAX(0,$AP214-SUMPRODUCT(($AH$1:$AO$1&lt;AK$1)*$AH214:$AO214)))</f>
        <v>0</v>
      </c>
      <c r="AU214" s="0" t="n">
        <f aca="false">MIN(AL214,MAX(0,$AP214-SUMPRODUCT(($AH$1:$AO$1&lt;AL$1)*$AH214:$AO214)))</f>
        <v>0</v>
      </c>
      <c r="AV214" s="0" t="n">
        <f aca="false">MIN(AM214,MAX(0,$AP214-SUMPRODUCT(($AH$1:$AO$1&lt;AM$1)*$AH214:$AO214)))</f>
        <v>0</v>
      </c>
      <c r="AW214" s="0" t="n">
        <f aca="false">MIN(AN214,MAX(0,$AP214-SUMPRODUCT(($AH$1:$AO$1&lt;AN$1)*$AH214:$AO214)))</f>
        <v>0</v>
      </c>
      <c r="AX214" s="0" t="n">
        <f aca="false">MIN(AO214,MAX(0,$AP214-SUMPRODUCT(($AH$1:$AO$1&lt;AO$1)*$AH214:$AO214)))</f>
        <v>0</v>
      </c>
      <c r="AY214" s="0" t="n">
        <f aca="false">ROUND(AH214-AQ214,2)</f>
        <v>0</v>
      </c>
      <c r="AZ214" s="0" t="n">
        <f aca="false">ROUND(AI214-AR214,2)</f>
        <v>0</v>
      </c>
      <c r="BA214" s="0" t="n">
        <f aca="false">ROUND(AJ214-AS214,2)</f>
        <v>0</v>
      </c>
      <c r="BB214" s="0" t="n">
        <f aca="false">ROUND(AK214-AT214,2)</f>
        <v>0</v>
      </c>
      <c r="BC214" s="0" t="n">
        <f aca="false">ROUND(AL214-AU214,2)</f>
        <v>0</v>
      </c>
      <c r="BD214" s="0" t="n">
        <f aca="false">ROUND(AM214-AV214,2)</f>
        <v>0</v>
      </c>
      <c r="BE214" s="0" t="n">
        <f aca="false">ROUND(AN214-AW214,2)</f>
        <v>0</v>
      </c>
      <c r="BF214" s="0" t="n">
        <f aca="false">ROUND(AO214-AX214,2)</f>
        <v>0</v>
      </c>
      <c r="BG214" s="0" t="n">
        <f aca="false">SUM(AY214:BF214)</f>
        <v>0</v>
      </c>
    </row>
    <row r="215" customFormat="false" ht="15" hidden="false" customHeight="false" outlineLevel="0" collapsed="false">
      <c r="A215" s="0" t="n">
        <v>213</v>
      </c>
      <c r="B215" s="0" t="n">
        <f aca="false">AY214</f>
        <v>0</v>
      </c>
      <c r="C215" s="0" t="n">
        <f aca="false">AZ214</f>
        <v>0</v>
      </c>
      <c r="D215" s="0" t="n">
        <f aca="false">BA214</f>
        <v>0</v>
      </c>
      <c r="E215" s="0" t="n">
        <f aca="false">BB214</f>
        <v>0</v>
      </c>
      <c r="F215" s="0" t="n">
        <f aca="false">BC214</f>
        <v>0</v>
      </c>
      <c r="G215" s="0" t="n">
        <f aca="false">BD214</f>
        <v>0</v>
      </c>
      <c r="H215" s="0" t="n">
        <f aca="false">BE214</f>
        <v>0</v>
      </c>
      <c r="I215" s="0" t="n">
        <f aca="false">BF214</f>
        <v>0</v>
      </c>
      <c r="J215" s="0" t="n">
        <f aca="false">B215*N('Debt Payoff'!D9)/12</f>
        <v>0</v>
      </c>
      <c r="K215" s="0" t="n">
        <f aca="false">C215*N('Debt Payoff'!D10)/12</f>
        <v>0</v>
      </c>
      <c r="L215" s="0" t="n">
        <f aca="false">D215*N('Debt Payoff'!D11)/12</f>
        <v>0</v>
      </c>
      <c r="M215" s="0" t="n">
        <f aca="false">E215*N('Debt Payoff'!D12)/12</f>
        <v>0</v>
      </c>
      <c r="N215" s="0" t="n">
        <f aca="false">F215*N('Debt Payoff'!D13)/12</f>
        <v>0</v>
      </c>
      <c r="O215" s="0" t="n">
        <f aca="false">G215*N('Debt Payoff'!D14)/12</f>
        <v>0</v>
      </c>
      <c r="P215" s="0" t="n">
        <f aca="false">H215*N('Debt Payoff'!D15)/12</f>
        <v>0</v>
      </c>
      <c r="Q215" s="0" t="n">
        <f aca="false">I215*N('Debt Payoff'!D16)/12</f>
        <v>0</v>
      </c>
      <c r="R215" s="0" t="n">
        <f aca="false">B215+J215</f>
        <v>0</v>
      </c>
      <c r="S215" s="0" t="n">
        <f aca="false">C215+K215</f>
        <v>0</v>
      </c>
      <c r="T215" s="0" t="n">
        <f aca="false">D215+L215</f>
        <v>0</v>
      </c>
      <c r="U215" s="0" t="n">
        <f aca="false">E215+M215</f>
        <v>0</v>
      </c>
      <c r="V215" s="0" t="n">
        <f aca="false">F215+N215</f>
        <v>0</v>
      </c>
      <c r="W215" s="0" t="n">
        <f aca="false">G215+O215</f>
        <v>0</v>
      </c>
      <c r="X215" s="0" t="n">
        <f aca="false">H215+P215</f>
        <v>0</v>
      </c>
      <c r="Y215" s="0" t="n">
        <f aca="false">I215+Q215</f>
        <v>0</v>
      </c>
      <c r="Z215" s="0" t="n">
        <f aca="false">MIN(R215,N('Debt Payoff'!E9))</f>
        <v>0</v>
      </c>
      <c r="AA215" s="0" t="n">
        <f aca="false">MIN(S215,N('Debt Payoff'!E10))</f>
        <v>0</v>
      </c>
      <c r="AB215" s="0" t="n">
        <f aca="false">MIN(T215,N('Debt Payoff'!E11))</f>
        <v>0</v>
      </c>
      <c r="AC215" s="0" t="n">
        <f aca="false">MIN(U215,N('Debt Payoff'!E12))</f>
        <v>0</v>
      </c>
      <c r="AD215" s="0" t="n">
        <f aca="false">MIN(V215,N('Debt Payoff'!E13))</f>
        <v>0</v>
      </c>
      <c r="AE215" s="0" t="n">
        <f aca="false">MIN(W215,N('Debt Payoff'!E14))</f>
        <v>0</v>
      </c>
      <c r="AF215" s="0" t="n">
        <f aca="false">MIN(X215,N('Debt Payoff'!E15))</f>
        <v>0</v>
      </c>
      <c r="AG215" s="0" t="n">
        <f aca="false">MIN(Y215,N('Debt Payoff'!E16))</f>
        <v>0</v>
      </c>
      <c r="AH215" s="0" t="n">
        <f aca="false">R215-Z215</f>
        <v>0</v>
      </c>
      <c r="AI215" s="0" t="n">
        <f aca="false">S215-AA215</f>
        <v>0</v>
      </c>
      <c r="AJ215" s="0" t="n">
        <f aca="false">T215-AB215</f>
        <v>0</v>
      </c>
      <c r="AK215" s="0" t="n">
        <f aca="false">U215-AC215</f>
        <v>0</v>
      </c>
      <c r="AL215" s="0" t="n">
        <f aca="false">V215-AD215</f>
        <v>0</v>
      </c>
      <c r="AM215" s="0" t="n">
        <f aca="false">W215-AE215</f>
        <v>0</v>
      </c>
      <c r="AN215" s="0" t="n">
        <f aca="false">X215-AF215</f>
        <v>0</v>
      </c>
      <c r="AO215" s="0" t="n">
        <f aca="false">Y215-AG215</f>
        <v>0</v>
      </c>
      <c r="AP215" s="0" t="n">
        <f aca="false">MAX(0,'Debt Payoff'!$D$17-SUM(Z215:AG215))</f>
        <v>805</v>
      </c>
      <c r="AQ215" s="0" t="n">
        <f aca="false">MIN(AH215,MAX(0,$AP215-SUMPRODUCT(($AH$1:$AO$1&lt;AH$1)*$AH215:$AO215)))</f>
        <v>0</v>
      </c>
      <c r="AR215" s="0" t="n">
        <f aca="false">MIN(AI215,MAX(0,$AP215-SUMPRODUCT(($AH$1:$AO$1&lt;AI$1)*$AH215:$AO215)))</f>
        <v>0</v>
      </c>
      <c r="AS215" s="0" t="n">
        <f aca="false">MIN(AJ215,MAX(0,$AP215-SUMPRODUCT(($AH$1:$AO$1&lt;AJ$1)*$AH215:$AO215)))</f>
        <v>0</v>
      </c>
      <c r="AT215" s="0" t="n">
        <f aca="false">MIN(AK215,MAX(0,$AP215-SUMPRODUCT(($AH$1:$AO$1&lt;AK$1)*$AH215:$AO215)))</f>
        <v>0</v>
      </c>
      <c r="AU215" s="0" t="n">
        <f aca="false">MIN(AL215,MAX(0,$AP215-SUMPRODUCT(($AH$1:$AO$1&lt;AL$1)*$AH215:$AO215)))</f>
        <v>0</v>
      </c>
      <c r="AV215" s="0" t="n">
        <f aca="false">MIN(AM215,MAX(0,$AP215-SUMPRODUCT(($AH$1:$AO$1&lt;AM$1)*$AH215:$AO215)))</f>
        <v>0</v>
      </c>
      <c r="AW215" s="0" t="n">
        <f aca="false">MIN(AN215,MAX(0,$AP215-SUMPRODUCT(($AH$1:$AO$1&lt;AN$1)*$AH215:$AO215)))</f>
        <v>0</v>
      </c>
      <c r="AX215" s="0" t="n">
        <f aca="false">MIN(AO215,MAX(0,$AP215-SUMPRODUCT(($AH$1:$AO$1&lt;AO$1)*$AH215:$AO215)))</f>
        <v>0</v>
      </c>
      <c r="AY215" s="0" t="n">
        <f aca="false">ROUND(AH215-AQ215,2)</f>
        <v>0</v>
      </c>
      <c r="AZ215" s="0" t="n">
        <f aca="false">ROUND(AI215-AR215,2)</f>
        <v>0</v>
      </c>
      <c r="BA215" s="0" t="n">
        <f aca="false">ROUND(AJ215-AS215,2)</f>
        <v>0</v>
      </c>
      <c r="BB215" s="0" t="n">
        <f aca="false">ROUND(AK215-AT215,2)</f>
        <v>0</v>
      </c>
      <c r="BC215" s="0" t="n">
        <f aca="false">ROUND(AL215-AU215,2)</f>
        <v>0</v>
      </c>
      <c r="BD215" s="0" t="n">
        <f aca="false">ROUND(AM215-AV215,2)</f>
        <v>0</v>
      </c>
      <c r="BE215" s="0" t="n">
        <f aca="false">ROUND(AN215-AW215,2)</f>
        <v>0</v>
      </c>
      <c r="BF215" s="0" t="n">
        <f aca="false">ROUND(AO215-AX215,2)</f>
        <v>0</v>
      </c>
      <c r="BG215" s="0" t="n">
        <f aca="false">SUM(AY215:BF215)</f>
        <v>0</v>
      </c>
    </row>
    <row r="216" customFormat="false" ht="15" hidden="false" customHeight="false" outlineLevel="0" collapsed="false">
      <c r="A216" s="0" t="n">
        <v>214</v>
      </c>
      <c r="B216" s="0" t="n">
        <f aca="false">AY215</f>
        <v>0</v>
      </c>
      <c r="C216" s="0" t="n">
        <f aca="false">AZ215</f>
        <v>0</v>
      </c>
      <c r="D216" s="0" t="n">
        <f aca="false">BA215</f>
        <v>0</v>
      </c>
      <c r="E216" s="0" t="n">
        <f aca="false">BB215</f>
        <v>0</v>
      </c>
      <c r="F216" s="0" t="n">
        <f aca="false">BC215</f>
        <v>0</v>
      </c>
      <c r="G216" s="0" t="n">
        <f aca="false">BD215</f>
        <v>0</v>
      </c>
      <c r="H216" s="0" t="n">
        <f aca="false">BE215</f>
        <v>0</v>
      </c>
      <c r="I216" s="0" t="n">
        <f aca="false">BF215</f>
        <v>0</v>
      </c>
      <c r="J216" s="0" t="n">
        <f aca="false">B216*N('Debt Payoff'!D9)/12</f>
        <v>0</v>
      </c>
      <c r="K216" s="0" t="n">
        <f aca="false">C216*N('Debt Payoff'!D10)/12</f>
        <v>0</v>
      </c>
      <c r="L216" s="0" t="n">
        <f aca="false">D216*N('Debt Payoff'!D11)/12</f>
        <v>0</v>
      </c>
      <c r="M216" s="0" t="n">
        <f aca="false">E216*N('Debt Payoff'!D12)/12</f>
        <v>0</v>
      </c>
      <c r="N216" s="0" t="n">
        <f aca="false">F216*N('Debt Payoff'!D13)/12</f>
        <v>0</v>
      </c>
      <c r="O216" s="0" t="n">
        <f aca="false">G216*N('Debt Payoff'!D14)/12</f>
        <v>0</v>
      </c>
      <c r="P216" s="0" t="n">
        <f aca="false">H216*N('Debt Payoff'!D15)/12</f>
        <v>0</v>
      </c>
      <c r="Q216" s="0" t="n">
        <f aca="false">I216*N('Debt Payoff'!D16)/12</f>
        <v>0</v>
      </c>
      <c r="R216" s="0" t="n">
        <f aca="false">B216+J216</f>
        <v>0</v>
      </c>
      <c r="S216" s="0" t="n">
        <f aca="false">C216+K216</f>
        <v>0</v>
      </c>
      <c r="T216" s="0" t="n">
        <f aca="false">D216+L216</f>
        <v>0</v>
      </c>
      <c r="U216" s="0" t="n">
        <f aca="false">E216+M216</f>
        <v>0</v>
      </c>
      <c r="V216" s="0" t="n">
        <f aca="false">F216+N216</f>
        <v>0</v>
      </c>
      <c r="W216" s="0" t="n">
        <f aca="false">G216+O216</f>
        <v>0</v>
      </c>
      <c r="X216" s="0" t="n">
        <f aca="false">H216+P216</f>
        <v>0</v>
      </c>
      <c r="Y216" s="0" t="n">
        <f aca="false">I216+Q216</f>
        <v>0</v>
      </c>
      <c r="Z216" s="0" t="n">
        <f aca="false">MIN(R216,N('Debt Payoff'!E9))</f>
        <v>0</v>
      </c>
      <c r="AA216" s="0" t="n">
        <f aca="false">MIN(S216,N('Debt Payoff'!E10))</f>
        <v>0</v>
      </c>
      <c r="AB216" s="0" t="n">
        <f aca="false">MIN(T216,N('Debt Payoff'!E11))</f>
        <v>0</v>
      </c>
      <c r="AC216" s="0" t="n">
        <f aca="false">MIN(U216,N('Debt Payoff'!E12))</f>
        <v>0</v>
      </c>
      <c r="AD216" s="0" t="n">
        <f aca="false">MIN(V216,N('Debt Payoff'!E13))</f>
        <v>0</v>
      </c>
      <c r="AE216" s="0" t="n">
        <f aca="false">MIN(W216,N('Debt Payoff'!E14))</f>
        <v>0</v>
      </c>
      <c r="AF216" s="0" t="n">
        <f aca="false">MIN(X216,N('Debt Payoff'!E15))</f>
        <v>0</v>
      </c>
      <c r="AG216" s="0" t="n">
        <f aca="false">MIN(Y216,N('Debt Payoff'!E16))</f>
        <v>0</v>
      </c>
      <c r="AH216" s="0" t="n">
        <f aca="false">R216-Z216</f>
        <v>0</v>
      </c>
      <c r="AI216" s="0" t="n">
        <f aca="false">S216-AA216</f>
        <v>0</v>
      </c>
      <c r="AJ216" s="0" t="n">
        <f aca="false">T216-AB216</f>
        <v>0</v>
      </c>
      <c r="AK216" s="0" t="n">
        <f aca="false">U216-AC216</f>
        <v>0</v>
      </c>
      <c r="AL216" s="0" t="n">
        <f aca="false">V216-AD216</f>
        <v>0</v>
      </c>
      <c r="AM216" s="0" t="n">
        <f aca="false">W216-AE216</f>
        <v>0</v>
      </c>
      <c r="AN216" s="0" t="n">
        <f aca="false">X216-AF216</f>
        <v>0</v>
      </c>
      <c r="AO216" s="0" t="n">
        <f aca="false">Y216-AG216</f>
        <v>0</v>
      </c>
      <c r="AP216" s="0" t="n">
        <f aca="false">MAX(0,'Debt Payoff'!$D$17-SUM(Z216:AG216))</f>
        <v>805</v>
      </c>
      <c r="AQ216" s="0" t="n">
        <f aca="false">MIN(AH216,MAX(0,$AP216-SUMPRODUCT(($AH$1:$AO$1&lt;AH$1)*$AH216:$AO216)))</f>
        <v>0</v>
      </c>
      <c r="AR216" s="0" t="n">
        <f aca="false">MIN(AI216,MAX(0,$AP216-SUMPRODUCT(($AH$1:$AO$1&lt;AI$1)*$AH216:$AO216)))</f>
        <v>0</v>
      </c>
      <c r="AS216" s="0" t="n">
        <f aca="false">MIN(AJ216,MAX(0,$AP216-SUMPRODUCT(($AH$1:$AO$1&lt;AJ$1)*$AH216:$AO216)))</f>
        <v>0</v>
      </c>
      <c r="AT216" s="0" t="n">
        <f aca="false">MIN(AK216,MAX(0,$AP216-SUMPRODUCT(($AH$1:$AO$1&lt;AK$1)*$AH216:$AO216)))</f>
        <v>0</v>
      </c>
      <c r="AU216" s="0" t="n">
        <f aca="false">MIN(AL216,MAX(0,$AP216-SUMPRODUCT(($AH$1:$AO$1&lt;AL$1)*$AH216:$AO216)))</f>
        <v>0</v>
      </c>
      <c r="AV216" s="0" t="n">
        <f aca="false">MIN(AM216,MAX(0,$AP216-SUMPRODUCT(($AH$1:$AO$1&lt;AM$1)*$AH216:$AO216)))</f>
        <v>0</v>
      </c>
      <c r="AW216" s="0" t="n">
        <f aca="false">MIN(AN216,MAX(0,$AP216-SUMPRODUCT(($AH$1:$AO$1&lt;AN$1)*$AH216:$AO216)))</f>
        <v>0</v>
      </c>
      <c r="AX216" s="0" t="n">
        <f aca="false">MIN(AO216,MAX(0,$AP216-SUMPRODUCT(($AH$1:$AO$1&lt;AO$1)*$AH216:$AO216)))</f>
        <v>0</v>
      </c>
      <c r="AY216" s="0" t="n">
        <f aca="false">ROUND(AH216-AQ216,2)</f>
        <v>0</v>
      </c>
      <c r="AZ216" s="0" t="n">
        <f aca="false">ROUND(AI216-AR216,2)</f>
        <v>0</v>
      </c>
      <c r="BA216" s="0" t="n">
        <f aca="false">ROUND(AJ216-AS216,2)</f>
        <v>0</v>
      </c>
      <c r="BB216" s="0" t="n">
        <f aca="false">ROUND(AK216-AT216,2)</f>
        <v>0</v>
      </c>
      <c r="BC216" s="0" t="n">
        <f aca="false">ROUND(AL216-AU216,2)</f>
        <v>0</v>
      </c>
      <c r="BD216" s="0" t="n">
        <f aca="false">ROUND(AM216-AV216,2)</f>
        <v>0</v>
      </c>
      <c r="BE216" s="0" t="n">
        <f aca="false">ROUND(AN216-AW216,2)</f>
        <v>0</v>
      </c>
      <c r="BF216" s="0" t="n">
        <f aca="false">ROUND(AO216-AX216,2)</f>
        <v>0</v>
      </c>
      <c r="BG216" s="0" t="n">
        <f aca="false">SUM(AY216:BF216)</f>
        <v>0</v>
      </c>
    </row>
    <row r="217" customFormat="false" ht="15" hidden="false" customHeight="false" outlineLevel="0" collapsed="false">
      <c r="A217" s="0" t="n">
        <v>215</v>
      </c>
      <c r="B217" s="0" t="n">
        <f aca="false">AY216</f>
        <v>0</v>
      </c>
      <c r="C217" s="0" t="n">
        <f aca="false">AZ216</f>
        <v>0</v>
      </c>
      <c r="D217" s="0" t="n">
        <f aca="false">BA216</f>
        <v>0</v>
      </c>
      <c r="E217" s="0" t="n">
        <f aca="false">BB216</f>
        <v>0</v>
      </c>
      <c r="F217" s="0" t="n">
        <f aca="false">BC216</f>
        <v>0</v>
      </c>
      <c r="G217" s="0" t="n">
        <f aca="false">BD216</f>
        <v>0</v>
      </c>
      <c r="H217" s="0" t="n">
        <f aca="false">BE216</f>
        <v>0</v>
      </c>
      <c r="I217" s="0" t="n">
        <f aca="false">BF216</f>
        <v>0</v>
      </c>
      <c r="J217" s="0" t="n">
        <f aca="false">B217*N('Debt Payoff'!D9)/12</f>
        <v>0</v>
      </c>
      <c r="K217" s="0" t="n">
        <f aca="false">C217*N('Debt Payoff'!D10)/12</f>
        <v>0</v>
      </c>
      <c r="L217" s="0" t="n">
        <f aca="false">D217*N('Debt Payoff'!D11)/12</f>
        <v>0</v>
      </c>
      <c r="M217" s="0" t="n">
        <f aca="false">E217*N('Debt Payoff'!D12)/12</f>
        <v>0</v>
      </c>
      <c r="N217" s="0" t="n">
        <f aca="false">F217*N('Debt Payoff'!D13)/12</f>
        <v>0</v>
      </c>
      <c r="O217" s="0" t="n">
        <f aca="false">G217*N('Debt Payoff'!D14)/12</f>
        <v>0</v>
      </c>
      <c r="P217" s="0" t="n">
        <f aca="false">H217*N('Debt Payoff'!D15)/12</f>
        <v>0</v>
      </c>
      <c r="Q217" s="0" t="n">
        <f aca="false">I217*N('Debt Payoff'!D16)/12</f>
        <v>0</v>
      </c>
      <c r="R217" s="0" t="n">
        <f aca="false">B217+J217</f>
        <v>0</v>
      </c>
      <c r="S217" s="0" t="n">
        <f aca="false">C217+K217</f>
        <v>0</v>
      </c>
      <c r="T217" s="0" t="n">
        <f aca="false">D217+L217</f>
        <v>0</v>
      </c>
      <c r="U217" s="0" t="n">
        <f aca="false">E217+M217</f>
        <v>0</v>
      </c>
      <c r="V217" s="0" t="n">
        <f aca="false">F217+N217</f>
        <v>0</v>
      </c>
      <c r="W217" s="0" t="n">
        <f aca="false">G217+O217</f>
        <v>0</v>
      </c>
      <c r="X217" s="0" t="n">
        <f aca="false">H217+P217</f>
        <v>0</v>
      </c>
      <c r="Y217" s="0" t="n">
        <f aca="false">I217+Q217</f>
        <v>0</v>
      </c>
      <c r="Z217" s="0" t="n">
        <f aca="false">MIN(R217,N('Debt Payoff'!E9))</f>
        <v>0</v>
      </c>
      <c r="AA217" s="0" t="n">
        <f aca="false">MIN(S217,N('Debt Payoff'!E10))</f>
        <v>0</v>
      </c>
      <c r="AB217" s="0" t="n">
        <f aca="false">MIN(T217,N('Debt Payoff'!E11))</f>
        <v>0</v>
      </c>
      <c r="AC217" s="0" t="n">
        <f aca="false">MIN(U217,N('Debt Payoff'!E12))</f>
        <v>0</v>
      </c>
      <c r="AD217" s="0" t="n">
        <f aca="false">MIN(V217,N('Debt Payoff'!E13))</f>
        <v>0</v>
      </c>
      <c r="AE217" s="0" t="n">
        <f aca="false">MIN(W217,N('Debt Payoff'!E14))</f>
        <v>0</v>
      </c>
      <c r="AF217" s="0" t="n">
        <f aca="false">MIN(X217,N('Debt Payoff'!E15))</f>
        <v>0</v>
      </c>
      <c r="AG217" s="0" t="n">
        <f aca="false">MIN(Y217,N('Debt Payoff'!E16))</f>
        <v>0</v>
      </c>
      <c r="AH217" s="0" t="n">
        <f aca="false">R217-Z217</f>
        <v>0</v>
      </c>
      <c r="AI217" s="0" t="n">
        <f aca="false">S217-AA217</f>
        <v>0</v>
      </c>
      <c r="AJ217" s="0" t="n">
        <f aca="false">T217-AB217</f>
        <v>0</v>
      </c>
      <c r="AK217" s="0" t="n">
        <f aca="false">U217-AC217</f>
        <v>0</v>
      </c>
      <c r="AL217" s="0" t="n">
        <f aca="false">V217-AD217</f>
        <v>0</v>
      </c>
      <c r="AM217" s="0" t="n">
        <f aca="false">W217-AE217</f>
        <v>0</v>
      </c>
      <c r="AN217" s="0" t="n">
        <f aca="false">X217-AF217</f>
        <v>0</v>
      </c>
      <c r="AO217" s="0" t="n">
        <f aca="false">Y217-AG217</f>
        <v>0</v>
      </c>
      <c r="AP217" s="0" t="n">
        <f aca="false">MAX(0,'Debt Payoff'!$D$17-SUM(Z217:AG217))</f>
        <v>805</v>
      </c>
      <c r="AQ217" s="0" t="n">
        <f aca="false">MIN(AH217,MAX(0,$AP217-SUMPRODUCT(($AH$1:$AO$1&lt;AH$1)*$AH217:$AO217)))</f>
        <v>0</v>
      </c>
      <c r="AR217" s="0" t="n">
        <f aca="false">MIN(AI217,MAX(0,$AP217-SUMPRODUCT(($AH$1:$AO$1&lt;AI$1)*$AH217:$AO217)))</f>
        <v>0</v>
      </c>
      <c r="AS217" s="0" t="n">
        <f aca="false">MIN(AJ217,MAX(0,$AP217-SUMPRODUCT(($AH$1:$AO$1&lt;AJ$1)*$AH217:$AO217)))</f>
        <v>0</v>
      </c>
      <c r="AT217" s="0" t="n">
        <f aca="false">MIN(AK217,MAX(0,$AP217-SUMPRODUCT(($AH$1:$AO$1&lt;AK$1)*$AH217:$AO217)))</f>
        <v>0</v>
      </c>
      <c r="AU217" s="0" t="n">
        <f aca="false">MIN(AL217,MAX(0,$AP217-SUMPRODUCT(($AH$1:$AO$1&lt;AL$1)*$AH217:$AO217)))</f>
        <v>0</v>
      </c>
      <c r="AV217" s="0" t="n">
        <f aca="false">MIN(AM217,MAX(0,$AP217-SUMPRODUCT(($AH$1:$AO$1&lt;AM$1)*$AH217:$AO217)))</f>
        <v>0</v>
      </c>
      <c r="AW217" s="0" t="n">
        <f aca="false">MIN(AN217,MAX(0,$AP217-SUMPRODUCT(($AH$1:$AO$1&lt;AN$1)*$AH217:$AO217)))</f>
        <v>0</v>
      </c>
      <c r="AX217" s="0" t="n">
        <f aca="false">MIN(AO217,MAX(0,$AP217-SUMPRODUCT(($AH$1:$AO$1&lt;AO$1)*$AH217:$AO217)))</f>
        <v>0</v>
      </c>
      <c r="AY217" s="0" t="n">
        <f aca="false">ROUND(AH217-AQ217,2)</f>
        <v>0</v>
      </c>
      <c r="AZ217" s="0" t="n">
        <f aca="false">ROUND(AI217-AR217,2)</f>
        <v>0</v>
      </c>
      <c r="BA217" s="0" t="n">
        <f aca="false">ROUND(AJ217-AS217,2)</f>
        <v>0</v>
      </c>
      <c r="BB217" s="0" t="n">
        <f aca="false">ROUND(AK217-AT217,2)</f>
        <v>0</v>
      </c>
      <c r="BC217" s="0" t="n">
        <f aca="false">ROUND(AL217-AU217,2)</f>
        <v>0</v>
      </c>
      <c r="BD217" s="0" t="n">
        <f aca="false">ROUND(AM217-AV217,2)</f>
        <v>0</v>
      </c>
      <c r="BE217" s="0" t="n">
        <f aca="false">ROUND(AN217-AW217,2)</f>
        <v>0</v>
      </c>
      <c r="BF217" s="0" t="n">
        <f aca="false">ROUND(AO217-AX217,2)</f>
        <v>0</v>
      </c>
      <c r="BG217" s="0" t="n">
        <f aca="false">SUM(AY217:BF217)</f>
        <v>0</v>
      </c>
    </row>
    <row r="218" customFormat="false" ht="15" hidden="false" customHeight="false" outlineLevel="0" collapsed="false">
      <c r="A218" s="0" t="n">
        <v>216</v>
      </c>
      <c r="B218" s="0" t="n">
        <f aca="false">AY217</f>
        <v>0</v>
      </c>
      <c r="C218" s="0" t="n">
        <f aca="false">AZ217</f>
        <v>0</v>
      </c>
      <c r="D218" s="0" t="n">
        <f aca="false">BA217</f>
        <v>0</v>
      </c>
      <c r="E218" s="0" t="n">
        <f aca="false">BB217</f>
        <v>0</v>
      </c>
      <c r="F218" s="0" t="n">
        <f aca="false">BC217</f>
        <v>0</v>
      </c>
      <c r="G218" s="0" t="n">
        <f aca="false">BD217</f>
        <v>0</v>
      </c>
      <c r="H218" s="0" t="n">
        <f aca="false">BE217</f>
        <v>0</v>
      </c>
      <c r="I218" s="0" t="n">
        <f aca="false">BF217</f>
        <v>0</v>
      </c>
      <c r="J218" s="0" t="n">
        <f aca="false">B218*N('Debt Payoff'!D9)/12</f>
        <v>0</v>
      </c>
      <c r="K218" s="0" t="n">
        <f aca="false">C218*N('Debt Payoff'!D10)/12</f>
        <v>0</v>
      </c>
      <c r="L218" s="0" t="n">
        <f aca="false">D218*N('Debt Payoff'!D11)/12</f>
        <v>0</v>
      </c>
      <c r="M218" s="0" t="n">
        <f aca="false">E218*N('Debt Payoff'!D12)/12</f>
        <v>0</v>
      </c>
      <c r="N218" s="0" t="n">
        <f aca="false">F218*N('Debt Payoff'!D13)/12</f>
        <v>0</v>
      </c>
      <c r="O218" s="0" t="n">
        <f aca="false">G218*N('Debt Payoff'!D14)/12</f>
        <v>0</v>
      </c>
      <c r="P218" s="0" t="n">
        <f aca="false">H218*N('Debt Payoff'!D15)/12</f>
        <v>0</v>
      </c>
      <c r="Q218" s="0" t="n">
        <f aca="false">I218*N('Debt Payoff'!D16)/12</f>
        <v>0</v>
      </c>
      <c r="R218" s="0" t="n">
        <f aca="false">B218+J218</f>
        <v>0</v>
      </c>
      <c r="S218" s="0" t="n">
        <f aca="false">C218+K218</f>
        <v>0</v>
      </c>
      <c r="T218" s="0" t="n">
        <f aca="false">D218+L218</f>
        <v>0</v>
      </c>
      <c r="U218" s="0" t="n">
        <f aca="false">E218+M218</f>
        <v>0</v>
      </c>
      <c r="V218" s="0" t="n">
        <f aca="false">F218+N218</f>
        <v>0</v>
      </c>
      <c r="W218" s="0" t="n">
        <f aca="false">G218+O218</f>
        <v>0</v>
      </c>
      <c r="X218" s="0" t="n">
        <f aca="false">H218+P218</f>
        <v>0</v>
      </c>
      <c r="Y218" s="0" t="n">
        <f aca="false">I218+Q218</f>
        <v>0</v>
      </c>
      <c r="Z218" s="0" t="n">
        <f aca="false">MIN(R218,N('Debt Payoff'!E9))</f>
        <v>0</v>
      </c>
      <c r="AA218" s="0" t="n">
        <f aca="false">MIN(S218,N('Debt Payoff'!E10))</f>
        <v>0</v>
      </c>
      <c r="AB218" s="0" t="n">
        <f aca="false">MIN(T218,N('Debt Payoff'!E11))</f>
        <v>0</v>
      </c>
      <c r="AC218" s="0" t="n">
        <f aca="false">MIN(U218,N('Debt Payoff'!E12))</f>
        <v>0</v>
      </c>
      <c r="AD218" s="0" t="n">
        <f aca="false">MIN(V218,N('Debt Payoff'!E13))</f>
        <v>0</v>
      </c>
      <c r="AE218" s="0" t="n">
        <f aca="false">MIN(W218,N('Debt Payoff'!E14))</f>
        <v>0</v>
      </c>
      <c r="AF218" s="0" t="n">
        <f aca="false">MIN(X218,N('Debt Payoff'!E15))</f>
        <v>0</v>
      </c>
      <c r="AG218" s="0" t="n">
        <f aca="false">MIN(Y218,N('Debt Payoff'!E16))</f>
        <v>0</v>
      </c>
      <c r="AH218" s="0" t="n">
        <f aca="false">R218-Z218</f>
        <v>0</v>
      </c>
      <c r="AI218" s="0" t="n">
        <f aca="false">S218-AA218</f>
        <v>0</v>
      </c>
      <c r="AJ218" s="0" t="n">
        <f aca="false">T218-AB218</f>
        <v>0</v>
      </c>
      <c r="AK218" s="0" t="n">
        <f aca="false">U218-AC218</f>
        <v>0</v>
      </c>
      <c r="AL218" s="0" t="n">
        <f aca="false">V218-AD218</f>
        <v>0</v>
      </c>
      <c r="AM218" s="0" t="n">
        <f aca="false">W218-AE218</f>
        <v>0</v>
      </c>
      <c r="AN218" s="0" t="n">
        <f aca="false">X218-AF218</f>
        <v>0</v>
      </c>
      <c r="AO218" s="0" t="n">
        <f aca="false">Y218-AG218</f>
        <v>0</v>
      </c>
      <c r="AP218" s="0" t="n">
        <f aca="false">MAX(0,'Debt Payoff'!$D$17-SUM(Z218:AG218))</f>
        <v>805</v>
      </c>
      <c r="AQ218" s="0" t="n">
        <f aca="false">MIN(AH218,MAX(0,$AP218-SUMPRODUCT(($AH$1:$AO$1&lt;AH$1)*$AH218:$AO218)))</f>
        <v>0</v>
      </c>
      <c r="AR218" s="0" t="n">
        <f aca="false">MIN(AI218,MAX(0,$AP218-SUMPRODUCT(($AH$1:$AO$1&lt;AI$1)*$AH218:$AO218)))</f>
        <v>0</v>
      </c>
      <c r="AS218" s="0" t="n">
        <f aca="false">MIN(AJ218,MAX(0,$AP218-SUMPRODUCT(($AH$1:$AO$1&lt;AJ$1)*$AH218:$AO218)))</f>
        <v>0</v>
      </c>
      <c r="AT218" s="0" t="n">
        <f aca="false">MIN(AK218,MAX(0,$AP218-SUMPRODUCT(($AH$1:$AO$1&lt;AK$1)*$AH218:$AO218)))</f>
        <v>0</v>
      </c>
      <c r="AU218" s="0" t="n">
        <f aca="false">MIN(AL218,MAX(0,$AP218-SUMPRODUCT(($AH$1:$AO$1&lt;AL$1)*$AH218:$AO218)))</f>
        <v>0</v>
      </c>
      <c r="AV218" s="0" t="n">
        <f aca="false">MIN(AM218,MAX(0,$AP218-SUMPRODUCT(($AH$1:$AO$1&lt;AM$1)*$AH218:$AO218)))</f>
        <v>0</v>
      </c>
      <c r="AW218" s="0" t="n">
        <f aca="false">MIN(AN218,MAX(0,$AP218-SUMPRODUCT(($AH$1:$AO$1&lt;AN$1)*$AH218:$AO218)))</f>
        <v>0</v>
      </c>
      <c r="AX218" s="0" t="n">
        <f aca="false">MIN(AO218,MAX(0,$AP218-SUMPRODUCT(($AH$1:$AO$1&lt;AO$1)*$AH218:$AO218)))</f>
        <v>0</v>
      </c>
      <c r="AY218" s="0" t="n">
        <f aca="false">ROUND(AH218-AQ218,2)</f>
        <v>0</v>
      </c>
      <c r="AZ218" s="0" t="n">
        <f aca="false">ROUND(AI218-AR218,2)</f>
        <v>0</v>
      </c>
      <c r="BA218" s="0" t="n">
        <f aca="false">ROUND(AJ218-AS218,2)</f>
        <v>0</v>
      </c>
      <c r="BB218" s="0" t="n">
        <f aca="false">ROUND(AK218-AT218,2)</f>
        <v>0</v>
      </c>
      <c r="BC218" s="0" t="n">
        <f aca="false">ROUND(AL218-AU218,2)</f>
        <v>0</v>
      </c>
      <c r="BD218" s="0" t="n">
        <f aca="false">ROUND(AM218-AV218,2)</f>
        <v>0</v>
      </c>
      <c r="BE218" s="0" t="n">
        <f aca="false">ROUND(AN218-AW218,2)</f>
        <v>0</v>
      </c>
      <c r="BF218" s="0" t="n">
        <f aca="false">ROUND(AO218-AX218,2)</f>
        <v>0</v>
      </c>
      <c r="BG218" s="0" t="n">
        <f aca="false">SUM(AY218:BF218)</f>
        <v>0</v>
      </c>
    </row>
    <row r="219" customFormat="false" ht="15" hidden="false" customHeight="false" outlineLevel="0" collapsed="false">
      <c r="A219" s="0" t="n">
        <v>217</v>
      </c>
      <c r="B219" s="0" t="n">
        <f aca="false">AY218</f>
        <v>0</v>
      </c>
      <c r="C219" s="0" t="n">
        <f aca="false">AZ218</f>
        <v>0</v>
      </c>
      <c r="D219" s="0" t="n">
        <f aca="false">BA218</f>
        <v>0</v>
      </c>
      <c r="E219" s="0" t="n">
        <f aca="false">BB218</f>
        <v>0</v>
      </c>
      <c r="F219" s="0" t="n">
        <f aca="false">BC218</f>
        <v>0</v>
      </c>
      <c r="G219" s="0" t="n">
        <f aca="false">BD218</f>
        <v>0</v>
      </c>
      <c r="H219" s="0" t="n">
        <f aca="false">BE218</f>
        <v>0</v>
      </c>
      <c r="I219" s="0" t="n">
        <f aca="false">BF218</f>
        <v>0</v>
      </c>
      <c r="J219" s="0" t="n">
        <f aca="false">B219*N('Debt Payoff'!D9)/12</f>
        <v>0</v>
      </c>
      <c r="K219" s="0" t="n">
        <f aca="false">C219*N('Debt Payoff'!D10)/12</f>
        <v>0</v>
      </c>
      <c r="L219" s="0" t="n">
        <f aca="false">D219*N('Debt Payoff'!D11)/12</f>
        <v>0</v>
      </c>
      <c r="M219" s="0" t="n">
        <f aca="false">E219*N('Debt Payoff'!D12)/12</f>
        <v>0</v>
      </c>
      <c r="N219" s="0" t="n">
        <f aca="false">F219*N('Debt Payoff'!D13)/12</f>
        <v>0</v>
      </c>
      <c r="O219" s="0" t="n">
        <f aca="false">G219*N('Debt Payoff'!D14)/12</f>
        <v>0</v>
      </c>
      <c r="P219" s="0" t="n">
        <f aca="false">H219*N('Debt Payoff'!D15)/12</f>
        <v>0</v>
      </c>
      <c r="Q219" s="0" t="n">
        <f aca="false">I219*N('Debt Payoff'!D16)/12</f>
        <v>0</v>
      </c>
      <c r="R219" s="0" t="n">
        <f aca="false">B219+J219</f>
        <v>0</v>
      </c>
      <c r="S219" s="0" t="n">
        <f aca="false">C219+K219</f>
        <v>0</v>
      </c>
      <c r="T219" s="0" t="n">
        <f aca="false">D219+L219</f>
        <v>0</v>
      </c>
      <c r="U219" s="0" t="n">
        <f aca="false">E219+M219</f>
        <v>0</v>
      </c>
      <c r="V219" s="0" t="n">
        <f aca="false">F219+N219</f>
        <v>0</v>
      </c>
      <c r="W219" s="0" t="n">
        <f aca="false">G219+O219</f>
        <v>0</v>
      </c>
      <c r="X219" s="0" t="n">
        <f aca="false">H219+P219</f>
        <v>0</v>
      </c>
      <c r="Y219" s="0" t="n">
        <f aca="false">I219+Q219</f>
        <v>0</v>
      </c>
      <c r="Z219" s="0" t="n">
        <f aca="false">MIN(R219,N('Debt Payoff'!E9))</f>
        <v>0</v>
      </c>
      <c r="AA219" s="0" t="n">
        <f aca="false">MIN(S219,N('Debt Payoff'!E10))</f>
        <v>0</v>
      </c>
      <c r="AB219" s="0" t="n">
        <f aca="false">MIN(T219,N('Debt Payoff'!E11))</f>
        <v>0</v>
      </c>
      <c r="AC219" s="0" t="n">
        <f aca="false">MIN(U219,N('Debt Payoff'!E12))</f>
        <v>0</v>
      </c>
      <c r="AD219" s="0" t="n">
        <f aca="false">MIN(V219,N('Debt Payoff'!E13))</f>
        <v>0</v>
      </c>
      <c r="AE219" s="0" t="n">
        <f aca="false">MIN(W219,N('Debt Payoff'!E14))</f>
        <v>0</v>
      </c>
      <c r="AF219" s="0" t="n">
        <f aca="false">MIN(X219,N('Debt Payoff'!E15))</f>
        <v>0</v>
      </c>
      <c r="AG219" s="0" t="n">
        <f aca="false">MIN(Y219,N('Debt Payoff'!E16))</f>
        <v>0</v>
      </c>
      <c r="AH219" s="0" t="n">
        <f aca="false">R219-Z219</f>
        <v>0</v>
      </c>
      <c r="AI219" s="0" t="n">
        <f aca="false">S219-AA219</f>
        <v>0</v>
      </c>
      <c r="AJ219" s="0" t="n">
        <f aca="false">T219-AB219</f>
        <v>0</v>
      </c>
      <c r="AK219" s="0" t="n">
        <f aca="false">U219-AC219</f>
        <v>0</v>
      </c>
      <c r="AL219" s="0" t="n">
        <f aca="false">V219-AD219</f>
        <v>0</v>
      </c>
      <c r="AM219" s="0" t="n">
        <f aca="false">W219-AE219</f>
        <v>0</v>
      </c>
      <c r="AN219" s="0" t="n">
        <f aca="false">X219-AF219</f>
        <v>0</v>
      </c>
      <c r="AO219" s="0" t="n">
        <f aca="false">Y219-AG219</f>
        <v>0</v>
      </c>
      <c r="AP219" s="0" t="n">
        <f aca="false">MAX(0,'Debt Payoff'!$D$17-SUM(Z219:AG219))</f>
        <v>805</v>
      </c>
      <c r="AQ219" s="0" t="n">
        <f aca="false">MIN(AH219,MAX(0,$AP219-SUMPRODUCT(($AH$1:$AO$1&lt;AH$1)*$AH219:$AO219)))</f>
        <v>0</v>
      </c>
      <c r="AR219" s="0" t="n">
        <f aca="false">MIN(AI219,MAX(0,$AP219-SUMPRODUCT(($AH$1:$AO$1&lt;AI$1)*$AH219:$AO219)))</f>
        <v>0</v>
      </c>
      <c r="AS219" s="0" t="n">
        <f aca="false">MIN(AJ219,MAX(0,$AP219-SUMPRODUCT(($AH$1:$AO$1&lt;AJ$1)*$AH219:$AO219)))</f>
        <v>0</v>
      </c>
      <c r="AT219" s="0" t="n">
        <f aca="false">MIN(AK219,MAX(0,$AP219-SUMPRODUCT(($AH$1:$AO$1&lt;AK$1)*$AH219:$AO219)))</f>
        <v>0</v>
      </c>
      <c r="AU219" s="0" t="n">
        <f aca="false">MIN(AL219,MAX(0,$AP219-SUMPRODUCT(($AH$1:$AO$1&lt;AL$1)*$AH219:$AO219)))</f>
        <v>0</v>
      </c>
      <c r="AV219" s="0" t="n">
        <f aca="false">MIN(AM219,MAX(0,$AP219-SUMPRODUCT(($AH$1:$AO$1&lt;AM$1)*$AH219:$AO219)))</f>
        <v>0</v>
      </c>
      <c r="AW219" s="0" t="n">
        <f aca="false">MIN(AN219,MAX(0,$AP219-SUMPRODUCT(($AH$1:$AO$1&lt;AN$1)*$AH219:$AO219)))</f>
        <v>0</v>
      </c>
      <c r="AX219" s="0" t="n">
        <f aca="false">MIN(AO219,MAX(0,$AP219-SUMPRODUCT(($AH$1:$AO$1&lt;AO$1)*$AH219:$AO219)))</f>
        <v>0</v>
      </c>
      <c r="AY219" s="0" t="n">
        <f aca="false">ROUND(AH219-AQ219,2)</f>
        <v>0</v>
      </c>
      <c r="AZ219" s="0" t="n">
        <f aca="false">ROUND(AI219-AR219,2)</f>
        <v>0</v>
      </c>
      <c r="BA219" s="0" t="n">
        <f aca="false">ROUND(AJ219-AS219,2)</f>
        <v>0</v>
      </c>
      <c r="BB219" s="0" t="n">
        <f aca="false">ROUND(AK219-AT219,2)</f>
        <v>0</v>
      </c>
      <c r="BC219" s="0" t="n">
        <f aca="false">ROUND(AL219-AU219,2)</f>
        <v>0</v>
      </c>
      <c r="BD219" s="0" t="n">
        <f aca="false">ROUND(AM219-AV219,2)</f>
        <v>0</v>
      </c>
      <c r="BE219" s="0" t="n">
        <f aca="false">ROUND(AN219-AW219,2)</f>
        <v>0</v>
      </c>
      <c r="BF219" s="0" t="n">
        <f aca="false">ROUND(AO219-AX219,2)</f>
        <v>0</v>
      </c>
      <c r="BG219" s="0" t="n">
        <f aca="false">SUM(AY219:BF219)</f>
        <v>0</v>
      </c>
    </row>
    <row r="220" customFormat="false" ht="15" hidden="false" customHeight="false" outlineLevel="0" collapsed="false">
      <c r="A220" s="0" t="n">
        <v>218</v>
      </c>
      <c r="B220" s="0" t="n">
        <f aca="false">AY219</f>
        <v>0</v>
      </c>
      <c r="C220" s="0" t="n">
        <f aca="false">AZ219</f>
        <v>0</v>
      </c>
      <c r="D220" s="0" t="n">
        <f aca="false">BA219</f>
        <v>0</v>
      </c>
      <c r="E220" s="0" t="n">
        <f aca="false">BB219</f>
        <v>0</v>
      </c>
      <c r="F220" s="0" t="n">
        <f aca="false">BC219</f>
        <v>0</v>
      </c>
      <c r="G220" s="0" t="n">
        <f aca="false">BD219</f>
        <v>0</v>
      </c>
      <c r="H220" s="0" t="n">
        <f aca="false">BE219</f>
        <v>0</v>
      </c>
      <c r="I220" s="0" t="n">
        <f aca="false">BF219</f>
        <v>0</v>
      </c>
      <c r="J220" s="0" t="n">
        <f aca="false">B220*N('Debt Payoff'!D9)/12</f>
        <v>0</v>
      </c>
      <c r="K220" s="0" t="n">
        <f aca="false">C220*N('Debt Payoff'!D10)/12</f>
        <v>0</v>
      </c>
      <c r="L220" s="0" t="n">
        <f aca="false">D220*N('Debt Payoff'!D11)/12</f>
        <v>0</v>
      </c>
      <c r="M220" s="0" t="n">
        <f aca="false">E220*N('Debt Payoff'!D12)/12</f>
        <v>0</v>
      </c>
      <c r="N220" s="0" t="n">
        <f aca="false">F220*N('Debt Payoff'!D13)/12</f>
        <v>0</v>
      </c>
      <c r="O220" s="0" t="n">
        <f aca="false">G220*N('Debt Payoff'!D14)/12</f>
        <v>0</v>
      </c>
      <c r="P220" s="0" t="n">
        <f aca="false">H220*N('Debt Payoff'!D15)/12</f>
        <v>0</v>
      </c>
      <c r="Q220" s="0" t="n">
        <f aca="false">I220*N('Debt Payoff'!D16)/12</f>
        <v>0</v>
      </c>
      <c r="R220" s="0" t="n">
        <f aca="false">B220+J220</f>
        <v>0</v>
      </c>
      <c r="S220" s="0" t="n">
        <f aca="false">C220+K220</f>
        <v>0</v>
      </c>
      <c r="T220" s="0" t="n">
        <f aca="false">D220+L220</f>
        <v>0</v>
      </c>
      <c r="U220" s="0" t="n">
        <f aca="false">E220+M220</f>
        <v>0</v>
      </c>
      <c r="V220" s="0" t="n">
        <f aca="false">F220+N220</f>
        <v>0</v>
      </c>
      <c r="W220" s="0" t="n">
        <f aca="false">G220+O220</f>
        <v>0</v>
      </c>
      <c r="X220" s="0" t="n">
        <f aca="false">H220+P220</f>
        <v>0</v>
      </c>
      <c r="Y220" s="0" t="n">
        <f aca="false">I220+Q220</f>
        <v>0</v>
      </c>
      <c r="Z220" s="0" t="n">
        <f aca="false">MIN(R220,N('Debt Payoff'!E9))</f>
        <v>0</v>
      </c>
      <c r="AA220" s="0" t="n">
        <f aca="false">MIN(S220,N('Debt Payoff'!E10))</f>
        <v>0</v>
      </c>
      <c r="AB220" s="0" t="n">
        <f aca="false">MIN(T220,N('Debt Payoff'!E11))</f>
        <v>0</v>
      </c>
      <c r="AC220" s="0" t="n">
        <f aca="false">MIN(U220,N('Debt Payoff'!E12))</f>
        <v>0</v>
      </c>
      <c r="AD220" s="0" t="n">
        <f aca="false">MIN(V220,N('Debt Payoff'!E13))</f>
        <v>0</v>
      </c>
      <c r="AE220" s="0" t="n">
        <f aca="false">MIN(W220,N('Debt Payoff'!E14))</f>
        <v>0</v>
      </c>
      <c r="AF220" s="0" t="n">
        <f aca="false">MIN(X220,N('Debt Payoff'!E15))</f>
        <v>0</v>
      </c>
      <c r="AG220" s="0" t="n">
        <f aca="false">MIN(Y220,N('Debt Payoff'!E16))</f>
        <v>0</v>
      </c>
      <c r="AH220" s="0" t="n">
        <f aca="false">R220-Z220</f>
        <v>0</v>
      </c>
      <c r="AI220" s="0" t="n">
        <f aca="false">S220-AA220</f>
        <v>0</v>
      </c>
      <c r="AJ220" s="0" t="n">
        <f aca="false">T220-AB220</f>
        <v>0</v>
      </c>
      <c r="AK220" s="0" t="n">
        <f aca="false">U220-AC220</f>
        <v>0</v>
      </c>
      <c r="AL220" s="0" t="n">
        <f aca="false">V220-AD220</f>
        <v>0</v>
      </c>
      <c r="AM220" s="0" t="n">
        <f aca="false">W220-AE220</f>
        <v>0</v>
      </c>
      <c r="AN220" s="0" t="n">
        <f aca="false">X220-AF220</f>
        <v>0</v>
      </c>
      <c r="AO220" s="0" t="n">
        <f aca="false">Y220-AG220</f>
        <v>0</v>
      </c>
      <c r="AP220" s="0" t="n">
        <f aca="false">MAX(0,'Debt Payoff'!$D$17-SUM(Z220:AG220))</f>
        <v>805</v>
      </c>
      <c r="AQ220" s="0" t="n">
        <f aca="false">MIN(AH220,MAX(0,$AP220-SUMPRODUCT(($AH$1:$AO$1&lt;AH$1)*$AH220:$AO220)))</f>
        <v>0</v>
      </c>
      <c r="AR220" s="0" t="n">
        <f aca="false">MIN(AI220,MAX(0,$AP220-SUMPRODUCT(($AH$1:$AO$1&lt;AI$1)*$AH220:$AO220)))</f>
        <v>0</v>
      </c>
      <c r="AS220" s="0" t="n">
        <f aca="false">MIN(AJ220,MAX(0,$AP220-SUMPRODUCT(($AH$1:$AO$1&lt;AJ$1)*$AH220:$AO220)))</f>
        <v>0</v>
      </c>
      <c r="AT220" s="0" t="n">
        <f aca="false">MIN(AK220,MAX(0,$AP220-SUMPRODUCT(($AH$1:$AO$1&lt;AK$1)*$AH220:$AO220)))</f>
        <v>0</v>
      </c>
      <c r="AU220" s="0" t="n">
        <f aca="false">MIN(AL220,MAX(0,$AP220-SUMPRODUCT(($AH$1:$AO$1&lt;AL$1)*$AH220:$AO220)))</f>
        <v>0</v>
      </c>
      <c r="AV220" s="0" t="n">
        <f aca="false">MIN(AM220,MAX(0,$AP220-SUMPRODUCT(($AH$1:$AO$1&lt;AM$1)*$AH220:$AO220)))</f>
        <v>0</v>
      </c>
      <c r="AW220" s="0" t="n">
        <f aca="false">MIN(AN220,MAX(0,$AP220-SUMPRODUCT(($AH$1:$AO$1&lt;AN$1)*$AH220:$AO220)))</f>
        <v>0</v>
      </c>
      <c r="AX220" s="0" t="n">
        <f aca="false">MIN(AO220,MAX(0,$AP220-SUMPRODUCT(($AH$1:$AO$1&lt;AO$1)*$AH220:$AO220)))</f>
        <v>0</v>
      </c>
      <c r="AY220" s="0" t="n">
        <f aca="false">ROUND(AH220-AQ220,2)</f>
        <v>0</v>
      </c>
      <c r="AZ220" s="0" t="n">
        <f aca="false">ROUND(AI220-AR220,2)</f>
        <v>0</v>
      </c>
      <c r="BA220" s="0" t="n">
        <f aca="false">ROUND(AJ220-AS220,2)</f>
        <v>0</v>
      </c>
      <c r="BB220" s="0" t="n">
        <f aca="false">ROUND(AK220-AT220,2)</f>
        <v>0</v>
      </c>
      <c r="BC220" s="0" t="n">
        <f aca="false">ROUND(AL220-AU220,2)</f>
        <v>0</v>
      </c>
      <c r="BD220" s="0" t="n">
        <f aca="false">ROUND(AM220-AV220,2)</f>
        <v>0</v>
      </c>
      <c r="BE220" s="0" t="n">
        <f aca="false">ROUND(AN220-AW220,2)</f>
        <v>0</v>
      </c>
      <c r="BF220" s="0" t="n">
        <f aca="false">ROUND(AO220-AX220,2)</f>
        <v>0</v>
      </c>
      <c r="BG220" s="0" t="n">
        <f aca="false">SUM(AY220:BF220)</f>
        <v>0</v>
      </c>
    </row>
    <row r="221" customFormat="false" ht="15" hidden="false" customHeight="false" outlineLevel="0" collapsed="false">
      <c r="A221" s="0" t="n">
        <v>219</v>
      </c>
      <c r="B221" s="0" t="n">
        <f aca="false">AY220</f>
        <v>0</v>
      </c>
      <c r="C221" s="0" t="n">
        <f aca="false">AZ220</f>
        <v>0</v>
      </c>
      <c r="D221" s="0" t="n">
        <f aca="false">BA220</f>
        <v>0</v>
      </c>
      <c r="E221" s="0" t="n">
        <f aca="false">BB220</f>
        <v>0</v>
      </c>
      <c r="F221" s="0" t="n">
        <f aca="false">BC220</f>
        <v>0</v>
      </c>
      <c r="G221" s="0" t="n">
        <f aca="false">BD220</f>
        <v>0</v>
      </c>
      <c r="H221" s="0" t="n">
        <f aca="false">BE220</f>
        <v>0</v>
      </c>
      <c r="I221" s="0" t="n">
        <f aca="false">BF220</f>
        <v>0</v>
      </c>
      <c r="J221" s="0" t="n">
        <f aca="false">B221*N('Debt Payoff'!D9)/12</f>
        <v>0</v>
      </c>
      <c r="K221" s="0" t="n">
        <f aca="false">C221*N('Debt Payoff'!D10)/12</f>
        <v>0</v>
      </c>
      <c r="L221" s="0" t="n">
        <f aca="false">D221*N('Debt Payoff'!D11)/12</f>
        <v>0</v>
      </c>
      <c r="M221" s="0" t="n">
        <f aca="false">E221*N('Debt Payoff'!D12)/12</f>
        <v>0</v>
      </c>
      <c r="N221" s="0" t="n">
        <f aca="false">F221*N('Debt Payoff'!D13)/12</f>
        <v>0</v>
      </c>
      <c r="O221" s="0" t="n">
        <f aca="false">G221*N('Debt Payoff'!D14)/12</f>
        <v>0</v>
      </c>
      <c r="P221" s="0" t="n">
        <f aca="false">H221*N('Debt Payoff'!D15)/12</f>
        <v>0</v>
      </c>
      <c r="Q221" s="0" t="n">
        <f aca="false">I221*N('Debt Payoff'!D16)/12</f>
        <v>0</v>
      </c>
      <c r="R221" s="0" t="n">
        <f aca="false">B221+J221</f>
        <v>0</v>
      </c>
      <c r="S221" s="0" t="n">
        <f aca="false">C221+K221</f>
        <v>0</v>
      </c>
      <c r="T221" s="0" t="n">
        <f aca="false">D221+L221</f>
        <v>0</v>
      </c>
      <c r="U221" s="0" t="n">
        <f aca="false">E221+M221</f>
        <v>0</v>
      </c>
      <c r="V221" s="0" t="n">
        <f aca="false">F221+N221</f>
        <v>0</v>
      </c>
      <c r="W221" s="0" t="n">
        <f aca="false">G221+O221</f>
        <v>0</v>
      </c>
      <c r="X221" s="0" t="n">
        <f aca="false">H221+P221</f>
        <v>0</v>
      </c>
      <c r="Y221" s="0" t="n">
        <f aca="false">I221+Q221</f>
        <v>0</v>
      </c>
      <c r="Z221" s="0" t="n">
        <f aca="false">MIN(R221,N('Debt Payoff'!E9))</f>
        <v>0</v>
      </c>
      <c r="AA221" s="0" t="n">
        <f aca="false">MIN(S221,N('Debt Payoff'!E10))</f>
        <v>0</v>
      </c>
      <c r="AB221" s="0" t="n">
        <f aca="false">MIN(T221,N('Debt Payoff'!E11))</f>
        <v>0</v>
      </c>
      <c r="AC221" s="0" t="n">
        <f aca="false">MIN(U221,N('Debt Payoff'!E12))</f>
        <v>0</v>
      </c>
      <c r="AD221" s="0" t="n">
        <f aca="false">MIN(V221,N('Debt Payoff'!E13))</f>
        <v>0</v>
      </c>
      <c r="AE221" s="0" t="n">
        <f aca="false">MIN(W221,N('Debt Payoff'!E14))</f>
        <v>0</v>
      </c>
      <c r="AF221" s="0" t="n">
        <f aca="false">MIN(X221,N('Debt Payoff'!E15))</f>
        <v>0</v>
      </c>
      <c r="AG221" s="0" t="n">
        <f aca="false">MIN(Y221,N('Debt Payoff'!E16))</f>
        <v>0</v>
      </c>
      <c r="AH221" s="0" t="n">
        <f aca="false">R221-Z221</f>
        <v>0</v>
      </c>
      <c r="AI221" s="0" t="n">
        <f aca="false">S221-AA221</f>
        <v>0</v>
      </c>
      <c r="AJ221" s="0" t="n">
        <f aca="false">T221-AB221</f>
        <v>0</v>
      </c>
      <c r="AK221" s="0" t="n">
        <f aca="false">U221-AC221</f>
        <v>0</v>
      </c>
      <c r="AL221" s="0" t="n">
        <f aca="false">V221-AD221</f>
        <v>0</v>
      </c>
      <c r="AM221" s="0" t="n">
        <f aca="false">W221-AE221</f>
        <v>0</v>
      </c>
      <c r="AN221" s="0" t="n">
        <f aca="false">X221-AF221</f>
        <v>0</v>
      </c>
      <c r="AO221" s="0" t="n">
        <f aca="false">Y221-AG221</f>
        <v>0</v>
      </c>
      <c r="AP221" s="0" t="n">
        <f aca="false">MAX(0,'Debt Payoff'!$D$17-SUM(Z221:AG221))</f>
        <v>805</v>
      </c>
      <c r="AQ221" s="0" t="n">
        <f aca="false">MIN(AH221,MAX(0,$AP221-SUMPRODUCT(($AH$1:$AO$1&lt;AH$1)*$AH221:$AO221)))</f>
        <v>0</v>
      </c>
      <c r="AR221" s="0" t="n">
        <f aca="false">MIN(AI221,MAX(0,$AP221-SUMPRODUCT(($AH$1:$AO$1&lt;AI$1)*$AH221:$AO221)))</f>
        <v>0</v>
      </c>
      <c r="AS221" s="0" t="n">
        <f aca="false">MIN(AJ221,MAX(0,$AP221-SUMPRODUCT(($AH$1:$AO$1&lt;AJ$1)*$AH221:$AO221)))</f>
        <v>0</v>
      </c>
      <c r="AT221" s="0" t="n">
        <f aca="false">MIN(AK221,MAX(0,$AP221-SUMPRODUCT(($AH$1:$AO$1&lt;AK$1)*$AH221:$AO221)))</f>
        <v>0</v>
      </c>
      <c r="AU221" s="0" t="n">
        <f aca="false">MIN(AL221,MAX(0,$AP221-SUMPRODUCT(($AH$1:$AO$1&lt;AL$1)*$AH221:$AO221)))</f>
        <v>0</v>
      </c>
      <c r="AV221" s="0" t="n">
        <f aca="false">MIN(AM221,MAX(0,$AP221-SUMPRODUCT(($AH$1:$AO$1&lt;AM$1)*$AH221:$AO221)))</f>
        <v>0</v>
      </c>
      <c r="AW221" s="0" t="n">
        <f aca="false">MIN(AN221,MAX(0,$AP221-SUMPRODUCT(($AH$1:$AO$1&lt;AN$1)*$AH221:$AO221)))</f>
        <v>0</v>
      </c>
      <c r="AX221" s="0" t="n">
        <f aca="false">MIN(AO221,MAX(0,$AP221-SUMPRODUCT(($AH$1:$AO$1&lt;AO$1)*$AH221:$AO221)))</f>
        <v>0</v>
      </c>
      <c r="AY221" s="0" t="n">
        <f aca="false">ROUND(AH221-AQ221,2)</f>
        <v>0</v>
      </c>
      <c r="AZ221" s="0" t="n">
        <f aca="false">ROUND(AI221-AR221,2)</f>
        <v>0</v>
      </c>
      <c r="BA221" s="0" t="n">
        <f aca="false">ROUND(AJ221-AS221,2)</f>
        <v>0</v>
      </c>
      <c r="BB221" s="0" t="n">
        <f aca="false">ROUND(AK221-AT221,2)</f>
        <v>0</v>
      </c>
      <c r="BC221" s="0" t="n">
        <f aca="false">ROUND(AL221-AU221,2)</f>
        <v>0</v>
      </c>
      <c r="BD221" s="0" t="n">
        <f aca="false">ROUND(AM221-AV221,2)</f>
        <v>0</v>
      </c>
      <c r="BE221" s="0" t="n">
        <f aca="false">ROUND(AN221-AW221,2)</f>
        <v>0</v>
      </c>
      <c r="BF221" s="0" t="n">
        <f aca="false">ROUND(AO221-AX221,2)</f>
        <v>0</v>
      </c>
      <c r="BG221" s="0" t="n">
        <f aca="false">SUM(AY221:BF221)</f>
        <v>0</v>
      </c>
    </row>
    <row r="222" customFormat="false" ht="15" hidden="false" customHeight="false" outlineLevel="0" collapsed="false">
      <c r="A222" s="0" t="n">
        <v>220</v>
      </c>
      <c r="B222" s="0" t="n">
        <f aca="false">AY221</f>
        <v>0</v>
      </c>
      <c r="C222" s="0" t="n">
        <f aca="false">AZ221</f>
        <v>0</v>
      </c>
      <c r="D222" s="0" t="n">
        <f aca="false">BA221</f>
        <v>0</v>
      </c>
      <c r="E222" s="0" t="n">
        <f aca="false">BB221</f>
        <v>0</v>
      </c>
      <c r="F222" s="0" t="n">
        <f aca="false">BC221</f>
        <v>0</v>
      </c>
      <c r="G222" s="0" t="n">
        <f aca="false">BD221</f>
        <v>0</v>
      </c>
      <c r="H222" s="0" t="n">
        <f aca="false">BE221</f>
        <v>0</v>
      </c>
      <c r="I222" s="0" t="n">
        <f aca="false">BF221</f>
        <v>0</v>
      </c>
      <c r="J222" s="0" t="n">
        <f aca="false">B222*N('Debt Payoff'!D9)/12</f>
        <v>0</v>
      </c>
      <c r="K222" s="0" t="n">
        <f aca="false">C222*N('Debt Payoff'!D10)/12</f>
        <v>0</v>
      </c>
      <c r="L222" s="0" t="n">
        <f aca="false">D222*N('Debt Payoff'!D11)/12</f>
        <v>0</v>
      </c>
      <c r="M222" s="0" t="n">
        <f aca="false">E222*N('Debt Payoff'!D12)/12</f>
        <v>0</v>
      </c>
      <c r="N222" s="0" t="n">
        <f aca="false">F222*N('Debt Payoff'!D13)/12</f>
        <v>0</v>
      </c>
      <c r="O222" s="0" t="n">
        <f aca="false">G222*N('Debt Payoff'!D14)/12</f>
        <v>0</v>
      </c>
      <c r="P222" s="0" t="n">
        <f aca="false">H222*N('Debt Payoff'!D15)/12</f>
        <v>0</v>
      </c>
      <c r="Q222" s="0" t="n">
        <f aca="false">I222*N('Debt Payoff'!D16)/12</f>
        <v>0</v>
      </c>
      <c r="R222" s="0" t="n">
        <f aca="false">B222+J222</f>
        <v>0</v>
      </c>
      <c r="S222" s="0" t="n">
        <f aca="false">C222+K222</f>
        <v>0</v>
      </c>
      <c r="T222" s="0" t="n">
        <f aca="false">D222+L222</f>
        <v>0</v>
      </c>
      <c r="U222" s="0" t="n">
        <f aca="false">E222+M222</f>
        <v>0</v>
      </c>
      <c r="V222" s="0" t="n">
        <f aca="false">F222+N222</f>
        <v>0</v>
      </c>
      <c r="W222" s="0" t="n">
        <f aca="false">G222+O222</f>
        <v>0</v>
      </c>
      <c r="X222" s="0" t="n">
        <f aca="false">H222+P222</f>
        <v>0</v>
      </c>
      <c r="Y222" s="0" t="n">
        <f aca="false">I222+Q222</f>
        <v>0</v>
      </c>
      <c r="Z222" s="0" t="n">
        <f aca="false">MIN(R222,N('Debt Payoff'!E9))</f>
        <v>0</v>
      </c>
      <c r="AA222" s="0" t="n">
        <f aca="false">MIN(S222,N('Debt Payoff'!E10))</f>
        <v>0</v>
      </c>
      <c r="AB222" s="0" t="n">
        <f aca="false">MIN(T222,N('Debt Payoff'!E11))</f>
        <v>0</v>
      </c>
      <c r="AC222" s="0" t="n">
        <f aca="false">MIN(U222,N('Debt Payoff'!E12))</f>
        <v>0</v>
      </c>
      <c r="AD222" s="0" t="n">
        <f aca="false">MIN(V222,N('Debt Payoff'!E13))</f>
        <v>0</v>
      </c>
      <c r="AE222" s="0" t="n">
        <f aca="false">MIN(W222,N('Debt Payoff'!E14))</f>
        <v>0</v>
      </c>
      <c r="AF222" s="0" t="n">
        <f aca="false">MIN(X222,N('Debt Payoff'!E15))</f>
        <v>0</v>
      </c>
      <c r="AG222" s="0" t="n">
        <f aca="false">MIN(Y222,N('Debt Payoff'!E16))</f>
        <v>0</v>
      </c>
      <c r="AH222" s="0" t="n">
        <f aca="false">R222-Z222</f>
        <v>0</v>
      </c>
      <c r="AI222" s="0" t="n">
        <f aca="false">S222-AA222</f>
        <v>0</v>
      </c>
      <c r="AJ222" s="0" t="n">
        <f aca="false">T222-AB222</f>
        <v>0</v>
      </c>
      <c r="AK222" s="0" t="n">
        <f aca="false">U222-AC222</f>
        <v>0</v>
      </c>
      <c r="AL222" s="0" t="n">
        <f aca="false">V222-AD222</f>
        <v>0</v>
      </c>
      <c r="AM222" s="0" t="n">
        <f aca="false">W222-AE222</f>
        <v>0</v>
      </c>
      <c r="AN222" s="0" t="n">
        <f aca="false">X222-AF222</f>
        <v>0</v>
      </c>
      <c r="AO222" s="0" t="n">
        <f aca="false">Y222-AG222</f>
        <v>0</v>
      </c>
      <c r="AP222" s="0" t="n">
        <f aca="false">MAX(0,'Debt Payoff'!$D$17-SUM(Z222:AG222))</f>
        <v>805</v>
      </c>
      <c r="AQ222" s="0" t="n">
        <f aca="false">MIN(AH222,MAX(0,$AP222-SUMPRODUCT(($AH$1:$AO$1&lt;AH$1)*$AH222:$AO222)))</f>
        <v>0</v>
      </c>
      <c r="AR222" s="0" t="n">
        <f aca="false">MIN(AI222,MAX(0,$AP222-SUMPRODUCT(($AH$1:$AO$1&lt;AI$1)*$AH222:$AO222)))</f>
        <v>0</v>
      </c>
      <c r="AS222" s="0" t="n">
        <f aca="false">MIN(AJ222,MAX(0,$AP222-SUMPRODUCT(($AH$1:$AO$1&lt;AJ$1)*$AH222:$AO222)))</f>
        <v>0</v>
      </c>
      <c r="AT222" s="0" t="n">
        <f aca="false">MIN(AK222,MAX(0,$AP222-SUMPRODUCT(($AH$1:$AO$1&lt;AK$1)*$AH222:$AO222)))</f>
        <v>0</v>
      </c>
      <c r="AU222" s="0" t="n">
        <f aca="false">MIN(AL222,MAX(0,$AP222-SUMPRODUCT(($AH$1:$AO$1&lt;AL$1)*$AH222:$AO222)))</f>
        <v>0</v>
      </c>
      <c r="AV222" s="0" t="n">
        <f aca="false">MIN(AM222,MAX(0,$AP222-SUMPRODUCT(($AH$1:$AO$1&lt;AM$1)*$AH222:$AO222)))</f>
        <v>0</v>
      </c>
      <c r="AW222" s="0" t="n">
        <f aca="false">MIN(AN222,MAX(0,$AP222-SUMPRODUCT(($AH$1:$AO$1&lt;AN$1)*$AH222:$AO222)))</f>
        <v>0</v>
      </c>
      <c r="AX222" s="0" t="n">
        <f aca="false">MIN(AO222,MAX(0,$AP222-SUMPRODUCT(($AH$1:$AO$1&lt;AO$1)*$AH222:$AO222)))</f>
        <v>0</v>
      </c>
      <c r="AY222" s="0" t="n">
        <f aca="false">ROUND(AH222-AQ222,2)</f>
        <v>0</v>
      </c>
      <c r="AZ222" s="0" t="n">
        <f aca="false">ROUND(AI222-AR222,2)</f>
        <v>0</v>
      </c>
      <c r="BA222" s="0" t="n">
        <f aca="false">ROUND(AJ222-AS222,2)</f>
        <v>0</v>
      </c>
      <c r="BB222" s="0" t="n">
        <f aca="false">ROUND(AK222-AT222,2)</f>
        <v>0</v>
      </c>
      <c r="BC222" s="0" t="n">
        <f aca="false">ROUND(AL222-AU222,2)</f>
        <v>0</v>
      </c>
      <c r="BD222" s="0" t="n">
        <f aca="false">ROUND(AM222-AV222,2)</f>
        <v>0</v>
      </c>
      <c r="BE222" s="0" t="n">
        <f aca="false">ROUND(AN222-AW222,2)</f>
        <v>0</v>
      </c>
      <c r="BF222" s="0" t="n">
        <f aca="false">ROUND(AO222-AX222,2)</f>
        <v>0</v>
      </c>
      <c r="BG222" s="0" t="n">
        <f aca="false">SUM(AY222:BF222)</f>
        <v>0</v>
      </c>
    </row>
    <row r="223" customFormat="false" ht="15" hidden="false" customHeight="false" outlineLevel="0" collapsed="false">
      <c r="A223" s="0" t="n">
        <v>221</v>
      </c>
      <c r="B223" s="0" t="n">
        <f aca="false">AY222</f>
        <v>0</v>
      </c>
      <c r="C223" s="0" t="n">
        <f aca="false">AZ222</f>
        <v>0</v>
      </c>
      <c r="D223" s="0" t="n">
        <f aca="false">BA222</f>
        <v>0</v>
      </c>
      <c r="E223" s="0" t="n">
        <f aca="false">BB222</f>
        <v>0</v>
      </c>
      <c r="F223" s="0" t="n">
        <f aca="false">BC222</f>
        <v>0</v>
      </c>
      <c r="G223" s="0" t="n">
        <f aca="false">BD222</f>
        <v>0</v>
      </c>
      <c r="H223" s="0" t="n">
        <f aca="false">BE222</f>
        <v>0</v>
      </c>
      <c r="I223" s="0" t="n">
        <f aca="false">BF222</f>
        <v>0</v>
      </c>
      <c r="J223" s="0" t="n">
        <f aca="false">B223*N('Debt Payoff'!D9)/12</f>
        <v>0</v>
      </c>
      <c r="K223" s="0" t="n">
        <f aca="false">C223*N('Debt Payoff'!D10)/12</f>
        <v>0</v>
      </c>
      <c r="L223" s="0" t="n">
        <f aca="false">D223*N('Debt Payoff'!D11)/12</f>
        <v>0</v>
      </c>
      <c r="M223" s="0" t="n">
        <f aca="false">E223*N('Debt Payoff'!D12)/12</f>
        <v>0</v>
      </c>
      <c r="N223" s="0" t="n">
        <f aca="false">F223*N('Debt Payoff'!D13)/12</f>
        <v>0</v>
      </c>
      <c r="O223" s="0" t="n">
        <f aca="false">G223*N('Debt Payoff'!D14)/12</f>
        <v>0</v>
      </c>
      <c r="P223" s="0" t="n">
        <f aca="false">H223*N('Debt Payoff'!D15)/12</f>
        <v>0</v>
      </c>
      <c r="Q223" s="0" t="n">
        <f aca="false">I223*N('Debt Payoff'!D16)/12</f>
        <v>0</v>
      </c>
      <c r="R223" s="0" t="n">
        <f aca="false">B223+J223</f>
        <v>0</v>
      </c>
      <c r="S223" s="0" t="n">
        <f aca="false">C223+K223</f>
        <v>0</v>
      </c>
      <c r="T223" s="0" t="n">
        <f aca="false">D223+L223</f>
        <v>0</v>
      </c>
      <c r="U223" s="0" t="n">
        <f aca="false">E223+M223</f>
        <v>0</v>
      </c>
      <c r="V223" s="0" t="n">
        <f aca="false">F223+N223</f>
        <v>0</v>
      </c>
      <c r="W223" s="0" t="n">
        <f aca="false">G223+O223</f>
        <v>0</v>
      </c>
      <c r="X223" s="0" t="n">
        <f aca="false">H223+P223</f>
        <v>0</v>
      </c>
      <c r="Y223" s="0" t="n">
        <f aca="false">I223+Q223</f>
        <v>0</v>
      </c>
      <c r="Z223" s="0" t="n">
        <f aca="false">MIN(R223,N('Debt Payoff'!E9))</f>
        <v>0</v>
      </c>
      <c r="AA223" s="0" t="n">
        <f aca="false">MIN(S223,N('Debt Payoff'!E10))</f>
        <v>0</v>
      </c>
      <c r="AB223" s="0" t="n">
        <f aca="false">MIN(T223,N('Debt Payoff'!E11))</f>
        <v>0</v>
      </c>
      <c r="AC223" s="0" t="n">
        <f aca="false">MIN(U223,N('Debt Payoff'!E12))</f>
        <v>0</v>
      </c>
      <c r="AD223" s="0" t="n">
        <f aca="false">MIN(V223,N('Debt Payoff'!E13))</f>
        <v>0</v>
      </c>
      <c r="AE223" s="0" t="n">
        <f aca="false">MIN(W223,N('Debt Payoff'!E14))</f>
        <v>0</v>
      </c>
      <c r="AF223" s="0" t="n">
        <f aca="false">MIN(X223,N('Debt Payoff'!E15))</f>
        <v>0</v>
      </c>
      <c r="AG223" s="0" t="n">
        <f aca="false">MIN(Y223,N('Debt Payoff'!E16))</f>
        <v>0</v>
      </c>
      <c r="AH223" s="0" t="n">
        <f aca="false">R223-Z223</f>
        <v>0</v>
      </c>
      <c r="AI223" s="0" t="n">
        <f aca="false">S223-AA223</f>
        <v>0</v>
      </c>
      <c r="AJ223" s="0" t="n">
        <f aca="false">T223-AB223</f>
        <v>0</v>
      </c>
      <c r="AK223" s="0" t="n">
        <f aca="false">U223-AC223</f>
        <v>0</v>
      </c>
      <c r="AL223" s="0" t="n">
        <f aca="false">V223-AD223</f>
        <v>0</v>
      </c>
      <c r="AM223" s="0" t="n">
        <f aca="false">W223-AE223</f>
        <v>0</v>
      </c>
      <c r="AN223" s="0" t="n">
        <f aca="false">X223-AF223</f>
        <v>0</v>
      </c>
      <c r="AO223" s="0" t="n">
        <f aca="false">Y223-AG223</f>
        <v>0</v>
      </c>
      <c r="AP223" s="0" t="n">
        <f aca="false">MAX(0,'Debt Payoff'!$D$17-SUM(Z223:AG223))</f>
        <v>805</v>
      </c>
      <c r="AQ223" s="0" t="n">
        <f aca="false">MIN(AH223,MAX(0,$AP223-SUMPRODUCT(($AH$1:$AO$1&lt;AH$1)*$AH223:$AO223)))</f>
        <v>0</v>
      </c>
      <c r="AR223" s="0" t="n">
        <f aca="false">MIN(AI223,MAX(0,$AP223-SUMPRODUCT(($AH$1:$AO$1&lt;AI$1)*$AH223:$AO223)))</f>
        <v>0</v>
      </c>
      <c r="AS223" s="0" t="n">
        <f aca="false">MIN(AJ223,MAX(0,$AP223-SUMPRODUCT(($AH$1:$AO$1&lt;AJ$1)*$AH223:$AO223)))</f>
        <v>0</v>
      </c>
      <c r="AT223" s="0" t="n">
        <f aca="false">MIN(AK223,MAX(0,$AP223-SUMPRODUCT(($AH$1:$AO$1&lt;AK$1)*$AH223:$AO223)))</f>
        <v>0</v>
      </c>
      <c r="AU223" s="0" t="n">
        <f aca="false">MIN(AL223,MAX(0,$AP223-SUMPRODUCT(($AH$1:$AO$1&lt;AL$1)*$AH223:$AO223)))</f>
        <v>0</v>
      </c>
      <c r="AV223" s="0" t="n">
        <f aca="false">MIN(AM223,MAX(0,$AP223-SUMPRODUCT(($AH$1:$AO$1&lt;AM$1)*$AH223:$AO223)))</f>
        <v>0</v>
      </c>
      <c r="AW223" s="0" t="n">
        <f aca="false">MIN(AN223,MAX(0,$AP223-SUMPRODUCT(($AH$1:$AO$1&lt;AN$1)*$AH223:$AO223)))</f>
        <v>0</v>
      </c>
      <c r="AX223" s="0" t="n">
        <f aca="false">MIN(AO223,MAX(0,$AP223-SUMPRODUCT(($AH$1:$AO$1&lt;AO$1)*$AH223:$AO223)))</f>
        <v>0</v>
      </c>
      <c r="AY223" s="0" t="n">
        <f aca="false">ROUND(AH223-AQ223,2)</f>
        <v>0</v>
      </c>
      <c r="AZ223" s="0" t="n">
        <f aca="false">ROUND(AI223-AR223,2)</f>
        <v>0</v>
      </c>
      <c r="BA223" s="0" t="n">
        <f aca="false">ROUND(AJ223-AS223,2)</f>
        <v>0</v>
      </c>
      <c r="BB223" s="0" t="n">
        <f aca="false">ROUND(AK223-AT223,2)</f>
        <v>0</v>
      </c>
      <c r="BC223" s="0" t="n">
        <f aca="false">ROUND(AL223-AU223,2)</f>
        <v>0</v>
      </c>
      <c r="BD223" s="0" t="n">
        <f aca="false">ROUND(AM223-AV223,2)</f>
        <v>0</v>
      </c>
      <c r="BE223" s="0" t="n">
        <f aca="false">ROUND(AN223-AW223,2)</f>
        <v>0</v>
      </c>
      <c r="BF223" s="0" t="n">
        <f aca="false">ROUND(AO223-AX223,2)</f>
        <v>0</v>
      </c>
      <c r="BG223" s="0" t="n">
        <f aca="false">SUM(AY223:BF223)</f>
        <v>0</v>
      </c>
    </row>
    <row r="224" customFormat="false" ht="15" hidden="false" customHeight="false" outlineLevel="0" collapsed="false">
      <c r="A224" s="0" t="n">
        <v>222</v>
      </c>
      <c r="B224" s="0" t="n">
        <f aca="false">AY223</f>
        <v>0</v>
      </c>
      <c r="C224" s="0" t="n">
        <f aca="false">AZ223</f>
        <v>0</v>
      </c>
      <c r="D224" s="0" t="n">
        <f aca="false">BA223</f>
        <v>0</v>
      </c>
      <c r="E224" s="0" t="n">
        <f aca="false">BB223</f>
        <v>0</v>
      </c>
      <c r="F224" s="0" t="n">
        <f aca="false">BC223</f>
        <v>0</v>
      </c>
      <c r="G224" s="0" t="n">
        <f aca="false">BD223</f>
        <v>0</v>
      </c>
      <c r="H224" s="0" t="n">
        <f aca="false">BE223</f>
        <v>0</v>
      </c>
      <c r="I224" s="0" t="n">
        <f aca="false">BF223</f>
        <v>0</v>
      </c>
      <c r="J224" s="0" t="n">
        <f aca="false">B224*N('Debt Payoff'!D9)/12</f>
        <v>0</v>
      </c>
      <c r="K224" s="0" t="n">
        <f aca="false">C224*N('Debt Payoff'!D10)/12</f>
        <v>0</v>
      </c>
      <c r="L224" s="0" t="n">
        <f aca="false">D224*N('Debt Payoff'!D11)/12</f>
        <v>0</v>
      </c>
      <c r="M224" s="0" t="n">
        <f aca="false">E224*N('Debt Payoff'!D12)/12</f>
        <v>0</v>
      </c>
      <c r="N224" s="0" t="n">
        <f aca="false">F224*N('Debt Payoff'!D13)/12</f>
        <v>0</v>
      </c>
      <c r="O224" s="0" t="n">
        <f aca="false">G224*N('Debt Payoff'!D14)/12</f>
        <v>0</v>
      </c>
      <c r="P224" s="0" t="n">
        <f aca="false">H224*N('Debt Payoff'!D15)/12</f>
        <v>0</v>
      </c>
      <c r="Q224" s="0" t="n">
        <f aca="false">I224*N('Debt Payoff'!D16)/12</f>
        <v>0</v>
      </c>
      <c r="R224" s="0" t="n">
        <f aca="false">B224+J224</f>
        <v>0</v>
      </c>
      <c r="S224" s="0" t="n">
        <f aca="false">C224+K224</f>
        <v>0</v>
      </c>
      <c r="T224" s="0" t="n">
        <f aca="false">D224+L224</f>
        <v>0</v>
      </c>
      <c r="U224" s="0" t="n">
        <f aca="false">E224+M224</f>
        <v>0</v>
      </c>
      <c r="V224" s="0" t="n">
        <f aca="false">F224+N224</f>
        <v>0</v>
      </c>
      <c r="W224" s="0" t="n">
        <f aca="false">G224+O224</f>
        <v>0</v>
      </c>
      <c r="X224" s="0" t="n">
        <f aca="false">H224+P224</f>
        <v>0</v>
      </c>
      <c r="Y224" s="0" t="n">
        <f aca="false">I224+Q224</f>
        <v>0</v>
      </c>
      <c r="Z224" s="0" t="n">
        <f aca="false">MIN(R224,N('Debt Payoff'!E9))</f>
        <v>0</v>
      </c>
      <c r="AA224" s="0" t="n">
        <f aca="false">MIN(S224,N('Debt Payoff'!E10))</f>
        <v>0</v>
      </c>
      <c r="AB224" s="0" t="n">
        <f aca="false">MIN(T224,N('Debt Payoff'!E11))</f>
        <v>0</v>
      </c>
      <c r="AC224" s="0" t="n">
        <f aca="false">MIN(U224,N('Debt Payoff'!E12))</f>
        <v>0</v>
      </c>
      <c r="AD224" s="0" t="n">
        <f aca="false">MIN(V224,N('Debt Payoff'!E13))</f>
        <v>0</v>
      </c>
      <c r="AE224" s="0" t="n">
        <f aca="false">MIN(W224,N('Debt Payoff'!E14))</f>
        <v>0</v>
      </c>
      <c r="AF224" s="0" t="n">
        <f aca="false">MIN(X224,N('Debt Payoff'!E15))</f>
        <v>0</v>
      </c>
      <c r="AG224" s="0" t="n">
        <f aca="false">MIN(Y224,N('Debt Payoff'!E16))</f>
        <v>0</v>
      </c>
      <c r="AH224" s="0" t="n">
        <f aca="false">R224-Z224</f>
        <v>0</v>
      </c>
      <c r="AI224" s="0" t="n">
        <f aca="false">S224-AA224</f>
        <v>0</v>
      </c>
      <c r="AJ224" s="0" t="n">
        <f aca="false">T224-AB224</f>
        <v>0</v>
      </c>
      <c r="AK224" s="0" t="n">
        <f aca="false">U224-AC224</f>
        <v>0</v>
      </c>
      <c r="AL224" s="0" t="n">
        <f aca="false">V224-AD224</f>
        <v>0</v>
      </c>
      <c r="AM224" s="0" t="n">
        <f aca="false">W224-AE224</f>
        <v>0</v>
      </c>
      <c r="AN224" s="0" t="n">
        <f aca="false">X224-AF224</f>
        <v>0</v>
      </c>
      <c r="AO224" s="0" t="n">
        <f aca="false">Y224-AG224</f>
        <v>0</v>
      </c>
      <c r="AP224" s="0" t="n">
        <f aca="false">MAX(0,'Debt Payoff'!$D$17-SUM(Z224:AG224))</f>
        <v>805</v>
      </c>
      <c r="AQ224" s="0" t="n">
        <f aca="false">MIN(AH224,MAX(0,$AP224-SUMPRODUCT(($AH$1:$AO$1&lt;AH$1)*$AH224:$AO224)))</f>
        <v>0</v>
      </c>
      <c r="AR224" s="0" t="n">
        <f aca="false">MIN(AI224,MAX(0,$AP224-SUMPRODUCT(($AH$1:$AO$1&lt;AI$1)*$AH224:$AO224)))</f>
        <v>0</v>
      </c>
      <c r="AS224" s="0" t="n">
        <f aca="false">MIN(AJ224,MAX(0,$AP224-SUMPRODUCT(($AH$1:$AO$1&lt;AJ$1)*$AH224:$AO224)))</f>
        <v>0</v>
      </c>
      <c r="AT224" s="0" t="n">
        <f aca="false">MIN(AK224,MAX(0,$AP224-SUMPRODUCT(($AH$1:$AO$1&lt;AK$1)*$AH224:$AO224)))</f>
        <v>0</v>
      </c>
      <c r="AU224" s="0" t="n">
        <f aca="false">MIN(AL224,MAX(0,$AP224-SUMPRODUCT(($AH$1:$AO$1&lt;AL$1)*$AH224:$AO224)))</f>
        <v>0</v>
      </c>
      <c r="AV224" s="0" t="n">
        <f aca="false">MIN(AM224,MAX(0,$AP224-SUMPRODUCT(($AH$1:$AO$1&lt;AM$1)*$AH224:$AO224)))</f>
        <v>0</v>
      </c>
      <c r="AW224" s="0" t="n">
        <f aca="false">MIN(AN224,MAX(0,$AP224-SUMPRODUCT(($AH$1:$AO$1&lt;AN$1)*$AH224:$AO224)))</f>
        <v>0</v>
      </c>
      <c r="AX224" s="0" t="n">
        <f aca="false">MIN(AO224,MAX(0,$AP224-SUMPRODUCT(($AH$1:$AO$1&lt;AO$1)*$AH224:$AO224)))</f>
        <v>0</v>
      </c>
      <c r="AY224" s="0" t="n">
        <f aca="false">ROUND(AH224-AQ224,2)</f>
        <v>0</v>
      </c>
      <c r="AZ224" s="0" t="n">
        <f aca="false">ROUND(AI224-AR224,2)</f>
        <v>0</v>
      </c>
      <c r="BA224" s="0" t="n">
        <f aca="false">ROUND(AJ224-AS224,2)</f>
        <v>0</v>
      </c>
      <c r="BB224" s="0" t="n">
        <f aca="false">ROUND(AK224-AT224,2)</f>
        <v>0</v>
      </c>
      <c r="BC224" s="0" t="n">
        <f aca="false">ROUND(AL224-AU224,2)</f>
        <v>0</v>
      </c>
      <c r="BD224" s="0" t="n">
        <f aca="false">ROUND(AM224-AV224,2)</f>
        <v>0</v>
      </c>
      <c r="BE224" s="0" t="n">
        <f aca="false">ROUND(AN224-AW224,2)</f>
        <v>0</v>
      </c>
      <c r="BF224" s="0" t="n">
        <f aca="false">ROUND(AO224-AX224,2)</f>
        <v>0</v>
      </c>
      <c r="BG224" s="0" t="n">
        <f aca="false">SUM(AY224:BF224)</f>
        <v>0</v>
      </c>
    </row>
    <row r="225" customFormat="false" ht="15" hidden="false" customHeight="false" outlineLevel="0" collapsed="false">
      <c r="A225" s="0" t="n">
        <v>223</v>
      </c>
      <c r="B225" s="0" t="n">
        <f aca="false">AY224</f>
        <v>0</v>
      </c>
      <c r="C225" s="0" t="n">
        <f aca="false">AZ224</f>
        <v>0</v>
      </c>
      <c r="D225" s="0" t="n">
        <f aca="false">BA224</f>
        <v>0</v>
      </c>
      <c r="E225" s="0" t="n">
        <f aca="false">BB224</f>
        <v>0</v>
      </c>
      <c r="F225" s="0" t="n">
        <f aca="false">BC224</f>
        <v>0</v>
      </c>
      <c r="G225" s="0" t="n">
        <f aca="false">BD224</f>
        <v>0</v>
      </c>
      <c r="H225" s="0" t="n">
        <f aca="false">BE224</f>
        <v>0</v>
      </c>
      <c r="I225" s="0" t="n">
        <f aca="false">BF224</f>
        <v>0</v>
      </c>
      <c r="J225" s="0" t="n">
        <f aca="false">B225*N('Debt Payoff'!D9)/12</f>
        <v>0</v>
      </c>
      <c r="K225" s="0" t="n">
        <f aca="false">C225*N('Debt Payoff'!D10)/12</f>
        <v>0</v>
      </c>
      <c r="L225" s="0" t="n">
        <f aca="false">D225*N('Debt Payoff'!D11)/12</f>
        <v>0</v>
      </c>
      <c r="M225" s="0" t="n">
        <f aca="false">E225*N('Debt Payoff'!D12)/12</f>
        <v>0</v>
      </c>
      <c r="N225" s="0" t="n">
        <f aca="false">F225*N('Debt Payoff'!D13)/12</f>
        <v>0</v>
      </c>
      <c r="O225" s="0" t="n">
        <f aca="false">G225*N('Debt Payoff'!D14)/12</f>
        <v>0</v>
      </c>
      <c r="P225" s="0" t="n">
        <f aca="false">H225*N('Debt Payoff'!D15)/12</f>
        <v>0</v>
      </c>
      <c r="Q225" s="0" t="n">
        <f aca="false">I225*N('Debt Payoff'!D16)/12</f>
        <v>0</v>
      </c>
      <c r="R225" s="0" t="n">
        <f aca="false">B225+J225</f>
        <v>0</v>
      </c>
      <c r="S225" s="0" t="n">
        <f aca="false">C225+K225</f>
        <v>0</v>
      </c>
      <c r="T225" s="0" t="n">
        <f aca="false">D225+L225</f>
        <v>0</v>
      </c>
      <c r="U225" s="0" t="n">
        <f aca="false">E225+M225</f>
        <v>0</v>
      </c>
      <c r="V225" s="0" t="n">
        <f aca="false">F225+N225</f>
        <v>0</v>
      </c>
      <c r="W225" s="0" t="n">
        <f aca="false">G225+O225</f>
        <v>0</v>
      </c>
      <c r="X225" s="0" t="n">
        <f aca="false">H225+P225</f>
        <v>0</v>
      </c>
      <c r="Y225" s="0" t="n">
        <f aca="false">I225+Q225</f>
        <v>0</v>
      </c>
      <c r="Z225" s="0" t="n">
        <f aca="false">MIN(R225,N('Debt Payoff'!E9))</f>
        <v>0</v>
      </c>
      <c r="AA225" s="0" t="n">
        <f aca="false">MIN(S225,N('Debt Payoff'!E10))</f>
        <v>0</v>
      </c>
      <c r="AB225" s="0" t="n">
        <f aca="false">MIN(T225,N('Debt Payoff'!E11))</f>
        <v>0</v>
      </c>
      <c r="AC225" s="0" t="n">
        <f aca="false">MIN(U225,N('Debt Payoff'!E12))</f>
        <v>0</v>
      </c>
      <c r="AD225" s="0" t="n">
        <f aca="false">MIN(V225,N('Debt Payoff'!E13))</f>
        <v>0</v>
      </c>
      <c r="AE225" s="0" t="n">
        <f aca="false">MIN(W225,N('Debt Payoff'!E14))</f>
        <v>0</v>
      </c>
      <c r="AF225" s="0" t="n">
        <f aca="false">MIN(X225,N('Debt Payoff'!E15))</f>
        <v>0</v>
      </c>
      <c r="AG225" s="0" t="n">
        <f aca="false">MIN(Y225,N('Debt Payoff'!E16))</f>
        <v>0</v>
      </c>
      <c r="AH225" s="0" t="n">
        <f aca="false">R225-Z225</f>
        <v>0</v>
      </c>
      <c r="AI225" s="0" t="n">
        <f aca="false">S225-AA225</f>
        <v>0</v>
      </c>
      <c r="AJ225" s="0" t="n">
        <f aca="false">T225-AB225</f>
        <v>0</v>
      </c>
      <c r="AK225" s="0" t="n">
        <f aca="false">U225-AC225</f>
        <v>0</v>
      </c>
      <c r="AL225" s="0" t="n">
        <f aca="false">V225-AD225</f>
        <v>0</v>
      </c>
      <c r="AM225" s="0" t="n">
        <f aca="false">W225-AE225</f>
        <v>0</v>
      </c>
      <c r="AN225" s="0" t="n">
        <f aca="false">X225-AF225</f>
        <v>0</v>
      </c>
      <c r="AO225" s="0" t="n">
        <f aca="false">Y225-AG225</f>
        <v>0</v>
      </c>
      <c r="AP225" s="0" t="n">
        <f aca="false">MAX(0,'Debt Payoff'!$D$17-SUM(Z225:AG225))</f>
        <v>805</v>
      </c>
      <c r="AQ225" s="0" t="n">
        <f aca="false">MIN(AH225,MAX(0,$AP225-SUMPRODUCT(($AH$1:$AO$1&lt;AH$1)*$AH225:$AO225)))</f>
        <v>0</v>
      </c>
      <c r="AR225" s="0" t="n">
        <f aca="false">MIN(AI225,MAX(0,$AP225-SUMPRODUCT(($AH$1:$AO$1&lt;AI$1)*$AH225:$AO225)))</f>
        <v>0</v>
      </c>
      <c r="AS225" s="0" t="n">
        <f aca="false">MIN(AJ225,MAX(0,$AP225-SUMPRODUCT(($AH$1:$AO$1&lt;AJ$1)*$AH225:$AO225)))</f>
        <v>0</v>
      </c>
      <c r="AT225" s="0" t="n">
        <f aca="false">MIN(AK225,MAX(0,$AP225-SUMPRODUCT(($AH$1:$AO$1&lt;AK$1)*$AH225:$AO225)))</f>
        <v>0</v>
      </c>
      <c r="AU225" s="0" t="n">
        <f aca="false">MIN(AL225,MAX(0,$AP225-SUMPRODUCT(($AH$1:$AO$1&lt;AL$1)*$AH225:$AO225)))</f>
        <v>0</v>
      </c>
      <c r="AV225" s="0" t="n">
        <f aca="false">MIN(AM225,MAX(0,$AP225-SUMPRODUCT(($AH$1:$AO$1&lt;AM$1)*$AH225:$AO225)))</f>
        <v>0</v>
      </c>
      <c r="AW225" s="0" t="n">
        <f aca="false">MIN(AN225,MAX(0,$AP225-SUMPRODUCT(($AH$1:$AO$1&lt;AN$1)*$AH225:$AO225)))</f>
        <v>0</v>
      </c>
      <c r="AX225" s="0" t="n">
        <f aca="false">MIN(AO225,MAX(0,$AP225-SUMPRODUCT(($AH$1:$AO$1&lt;AO$1)*$AH225:$AO225)))</f>
        <v>0</v>
      </c>
      <c r="AY225" s="0" t="n">
        <f aca="false">ROUND(AH225-AQ225,2)</f>
        <v>0</v>
      </c>
      <c r="AZ225" s="0" t="n">
        <f aca="false">ROUND(AI225-AR225,2)</f>
        <v>0</v>
      </c>
      <c r="BA225" s="0" t="n">
        <f aca="false">ROUND(AJ225-AS225,2)</f>
        <v>0</v>
      </c>
      <c r="BB225" s="0" t="n">
        <f aca="false">ROUND(AK225-AT225,2)</f>
        <v>0</v>
      </c>
      <c r="BC225" s="0" t="n">
        <f aca="false">ROUND(AL225-AU225,2)</f>
        <v>0</v>
      </c>
      <c r="BD225" s="0" t="n">
        <f aca="false">ROUND(AM225-AV225,2)</f>
        <v>0</v>
      </c>
      <c r="BE225" s="0" t="n">
        <f aca="false">ROUND(AN225-AW225,2)</f>
        <v>0</v>
      </c>
      <c r="BF225" s="0" t="n">
        <f aca="false">ROUND(AO225-AX225,2)</f>
        <v>0</v>
      </c>
      <c r="BG225" s="0" t="n">
        <f aca="false">SUM(AY225:BF225)</f>
        <v>0</v>
      </c>
    </row>
    <row r="226" customFormat="false" ht="15" hidden="false" customHeight="false" outlineLevel="0" collapsed="false">
      <c r="A226" s="0" t="n">
        <v>224</v>
      </c>
      <c r="B226" s="0" t="n">
        <f aca="false">AY225</f>
        <v>0</v>
      </c>
      <c r="C226" s="0" t="n">
        <f aca="false">AZ225</f>
        <v>0</v>
      </c>
      <c r="D226" s="0" t="n">
        <f aca="false">BA225</f>
        <v>0</v>
      </c>
      <c r="E226" s="0" t="n">
        <f aca="false">BB225</f>
        <v>0</v>
      </c>
      <c r="F226" s="0" t="n">
        <f aca="false">BC225</f>
        <v>0</v>
      </c>
      <c r="G226" s="0" t="n">
        <f aca="false">BD225</f>
        <v>0</v>
      </c>
      <c r="H226" s="0" t="n">
        <f aca="false">BE225</f>
        <v>0</v>
      </c>
      <c r="I226" s="0" t="n">
        <f aca="false">BF225</f>
        <v>0</v>
      </c>
      <c r="J226" s="0" t="n">
        <f aca="false">B226*N('Debt Payoff'!D9)/12</f>
        <v>0</v>
      </c>
      <c r="K226" s="0" t="n">
        <f aca="false">C226*N('Debt Payoff'!D10)/12</f>
        <v>0</v>
      </c>
      <c r="L226" s="0" t="n">
        <f aca="false">D226*N('Debt Payoff'!D11)/12</f>
        <v>0</v>
      </c>
      <c r="M226" s="0" t="n">
        <f aca="false">E226*N('Debt Payoff'!D12)/12</f>
        <v>0</v>
      </c>
      <c r="N226" s="0" t="n">
        <f aca="false">F226*N('Debt Payoff'!D13)/12</f>
        <v>0</v>
      </c>
      <c r="O226" s="0" t="n">
        <f aca="false">G226*N('Debt Payoff'!D14)/12</f>
        <v>0</v>
      </c>
      <c r="P226" s="0" t="n">
        <f aca="false">H226*N('Debt Payoff'!D15)/12</f>
        <v>0</v>
      </c>
      <c r="Q226" s="0" t="n">
        <f aca="false">I226*N('Debt Payoff'!D16)/12</f>
        <v>0</v>
      </c>
      <c r="R226" s="0" t="n">
        <f aca="false">B226+J226</f>
        <v>0</v>
      </c>
      <c r="S226" s="0" t="n">
        <f aca="false">C226+K226</f>
        <v>0</v>
      </c>
      <c r="T226" s="0" t="n">
        <f aca="false">D226+L226</f>
        <v>0</v>
      </c>
      <c r="U226" s="0" t="n">
        <f aca="false">E226+M226</f>
        <v>0</v>
      </c>
      <c r="V226" s="0" t="n">
        <f aca="false">F226+N226</f>
        <v>0</v>
      </c>
      <c r="W226" s="0" t="n">
        <f aca="false">G226+O226</f>
        <v>0</v>
      </c>
      <c r="X226" s="0" t="n">
        <f aca="false">H226+P226</f>
        <v>0</v>
      </c>
      <c r="Y226" s="0" t="n">
        <f aca="false">I226+Q226</f>
        <v>0</v>
      </c>
      <c r="Z226" s="0" t="n">
        <f aca="false">MIN(R226,N('Debt Payoff'!E9))</f>
        <v>0</v>
      </c>
      <c r="AA226" s="0" t="n">
        <f aca="false">MIN(S226,N('Debt Payoff'!E10))</f>
        <v>0</v>
      </c>
      <c r="AB226" s="0" t="n">
        <f aca="false">MIN(T226,N('Debt Payoff'!E11))</f>
        <v>0</v>
      </c>
      <c r="AC226" s="0" t="n">
        <f aca="false">MIN(U226,N('Debt Payoff'!E12))</f>
        <v>0</v>
      </c>
      <c r="AD226" s="0" t="n">
        <f aca="false">MIN(V226,N('Debt Payoff'!E13))</f>
        <v>0</v>
      </c>
      <c r="AE226" s="0" t="n">
        <f aca="false">MIN(W226,N('Debt Payoff'!E14))</f>
        <v>0</v>
      </c>
      <c r="AF226" s="0" t="n">
        <f aca="false">MIN(X226,N('Debt Payoff'!E15))</f>
        <v>0</v>
      </c>
      <c r="AG226" s="0" t="n">
        <f aca="false">MIN(Y226,N('Debt Payoff'!E16))</f>
        <v>0</v>
      </c>
      <c r="AH226" s="0" t="n">
        <f aca="false">R226-Z226</f>
        <v>0</v>
      </c>
      <c r="AI226" s="0" t="n">
        <f aca="false">S226-AA226</f>
        <v>0</v>
      </c>
      <c r="AJ226" s="0" t="n">
        <f aca="false">T226-AB226</f>
        <v>0</v>
      </c>
      <c r="AK226" s="0" t="n">
        <f aca="false">U226-AC226</f>
        <v>0</v>
      </c>
      <c r="AL226" s="0" t="n">
        <f aca="false">V226-AD226</f>
        <v>0</v>
      </c>
      <c r="AM226" s="0" t="n">
        <f aca="false">W226-AE226</f>
        <v>0</v>
      </c>
      <c r="AN226" s="0" t="n">
        <f aca="false">X226-AF226</f>
        <v>0</v>
      </c>
      <c r="AO226" s="0" t="n">
        <f aca="false">Y226-AG226</f>
        <v>0</v>
      </c>
      <c r="AP226" s="0" t="n">
        <f aca="false">MAX(0,'Debt Payoff'!$D$17-SUM(Z226:AG226))</f>
        <v>805</v>
      </c>
      <c r="AQ226" s="0" t="n">
        <f aca="false">MIN(AH226,MAX(0,$AP226-SUMPRODUCT(($AH$1:$AO$1&lt;AH$1)*$AH226:$AO226)))</f>
        <v>0</v>
      </c>
      <c r="AR226" s="0" t="n">
        <f aca="false">MIN(AI226,MAX(0,$AP226-SUMPRODUCT(($AH$1:$AO$1&lt;AI$1)*$AH226:$AO226)))</f>
        <v>0</v>
      </c>
      <c r="AS226" s="0" t="n">
        <f aca="false">MIN(AJ226,MAX(0,$AP226-SUMPRODUCT(($AH$1:$AO$1&lt;AJ$1)*$AH226:$AO226)))</f>
        <v>0</v>
      </c>
      <c r="AT226" s="0" t="n">
        <f aca="false">MIN(AK226,MAX(0,$AP226-SUMPRODUCT(($AH$1:$AO$1&lt;AK$1)*$AH226:$AO226)))</f>
        <v>0</v>
      </c>
      <c r="AU226" s="0" t="n">
        <f aca="false">MIN(AL226,MAX(0,$AP226-SUMPRODUCT(($AH$1:$AO$1&lt;AL$1)*$AH226:$AO226)))</f>
        <v>0</v>
      </c>
      <c r="AV226" s="0" t="n">
        <f aca="false">MIN(AM226,MAX(0,$AP226-SUMPRODUCT(($AH$1:$AO$1&lt;AM$1)*$AH226:$AO226)))</f>
        <v>0</v>
      </c>
      <c r="AW226" s="0" t="n">
        <f aca="false">MIN(AN226,MAX(0,$AP226-SUMPRODUCT(($AH$1:$AO$1&lt;AN$1)*$AH226:$AO226)))</f>
        <v>0</v>
      </c>
      <c r="AX226" s="0" t="n">
        <f aca="false">MIN(AO226,MAX(0,$AP226-SUMPRODUCT(($AH$1:$AO$1&lt;AO$1)*$AH226:$AO226)))</f>
        <v>0</v>
      </c>
      <c r="AY226" s="0" t="n">
        <f aca="false">ROUND(AH226-AQ226,2)</f>
        <v>0</v>
      </c>
      <c r="AZ226" s="0" t="n">
        <f aca="false">ROUND(AI226-AR226,2)</f>
        <v>0</v>
      </c>
      <c r="BA226" s="0" t="n">
        <f aca="false">ROUND(AJ226-AS226,2)</f>
        <v>0</v>
      </c>
      <c r="BB226" s="0" t="n">
        <f aca="false">ROUND(AK226-AT226,2)</f>
        <v>0</v>
      </c>
      <c r="BC226" s="0" t="n">
        <f aca="false">ROUND(AL226-AU226,2)</f>
        <v>0</v>
      </c>
      <c r="BD226" s="0" t="n">
        <f aca="false">ROUND(AM226-AV226,2)</f>
        <v>0</v>
      </c>
      <c r="BE226" s="0" t="n">
        <f aca="false">ROUND(AN226-AW226,2)</f>
        <v>0</v>
      </c>
      <c r="BF226" s="0" t="n">
        <f aca="false">ROUND(AO226-AX226,2)</f>
        <v>0</v>
      </c>
      <c r="BG226" s="0" t="n">
        <f aca="false">SUM(AY226:BF226)</f>
        <v>0</v>
      </c>
    </row>
    <row r="227" customFormat="false" ht="15" hidden="false" customHeight="false" outlineLevel="0" collapsed="false">
      <c r="A227" s="0" t="n">
        <v>225</v>
      </c>
      <c r="B227" s="0" t="n">
        <f aca="false">AY226</f>
        <v>0</v>
      </c>
      <c r="C227" s="0" t="n">
        <f aca="false">AZ226</f>
        <v>0</v>
      </c>
      <c r="D227" s="0" t="n">
        <f aca="false">BA226</f>
        <v>0</v>
      </c>
      <c r="E227" s="0" t="n">
        <f aca="false">BB226</f>
        <v>0</v>
      </c>
      <c r="F227" s="0" t="n">
        <f aca="false">BC226</f>
        <v>0</v>
      </c>
      <c r="G227" s="0" t="n">
        <f aca="false">BD226</f>
        <v>0</v>
      </c>
      <c r="H227" s="0" t="n">
        <f aca="false">BE226</f>
        <v>0</v>
      </c>
      <c r="I227" s="0" t="n">
        <f aca="false">BF226</f>
        <v>0</v>
      </c>
      <c r="J227" s="0" t="n">
        <f aca="false">B227*N('Debt Payoff'!D9)/12</f>
        <v>0</v>
      </c>
      <c r="K227" s="0" t="n">
        <f aca="false">C227*N('Debt Payoff'!D10)/12</f>
        <v>0</v>
      </c>
      <c r="L227" s="0" t="n">
        <f aca="false">D227*N('Debt Payoff'!D11)/12</f>
        <v>0</v>
      </c>
      <c r="M227" s="0" t="n">
        <f aca="false">E227*N('Debt Payoff'!D12)/12</f>
        <v>0</v>
      </c>
      <c r="N227" s="0" t="n">
        <f aca="false">F227*N('Debt Payoff'!D13)/12</f>
        <v>0</v>
      </c>
      <c r="O227" s="0" t="n">
        <f aca="false">G227*N('Debt Payoff'!D14)/12</f>
        <v>0</v>
      </c>
      <c r="P227" s="0" t="n">
        <f aca="false">H227*N('Debt Payoff'!D15)/12</f>
        <v>0</v>
      </c>
      <c r="Q227" s="0" t="n">
        <f aca="false">I227*N('Debt Payoff'!D16)/12</f>
        <v>0</v>
      </c>
      <c r="R227" s="0" t="n">
        <f aca="false">B227+J227</f>
        <v>0</v>
      </c>
      <c r="S227" s="0" t="n">
        <f aca="false">C227+K227</f>
        <v>0</v>
      </c>
      <c r="T227" s="0" t="n">
        <f aca="false">D227+L227</f>
        <v>0</v>
      </c>
      <c r="U227" s="0" t="n">
        <f aca="false">E227+M227</f>
        <v>0</v>
      </c>
      <c r="V227" s="0" t="n">
        <f aca="false">F227+N227</f>
        <v>0</v>
      </c>
      <c r="W227" s="0" t="n">
        <f aca="false">G227+O227</f>
        <v>0</v>
      </c>
      <c r="X227" s="0" t="n">
        <f aca="false">H227+P227</f>
        <v>0</v>
      </c>
      <c r="Y227" s="0" t="n">
        <f aca="false">I227+Q227</f>
        <v>0</v>
      </c>
      <c r="Z227" s="0" t="n">
        <f aca="false">MIN(R227,N('Debt Payoff'!E9))</f>
        <v>0</v>
      </c>
      <c r="AA227" s="0" t="n">
        <f aca="false">MIN(S227,N('Debt Payoff'!E10))</f>
        <v>0</v>
      </c>
      <c r="AB227" s="0" t="n">
        <f aca="false">MIN(T227,N('Debt Payoff'!E11))</f>
        <v>0</v>
      </c>
      <c r="AC227" s="0" t="n">
        <f aca="false">MIN(U227,N('Debt Payoff'!E12))</f>
        <v>0</v>
      </c>
      <c r="AD227" s="0" t="n">
        <f aca="false">MIN(V227,N('Debt Payoff'!E13))</f>
        <v>0</v>
      </c>
      <c r="AE227" s="0" t="n">
        <f aca="false">MIN(W227,N('Debt Payoff'!E14))</f>
        <v>0</v>
      </c>
      <c r="AF227" s="0" t="n">
        <f aca="false">MIN(X227,N('Debt Payoff'!E15))</f>
        <v>0</v>
      </c>
      <c r="AG227" s="0" t="n">
        <f aca="false">MIN(Y227,N('Debt Payoff'!E16))</f>
        <v>0</v>
      </c>
      <c r="AH227" s="0" t="n">
        <f aca="false">R227-Z227</f>
        <v>0</v>
      </c>
      <c r="AI227" s="0" t="n">
        <f aca="false">S227-AA227</f>
        <v>0</v>
      </c>
      <c r="AJ227" s="0" t="n">
        <f aca="false">T227-AB227</f>
        <v>0</v>
      </c>
      <c r="AK227" s="0" t="n">
        <f aca="false">U227-AC227</f>
        <v>0</v>
      </c>
      <c r="AL227" s="0" t="n">
        <f aca="false">V227-AD227</f>
        <v>0</v>
      </c>
      <c r="AM227" s="0" t="n">
        <f aca="false">W227-AE227</f>
        <v>0</v>
      </c>
      <c r="AN227" s="0" t="n">
        <f aca="false">X227-AF227</f>
        <v>0</v>
      </c>
      <c r="AO227" s="0" t="n">
        <f aca="false">Y227-AG227</f>
        <v>0</v>
      </c>
      <c r="AP227" s="0" t="n">
        <f aca="false">MAX(0,'Debt Payoff'!$D$17-SUM(Z227:AG227))</f>
        <v>805</v>
      </c>
      <c r="AQ227" s="0" t="n">
        <f aca="false">MIN(AH227,MAX(0,$AP227-SUMPRODUCT(($AH$1:$AO$1&lt;AH$1)*$AH227:$AO227)))</f>
        <v>0</v>
      </c>
      <c r="AR227" s="0" t="n">
        <f aca="false">MIN(AI227,MAX(0,$AP227-SUMPRODUCT(($AH$1:$AO$1&lt;AI$1)*$AH227:$AO227)))</f>
        <v>0</v>
      </c>
      <c r="AS227" s="0" t="n">
        <f aca="false">MIN(AJ227,MAX(0,$AP227-SUMPRODUCT(($AH$1:$AO$1&lt;AJ$1)*$AH227:$AO227)))</f>
        <v>0</v>
      </c>
      <c r="AT227" s="0" t="n">
        <f aca="false">MIN(AK227,MAX(0,$AP227-SUMPRODUCT(($AH$1:$AO$1&lt;AK$1)*$AH227:$AO227)))</f>
        <v>0</v>
      </c>
      <c r="AU227" s="0" t="n">
        <f aca="false">MIN(AL227,MAX(0,$AP227-SUMPRODUCT(($AH$1:$AO$1&lt;AL$1)*$AH227:$AO227)))</f>
        <v>0</v>
      </c>
      <c r="AV227" s="0" t="n">
        <f aca="false">MIN(AM227,MAX(0,$AP227-SUMPRODUCT(($AH$1:$AO$1&lt;AM$1)*$AH227:$AO227)))</f>
        <v>0</v>
      </c>
      <c r="AW227" s="0" t="n">
        <f aca="false">MIN(AN227,MAX(0,$AP227-SUMPRODUCT(($AH$1:$AO$1&lt;AN$1)*$AH227:$AO227)))</f>
        <v>0</v>
      </c>
      <c r="AX227" s="0" t="n">
        <f aca="false">MIN(AO227,MAX(0,$AP227-SUMPRODUCT(($AH$1:$AO$1&lt;AO$1)*$AH227:$AO227)))</f>
        <v>0</v>
      </c>
      <c r="AY227" s="0" t="n">
        <f aca="false">ROUND(AH227-AQ227,2)</f>
        <v>0</v>
      </c>
      <c r="AZ227" s="0" t="n">
        <f aca="false">ROUND(AI227-AR227,2)</f>
        <v>0</v>
      </c>
      <c r="BA227" s="0" t="n">
        <f aca="false">ROUND(AJ227-AS227,2)</f>
        <v>0</v>
      </c>
      <c r="BB227" s="0" t="n">
        <f aca="false">ROUND(AK227-AT227,2)</f>
        <v>0</v>
      </c>
      <c r="BC227" s="0" t="n">
        <f aca="false">ROUND(AL227-AU227,2)</f>
        <v>0</v>
      </c>
      <c r="BD227" s="0" t="n">
        <f aca="false">ROUND(AM227-AV227,2)</f>
        <v>0</v>
      </c>
      <c r="BE227" s="0" t="n">
        <f aca="false">ROUND(AN227-AW227,2)</f>
        <v>0</v>
      </c>
      <c r="BF227" s="0" t="n">
        <f aca="false">ROUND(AO227-AX227,2)</f>
        <v>0</v>
      </c>
      <c r="BG227" s="0" t="n">
        <f aca="false">SUM(AY227:BF227)</f>
        <v>0</v>
      </c>
    </row>
    <row r="228" customFormat="false" ht="15" hidden="false" customHeight="false" outlineLevel="0" collapsed="false">
      <c r="A228" s="0" t="n">
        <v>226</v>
      </c>
      <c r="B228" s="0" t="n">
        <f aca="false">AY227</f>
        <v>0</v>
      </c>
      <c r="C228" s="0" t="n">
        <f aca="false">AZ227</f>
        <v>0</v>
      </c>
      <c r="D228" s="0" t="n">
        <f aca="false">BA227</f>
        <v>0</v>
      </c>
      <c r="E228" s="0" t="n">
        <f aca="false">BB227</f>
        <v>0</v>
      </c>
      <c r="F228" s="0" t="n">
        <f aca="false">BC227</f>
        <v>0</v>
      </c>
      <c r="G228" s="0" t="n">
        <f aca="false">BD227</f>
        <v>0</v>
      </c>
      <c r="H228" s="0" t="n">
        <f aca="false">BE227</f>
        <v>0</v>
      </c>
      <c r="I228" s="0" t="n">
        <f aca="false">BF227</f>
        <v>0</v>
      </c>
      <c r="J228" s="0" t="n">
        <f aca="false">B228*N('Debt Payoff'!D9)/12</f>
        <v>0</v>
      </c>
      <c r="K228" s="0" t="n">
        <f aca="false">C228*N('Debt Payoff'!D10)/12</f>
        <v>0</v>
      </c>
      <c r="L228" s="0" t="n">
        <f aca="false">D228*N('Debt Payoff'!D11)/12</f>
        <v>0</v>
      </c>
      <c r="M228" s="0" t="n">
        <f aca="false">E228*N('Debt Payoff'!D12)/12</f>
        <v>0</v>
      </c>
      <c r="N228" s="0" t="n">
        <f aca="false">F228*N('Debt Payoff'!D13)/12</f>
        <v>0</v>
      </c>
      <c r="O228" s="0" t="n">
        <f aca="false">G228*N('Debt Payoff'!D14)/12</f>
        <v>0</v>
      </c>
      <c r="P228" s="0" t="n">
        <f aca="false">H228*N('Debt Payoff'!D15)/12</f>
        <v>0</v>
      </c>
      <c r="Q228" s="0" t="n">
        <f aca="false">I228*N('Debt Payoff'!D16)/12</f>
        <v>0</v>
      </c>
      <c r="R228" s="0" t="n">
        <f aca="false">B228+J228</f>
        <v>0</v>
      </c>
      <c r="S228" s="0" t="n">
        <f aca="false">C228+K228</f>
        <v>0</v>
      </c>
      <c r="T228" s="0" t="n">
        <f aca="false">D228+L228</f>
        <v>0</v>
      </c>
      <c r="U228" s="0" t="n">
        <f aca="false">E228+M228</f>
        <v>0</v>
      </c>
      <c r="V228" s="0" t="n">
        <f aca="false">F228+N228</f>
        <v>0</v>
      </c>
      <c r="W228" s="0" t="n">
        <f aca="false">G228+O228</f>
        <v>0</v>
      </c>
      <c r="X228" s="0" t="n">
        <f aca="false">H228+P228</f>
        <v>0</v>
      </c>
      <c r="Y228" s="0" t="n">
        <f aca="false">I228+Q228</f>
        <v>0</v>
      </c>
      <c r="Z228" s="0" t="n">
        <f aca="false">MIN(R228,N('Debt Payoff'!E9))</f>
        <v>0</v>
      </c>
      <c r="AA228" s="0" t="n">
        <f aca="false">MIN(S228,N('Debt Payoff'!E10))</f>
        <v>0</v>
      </c>
      <c r="AB228" s="0" t="n">
        <f aca="false">MIN(T228,N('Debt Payoff'!E11))</f>
        <v>0</v>
      </c>
      <c r="AC228" s="0" t="n">
        <f aca="false">MIN(U228,N('Debt Payoff'!E12))</f>
        <v>0</v>
      </c>
      <c r="AD228" s="0" t="n">
        <f aca="false">MIN(V228,N('Debt Payoff'!E13))</f>
        <v>0</v>
      </c>
      <c r="AE228" s="0" t="n">
        <f aca="false">MIN(W228,N('Debt Payoff'!E14))</f>
        <v>0</v>
      </c>
      <c r="AF228" s="0" t="n">
        <f aca="false">MIN(X228,N('Debt Payoff'!E15))</f>
        <v>0</v>
      </c>
      <c r="AG228" s="0" t="n">
        <f aca="false">MIN(Y228,N('Debt Payoff'!E16))</f>
        <v>0</v>
      </c>
      <c r="AH228" s="0" t="n">
        <f aca="false">R228-Z228</f>
        <v>0</v>
      </c>
      <c r="AI228" s="0" t="n">
        <f aca="false">S228-AA228</f>
        <v>0</v>
      </c>
      <c r="AJ228" s="0" t="n">
        <f aca="false">T228-AB228</f>
        <v>0</v>
      </c>
      <c r="AK228" s="0" t="n">
        <f aca="false">U228-AC228</f>
        <v>0</v>
      </c>
      <c r="AL228" s="0" t="n">
        <f aca="false">V228-AD228</f>
        <v>0</v>
      </c>
      <c r="AM228" s="0" t="n">
        <f aca="false">W228-AE228</f>
        <v>0</v>
      </c>
      <c r="AN228" s="0" t="n">
        <f aca="false">X228-AF228</f>
        <v>0</v>
      </c>
      <c r="AO228" s="0" t="n">
        <f aca="false">Y228-AG228</f>
        <v>0</v>
      </c>
      <c r="AP228" s="0" t="n">
        <f aca="false">MAX(0,'Debt Payoff'!$D$17-SUM(Z228:AG228))</f>
        <v>805</v>
      </c>
      <c r="AQ228" s="0" t="n">
        <f aca="false">MIN(AH228,MAX(0,$AP228-SUMPRODUCT(($AH$1:$AO$1&lt;AH$1)*$AH228:$AO228)))</f>
        <v>0</v>
      </c>
      <c r="AR228" s="0" t="n">
        <f aca="false">MIN(AI228,MAX(0,$AP228-SUMPRODUCT(($AH$1:$AO$1&lt;AI$1)*$AH228:$AO228)))</f>
        <v>0</v>
      </c>
      <c r="AS228" s="0" t="n">
        <f aca="false">MIN(AJ228,MAX(0,$AP228-SUMPRODUCT(($AH$1:$AO$1&lt;AJ$1)*$AH228:$AO228)))</f>
        <v>0</v>
      </c>
      <c r="AT228" s="0" t="n">
        <f aca="false">MIN(AK228,MAX(0,$AP228-SUMPRODUCT(($AH$1:$AO$1&lt;AK$1)*$AH228:$AO228)))</f>
        <v>0</v>
      </c>
      <c r="AU228" s="0" t="n">
        <f aca="false">MIN(AL228,MAX(0,$AP228-SUMPRODUCT(($AH$1:$AO$1&lt;AL$1)*$AH228:$AO228)))</f>
        <v>0</v>
      </c>
      <c r="AV228" s="0" t="n">
        <f aca="false">MIN(AM228,MAX(0,$AP228-SUMPRODUCT(($AH$1:$AO$1&lt;AM$1)*$AH228:$AO228)))</f>
        <v>0</v>
      </c>
      <c r="AW228" s="0" t="n">
        <f aca="false">MIN(AN228,MAX(0,$AP228-SUMPRODUCT(($AH$1:$AO$1&lt;AN$1)*$AH228:$AO228)))</f>
        <v>0</v>
      </c>
      <c r="AX228" s="0" t="n">
        <f aca="false">MIN(AO228,MAX(0,$AP228-SUMPRODUCT(($AH$1:$AO$1&lt;AO$1)*$AH228:$AO228)))</f>
        <v>0</v>
      </c>
      <c r="AY228" s="0" t="n">
        <f aca="false">ROUND(AH228-AQ228,2)</f>
        <v>0</v>
      </c>
      <c r="AZ228" s="0" t="n">
        <f aca="false">ROUND(AI228-AR228,2)</f>
        <v>0</v>
      </c>
      <c r="BA228" s="0" t="n">
        <f aca="false">ROUND(AJ228-AS228,2)</f>
        <v>0</v>
      </c>
      <c r="BB228" s="0" t="n">
        <f aca="false">ROUND(AK228-AT228,2)</f>
        <v>0</v>
      </c>
      <c r="BC228" s="0" t="n">
        <f aca="false">ROUND(AL228-AU228,2)</f>
        <v>0</v>
      </c>
      <c r="BD228" s="0" t="n">
        <f aca="false">ROUND(AM228-AV228,2)</f>
        <v>0</v>
      </c>
      <c r="BE228" s="0" t="n">
        <f aca="false">ROUND(AN228-AW228,2)</f>
        <v>0</v>
      </c>
      <c r="BF228" s="0" t="n">
        <f aca="false">ROUND(AO228-AX228,2)</f>
        <v>0</v>
      </c>
      <c r="BG228" s="0" t="n">
        <f aca="false">SUM(AY228:BF228)</f>
        <v>0</v>
      </c>
    </row>
    <row r="229" customFormat="false" ht="15" hidden="false" customHeight="false" outlineLevel="0" collapsed="false">
      <c r="A229" s="0" t="n">
        <v>227</v>
      </c>
      <c r="B229" s="0" t="n">
        <f aca="false">AY228</f>
        <v>0</v>
      </c>
      <c r="C229" s="0" t="n">
        <f aca="false">AZ228</f>
        <v>0</v>
      </c>
      <c r="D229" s="0" t="n">
        <f aca="false">BA228</f>
        <v>0</v>
      </c>
      <c r="E229" s="0" t="n">
        <f aca="false">BB228</f>
        <v>0</v>
      </c>
      <c r="F229" s="0" t="n">
        <f aca="false">BC228</f>
        <v>0</v>
      </c>
      <c r="G229" s="0" t="n">
        <f aca="false">BD228</f>
        <v>0</v>
      </c>
      <c r="H229" s="0" t="n">
        <f aca="false">BE228</f>
        <v>0</v>
      </c>
      <c r="I229" s="0" t="n">
        <f aca="false">BF228</f>
        <v>0</v>
      </c>
      <c r="J229" s="0" t="n">
        <f aca="false">B229*N('Debt Payoff'!D9)/12</f>
        <v>0</v>
      </c>
      <c r="K229" s="0" t="n">
        <f aca="false">C229*N('Debt Payoff'!D10)/12</f>
        <v>0</v>
      </c>
      <c r="L229" s="0" t="n">
        <f aca="false">D229*N('Debt Payoff'!D11)/12</f>
        <v>0</v>
      </c>
      <c r="M229" s="0" t="n">
        <f aca="false">E229*N('Debt Payoff'!D12)/12</f>
        <v>0</v>
      </c>
      <c r="N229" s="0" t="n">
        <f aca="false">F229*N('Debt Payoff'!D13)/12</f>
        <v>0</v>
      </c>
      <c r="O229" s="0" t="n">
        <f aca="false">G229*N('Debt Payoff'!D14)/12</f>
        <v>0</v>
      </c>
      <c r="P229" s="0" t="n">
        <f aca="false">H229*N('Debt Payoff'!D15)/12</f>
        <v>0</v>
      </c>
      <c r="Q229" s="0" t="n">
        <f aca="false">I229*N('Debt Payoff'!D16)/12</f>
        <v>0</v>
      </c>
      <c r="R229" s="0" t="n">
        <f aca="false">B229+J229</f>
        <v>0</v>
      </c>
      <c r="S229" s="0" t="n">
        <f aca="false">C229+K229</f>
        <v>0</v>
      </c>
      <c r="T229" s="0" t="n">
        <f aca="false">D229+L229</f>
        <v>0</v>
      </c>
      <c r="U229" s="0" t="n">
        <f aca="false">E229+M229</f>
        <v>0</v>
      </c>
      <c r="V229" s="0" t="n">
        <f aca="false">F229+N229</f>
        <v>0</v>
      </c>
      <c r="W229" s="0" t="n">
        <f aca="false">G229+O229</f>
        <v>0</v>
      </c>
      <c r="X229" s="0" t="n">
        <f aca="false">H229+P229</f>
        <v>0</v>
      </c>
      <c r="Y229" s="0" t="n">
        <f aca="false">I229+Q229</f>
        <v>0</v>
      </c>
      <c r="Z229" s="0" t="n">
        <f aca="false">MIN(R229,N('Debt Payoff'!E9))</f>
        <v>0</v>
      </c>
      <c r="AA229" s="0" t="n">
        <f aca="false">MIN(S229,N('Debt Payoff'!E10))</f>
        <v>0</v>
      </c>
      <c r="AB229" s="0" t="n">
        <f aca="false">MIN(T229,N('Debt Payoff'!E11))</f>
        <v>0</v>
      </c>
      <c r="AC229" s="0" t="n">
        <f aca="false">MIN(U229,N('Debt Payoff'!E12))</f>
        <v>0</v>
      </c>
      <c r="AD229" s="0" t="n">
        <f aca="false">MIN(V229,N('Debt Payoff'!E13))</f>
        <v>0</v>
      </c>
      <c r="AE229" s="0" t="n">
        <f aca="false">MIN(W229,N('Debt Payoff'!E14))</f>
        <v>0</v>
      </c>
      <c r="AF229" s="0" t="n">
        <f aca="false">MIN(X229,N('Debt Payoff'!E15))</f>
        <v>0</v>
      </c>
      <c r="AG229" s="0" t="n">
        <f aca="false">MIN(Y229,N('Debt Payoff'!E16))</f>
        <v>0</v>
      </c>
      <c r="AH229" s="0" t="n">
        <f aca="false">R229-Z229</f>
        <v>0</v>
      </c>
      <c r="AI229" s="0" t="n">
        <f aca="false">S229-AA229</f>
        <v>0</v>
      </c>
      <c r="AJ229" s="0" t="n">
        <f aca="false">T229-AB229</f>
        <v>0</v>
      </c>
      <c r="AK229" s="0" t="n">
        <f aca="false">U229-AC229</f>
        <v>0</v>
      </c>
      <c r="AL229" s="0" t="n">
        <f aca="false">V229-AD229</f>
        <v>0</v>
      </c>
      <c r="AM229" s="0" t="n">
        <f aca="false">W229-AE229</f>
        <v>0</v>
      </c>
      <c r="AN229" s="0" t="n">
        <f aca="false">X229-AF229</f>
        <v>0</v>
      </c>
      <c r="AO229" s="0" t="n">
        <f aca="false">Y229-AG229</f>
        <v>0</v>
      </c>
      <c r="AP229" s="0" t="n">
        <f aca="false">MAX(0,'Debt Payoff'!$D$17-SUM(Z229:AG229))</f>
        <v>805</v>
      </c>
      <c r="AQ229" s="0" t="n">
        <f aca="false">MIN(AH229,MAX(0,$AP229-SUMPRODUCT(($AH$1:$AO$1&lt;AH$1)*$AH229:$AO229)))</f>
        <v>0</v>
      </c>
      <c r="AR229" s="0" t="n">
        <f aca="false">MIN(AI229,MAX(0,$AP229-SUMPRODUCT(($AH$1:$AO$1&lt;AI$1)*$AH229:$AO229)))</f>
        <v>0</v>
      </c>
      <c r="AS229" s="0" t="n">
        <f aca="false">MIN(AJ229,MAX(0,$AP229-SUMPRODUCT(($AH$1:$AO$1&lt;AJ$1)*$AH229:$AO229)))</f>
        <v>0</v>
      </c>
      <c r="AT229" s="0" t="n">
        <f aca="false">MIN(AK229,MAX(0,$AP229-SUMPRODUCT(($AH$1:$AO$1&lt;AK$1)*$AH229:$AO229)))</f>
        <v>0</v>
      </c>
      <c r="AU229" s="0" t="n">
        <f aca="false">MIN(AL229,MAX(0,$AP229-SUMPRODUCT(($AH$1:$AO$1&lt;AL$1)*$AH229:$AO229)))</f>
        <v>0</v>
      </c>
      <c r="AV229" s="0" t="n">
        <f aca="false">MIN(AM229,MAX(0,$AP229-SUMPRODUCT(($AH$1:$AO$1&lt;AM$1)*$AH229:$AO229)))</f>
        <v>0</v>
      </c>
      <c r="AW229" s="0" t="n">
        <f aca="false">MIN(AN229,MAX(0,$AP229-SUMPRODUCT(($AH$1:$AO$1&lt;AN$1)*$AH229:$AO229)))</f>
        <v>0</v>
      </c>
      <c r="AX229" s="0" t="n">
        <f aca="false">MIN(AO229,MAX(0,$AP229-SUMPRODUCT(($AH$1:$AO$1&lt;AO$1)*$AH229:$AO229)))</f>
        <v>0</v>
      </c>
      <c r="AY229" s="0" t="n">
        <f aca="false">ROUND(AH229-AQ229,2)</f>
        <v>0</v>
      </c>
      <c r="AZ229" s="0" t="n">
        <f aca="false">ROUND(AI229-AR229,2)</f>
        <v>0</v>
      </c>
      <c r="BA229" s="0" t="n">
        <f aca="false">ROUND(AJ229-AS229,2)</f>
        <v>0</v>
      </c>
      <c r="BB229" s="0" t="n">
        <f aca="false">ROUND(AK229-AT229,2)</f>
        <v>0</v>
      </c>
      <c r="BC229" s="0" t="n">
        <f aca="false">ROUND(AL229-AU229,2)</f>
        <v>0</v>
      </c>
      <c r="BD229" s="0" t="n">
        <f aca="false">ROUND(AM229-AV229,2)</f>
        <v>0</v>
      </c>
      <c r="BE229" s="0" t="n">
        <f aca="false">ROUND(AN229-AW229,2)</f>
        <v>0</v>
      </c>
      <c r="BF229" s="0" t="n">
        <f aca="false">ROUND(AO229-AX229,2)</f>
        <v>0</v>
      </c>
      <c r="BG229" s="0" t="n">
        <f aca="false">SUM(AY229:BF229)</f>
        <v>0</v>
      </c>
    </row>
    <row r="230" customFormat="false" ht="15" hidden="false" customHeight="false" outlineLevel="0" collapsed="false">
      <c r="A230" s="0" t="n">
        <v>228</v>
      </c>
      <c r="B230" s="0" t="n">
        <f aca="false">AY229</f>
        <v>0</v>
      </c>
      <c r="C230" s="0" t="n">
        <f aca="false">AZ229</f>
        <v>0</v>
      </c>
      <c r="D230" s="0" t="n">
        <f aca="false">BA229</f>
        <v>0</v>
      </c>
      <c r="E230" s="0" t="n">
        <f aca="false">BB229</f>
        <v>0</v>
      </c>
      <c r="F230" s="0" t="n">
        <f aca="false">BC229</f>
        <v>0</v>
      </c>
      <c r="G230" s="0" t="n">
        <f aca="false">BD229</f>
        <v>0</v>
      </c>
      <c r="H230" s="0" t="n">
        <f aca="false">BE229</f>
        <v>0</v>
      </c>
      <c r="I230" s="0" t="n">
        <f aca="false">BF229</f>
        <v>0</v>
      </c>
      <c r="J230" s="0" t="n">
        <f aca="false">B230*N('Debt Payoff'!D9)/12</f>
        <v>0</v>
      </c>
      <c r="K230" s="0" t="n">
        <f aca="false">C230*N('Debt Payoff'!D10)/12</f>
        <v>0</v>
      </c>
      <c r="L230" s="0" t="n">
        <f aca="false">D230*N('Debt Payoff'!D11)/12</f>
        <v>0</v>
      </c>
      <c r="M230" s="0" t="n">
        <f aca="false">E230*N('Debt Payoff'!D12)/12</f>
        <v>0</v>
      </c>
      <c r="N230" s="0" t="n">
        <f aca="false">F230*N('Debt Payoff'!D13)/12</f>
        <v>0</v>
      </c>
      <c r="O230" s="0" t="n">
        <f aca="false">G230*N('Debt Payoff'!D14)/12</f>
        <v>0</v>
      </c>
      <c r="P230" s="0" t="n">
        <f aca="false">H230*N('Debt Payoff'!D15)/12</f>
        <v>0</v>
      </c>
      <c r="Q230" s="0" t="n">
        <f aca="false">I230*N('Debt Payoff'!D16)/12</f>
        <v>0</v>
      </c>
      <c r="R230" s="0" t="n">
        <f aca="false">B230+J230</f>
        <v>0</v>
      </c>
      <c r="S230" s="0" t="n">
        <f aca="false">C230+K230</f>
        <v>0</v>
      </c>
      <c r="T230" s="0" t="n">
        <f aca="false">D230+L230</f>
        <v>0</v>
      </c>
      <c r="U230" s="0" t="n">
        <f aca="false">E230+M230</f>
        <v>0</v>
      </c>
      <c r="V230" s="0" t="n">
        <f aca="false">F230+N230</f>
        <v>0</v>
      </c>
      <c r="W230" s="0" t="n">
        <f aca="false">G230+O230</f>
        <v>0</v>
      </c>
      <c r="X230" s="0" t="n">
        <f aca="false">H230+P230</f>
        <v>0</v>
      </c>
      <c r="Y230" s="0" t="n">
        <f aca="false">I230+Q230</f>
        <v>0</v>
      </c>
      <c r="Z230" s="0" t="n">
        <f aca="false">MIN(R230,N('Debt Payoff'!E9))</f>
        <v>0</v>
      </c>
      <c r="AA230" s="0" t="n">
        <f aca="false">MIN(S230,N('Debt Payoff'!E10))</f>
        <v>0</v>
      </c>
      <c r="AB230" s="0" t="n">
        <f aca="false">MIN(T230,N('Debt Payoff'!E11))</f>
        <v>0</v>
      </c>
      <c r="AC230" s="0" t="n">
        <f aca="false">MIN(U230,N('Debt Payoff'!E12))</f>
        <v>0</v>
      </c>
      <c r="AD230" s="0" t="n">
        <f aca="false">MIN(V230,N('Debt Payoff'!E13))</f>
        <v>0</v>
      </c>
      <c r="AE230" s="0" t="n">
        <f aca="false">MIN(W230,N('Debt Payoff'!E14))</f>
        <v>0</v>
      </c>
      <c r="AF230" s="0" t="n">
        <f aca="false">MIN(X230,N('Debt Payoff'!E15))</f>
        <v>0</v>
      </c>
      <c r="AG230" s="0" t="n">
        <f aca="false">MIN(Y230,N('Debt Payoff'!E16))</f>
        <v>0</v>
      </c>
      <c r="AH230" s="0" t="n">
        <f aca="false">R230-Z230</f>
        <v>0</v>
      </c>
      <c r="AI230" s="0" t="n">
        <f aca="false">S230-AA230</f>
        <v>0</v>
      </c>
      <c r="AJ230" s="0" t="n">
        <f aca="false">T230-AB230</f>
        <v>0</v>
      </c>
      <c r="AK230" s="0" t="n">
        <f aca="false">U230-AC230</f>
        <v>0</v>
      </c>
      <c r="AL230" s="0" t="n">
        <f aca="false">V230-AD230</f>
        <v>0</v>
      </c>
      <c r="AM230" s="0" t="n">
        <f aca="false">W230-AE230</f>
        <v>0</v>
      </c>
      <c r="AN230" s="0" t="n">
        <f aca="false">X230-AF230</f>
        <v>0</v>
      </c>
      <c r="AO230" s="0" t="n">
        <f aca="false">Y230-AG230</f>
        <v>0</v>
      </c>
      <c r="AP230" s="0" t="n">
        <f aca="false">MAX(0,'Debt Payoff'!$D$17-SUM(Z230:AG230))</f>
        <v>805</v>
      </c>
      <c r="AQ230" s="0" t="n">
        <f aca="false">MIN(AH230,MAX(0,$AP230-SUMPRODUCT(($AH$1:$AO$1&lt;AH$1)*$AH230:$AO230)))</f>
        <v>0</v>
      </c>
      <c r="AR230" s="0" t="n">
        <f aca="false">MIN(AI230,MAX(0,$AP230-SUMPRODUCT(($AH$1:$AO$1&lt;AI$1)*$AH230:$AO230)))</f>
        <v>0</v>
      </c>
      <c r="AS230" s="0" t="n">
        <f aca="false">MIN(AJ230,MAX(0,$AP230-SUMPRODUCT(($AH$1:$AO$1&lt;AJ$1)*$AH230:$AO230)))</f>
        <v>0</v>
      </c>
      <c r="AT230" s="0" t="n">
        <f aca="false">MIN(AK230,MAX(0,$AP230-SUMPRODUCT(($AH$1:$AO$1&lt;AK$1)*$AH230:$AO230)))</f>
        <v>0</v>
      </c>
      <c r="AU230" s="0" t="n">
        <f aca="false">MIN(AL230,MAX(0,$AP230-SUMPRODUCT(($AH$1:$AO$1&lt;AL$1)*$AH230:$AO230)))</f>
        <v>0</v>
      </c>
      <c r="AV230" s="0" t="n">
        <f aca="false">MIN(AM230,MAX(0,$AP230-SUMPRODUCT(($AH$1:$AO$1&lt;AM$1)*$AH230:$AO230)))</f>
        <v>0</v>
      </c>
      <c r="AW230" s="0" t="n">
        <f aca="false">MIN(AN230,MAX(0,$AP230-SUMPRODUCT(($AH$1:$AO$1&lt;AN$1)*$AH230:$AO230)))</f>
        <v>0</v>
      </c>
      <c r="AX230" s="0" t="n">
        <f aca="false">MIN(AO230,MAX(0,$AP230-SUMPRODUCT(($AH$1:$AO$1&lt;AO$1)*$AH230:$AO230)))</f>
        <v>0</v>
      </c>
      <c r="AY230" s="0" t="n">
        <f aca="false">ROUND(AH230-AQ230,2)</f>
        <v>0</v>
      </c>
      <c r="AZ230" s="0" t="n">
        <f aca="false">ROUND(AI230-AR230,2)</f>
        <v>0</v>
      </c>
      <c r="BA230" s="0" t="n">
        <f aca="false">ROUND(AJ230-AS230,2)</f>
        <v>0</v>
      </c>
      <c r="BB230" s="0" t="n">
        <f aca="false">ROUND(AK230-AT230,2)</f>
        <v>0</v>
      </c>
      <c r="BC230" s="0" t="n">
        <f aca="false">ROUND(AL230-AU230,2)</f>
        <v>0</v>
      </c>
      <c r="BD230" s="0" t="n">
        <f aca="false">ROUND(AM230-AV230,2)</f>
        <v>0</v>
      </c>
      <c r="BE230" s="0" t="n">
        <f aca="false">ROUND(AN230-AW230,2)</f>
        <v>0</v>
      </c>
      <c r="BF230" s="0" t="n">
        <f aca="false">ROUND(AO230-AX230,2)</f>
        <v>0</v>
      </c>
      <c r="BG230" s="0" t="n">
        <f aca="false">SUM(AY230:BF230)</f>
        <v>0</v>
      </c>
    </row>
    <row r="231" customFormat="false" ht="15" hidden="false" customHeight="false" outlineLevel="0" collapsed="false">
      <c r="A231" s="0" t="n">
        <v>229</v>
      </c>
      <c r="B231" s="0" t="n">
        <f aca="false">AY230</f>
        <v>0</v>
      </c>
      <c r="C231" s="0" t="n">
        <f aca="false">AZ230</f>
        <v>0</v>
      </c>
      <c r="D231" s="0" t="n">
        <f aca="false">BA230</f>
        <v>0</v>
      </c>
      <c r="E231" s="0" t="n">
        <f aca="false">BB230</f>
        <v>0</v>
      </c>
      <c r="F231" s="0" t="n">
        <f aca="false">BC230</f>
        <v>0</v>
      </c>
      <c r="G231" s="0" t="n">
        <f aca="false">BD230</f>
        <v>0</v>
      </c>
      <c r="H231" s="0" t="n">
        <f aca="false">BE230</f>
        <v>0</v>
      </c>
      <c r="I231" s="0" t="n">
        <f aca="false">BF230</f>
        <v>0</v>
      </c>
      <c r="J231" s="0" t="n">
        <f aca="false">B231*N('Debt Payoff'!D9)/12</f>
        <v>0</v>
      </c>
      <c r="K231" s="0" t="n">
        <f aca="false">C231*N('Debt Payoff'!D10)/12</f>
        <v>0</v>
      </c>
      <c r="L231" s="0" t="n">
        <f aca="false">D231*N('Debt Payoff'!D11)/12</f>
        <v>0</v>
      </c>
      <c r="M231" s="0" t="n">
        <f aca="false">E231*N('Debt Payoff'!D12)/12</f>
        <v>0</v>
      </c>
      <c r="N231" s="0" t="n">
        <f aca="false">F231*N('Debt Payoff'!D13)/12</f>
        <v>0</v>
      </c>
      <c r="O231" s="0" t="n">
        <f aca="false">G231*N('Debt Payoff'!D14)/12</f>
        <v>0</v>
      </c>
      <c r="P231" s="0" t="n">
        <f aca="false">H231*N('Debt Payoff'!D15)/12</f>
        <v>0</v>
      </c>
      <c r="Q231" s="0" t="n">
        <f aca="false">I231*N('Debt Payoff'!D16)/12</f>
        <v>0</v>
      </c>
      <c r="R231" s="0" t="n">
        <f aca="false">B231+J231</f>
        <v>0</v>
      </c>
      <c r="S231" s="0" t="n">
        <f aca="false">C231+K231</f>
        <v>0</v>
      </c>
      <c r="T231" s="0" t="n">
        <f aca="false">D231+L231</f>
        <v>0</v>
      </c>
      <c r="U231" s="0" t="n">
        <f aca="false">E231+M231</f>
        <v>0</v>
      </c>
      <c r="V231" s="0" t="n">
        <f aca="false">F231+N231</f>
        <v>0</v>
      </c>
      <c r="W231" s="0" t="n">
        <f aca="false">G231+O231</f>
        <v>0</v>
      </c>
      <c r="X231" s="0" t="n">
        <f aca="false">H231+P231</f>
        <v>0</v>
      </c>
      <c r="Y231" s="0" t="n">
        <f aca="false">I231+Q231</f>
        <v>0</v>
      </c>
      <c r="Z231" s="0" t="n">
        <f aca="false">MIN(R231,N('Debt Payoff'!E9))</f>
        <v>0</v>
      </c>
      <c r="AA231" s="0" t="n">
        <f aca="false">MIN(S231,N('Debt Payoff'!E10))</f>
        <v>0</v>
      </c>
      <c r="AB231" s="0" t="n">
        <f aca="false">MIN(T231,N('Debt Payoff'!E11))</f>
        <v>0</v>
      </c>
      <c r="AC231" s="0" t="n">
        <f aca="false">MIN(U231,N('Debt Payoff'!E12))</f>
        <v>0</v>
      </c>
      <c r="AD231" s="0" t="n">
        <f aca="false">MIN(V231,N('Debt Payoff'!E13))</f>
        <v>0</v>
      </c>
      <c r="AE231" s="0" t="n">
        <f aca="false">MIN(W231,N('Debt Payoff'!E14))</f>
        <v>0</v>
      </c>
      <c r="AF231" s="0" t="n">
        <f aca="false">MIN(X231,N('Debt Payoff'!E15))</f>
        <v>0</v>
      </c>
      <c r="AG231" s="0" t="n">
        <f aca="false">MIN(Y231,N('Debt Payoff'!E16))</f>
        <v>0</v>
      </c>
      <c r="AH231" s="0" t="n">
        <f aca="false">R231-Z231</f>
        <v>0</v>
      </c>
      <c r="AI231" s="0" t="n">
        <f aca="false">S231-AA231</f>
        <v>0</v>
      </c>
      <c r="AJ231" s="0" t="n">
        <f aca="false">T231-AB231</f>
        <v>0</v>
      </c>
      <c r="AK231" s="0" t="n">
        <f aca="false">U231-AC231</f>
        <v>0</v>
      </c>
      <c r="AL231" s="0" t="n">
        <f aca="false">V231-AD231</f>
        <v>0</v>
      </c>
      <c r="AM231" s="0" t="n">
        <f aca="false">W231-AE231</f>
        <v>0</v>
      </c>
      <c r="AN231" s="0" t="n">
        <f aca="false">X231-AF231</f>
        <v>0</v>
      </c>
      <c r="AO231" s="0" t="n">
        <f aca="false">Y231-AG231</f>
        <v>0</v>
      </c>
      <c r="AP231" s="0" t="n">
        <f aca="false">MAX(0,'Debt Payoff'!$D$17-SUM(Z231:AG231))</f>
        <v>805</v>
      </c>
      <c r="AQ231" s="0" t="n">
        <f aca="false">MIN(AH231,MAX(0,$AP231-SUMPRODUCT(($AH$1:$AO$1&lt;AH$1)*$AH231:$AO231)))</f>
        <v>0</v>
      </c>
      <c r="AR231" s="0" t="n">
        <f aca="false">MIN(AI231,MAX(0,$AP231-SUMPRODUCT(($AH$1:$AO$1&lt;AI$1)*$AH231:$AO231)))</f>
        <v>0</v>
      </c>
      <c r="AS231" s="0" t="n">
        <f aca="false">MIN(AJ231,MAX(0,$AP231-SUMPRODUCT(($AH$1:$AO$1&lt;AJ$1)*$AH231:$AO231)))</f>
        <v>0</v>
      </c>
      <c r="AT231" s="0" t="n">
        <f aca="false">MIN(AK231,MAX(0,$AP231-SUMPRODUCT(($AH$1:$AO$1&lt;AK$1)*$AH231:$AO231)))</f>
        <v>0</v>
      </c>
      <c r="AU231" s="0" t="n">
        <f aca="false">MIN(AL231,MAX(0,$AP231-SUMPRODUCT(($AH$1:$AO$1&lt;AL$1)*$AH231:$AO231)))</f>
        <v>0</v>
      </c>
      <c r="AV231" s="0" t="n">
        <f aca="false">MIN(AM231,MAX(0,$AP231-SUMPRODUCT(($AH$1:$AO$1&lt;AM$1)*$AH231:$AO231)))</f>
        <v>0</v>
      </c>
      <c r="AW231" s="0" t="n">
        <f aca="false">MIN(AN231,MAX(0,$AP231-SUMPRODUCT(($AH$1:$AO$1&lt;AN$1)*$AH231:$AO231)))</f>
        <v>0</v>
      </c>
      <c r="AX231" s="0" t="n">
        <f aca="false">MIN(AO231,MAX(0,$AP231-SUMPRODUCT(($AH$1:$AO$1&lt;AO$1)*$AH231:$AO231)))</f>
        <v>0</v>
      </c>
      <c r="AY231" s="0" t="n">
        <f aca="false">ROUND(AH231-AQ231,2)</f>
        <v>0</v>
      </c>
      <c r="AZ231" s="0" t="n">
        <f aca="false">ROUND(AI231-AR231,2)</f>
        <v>0</v>
      </c>
      <c r="BA231" s="0" t="n">
        <f aca="false">ROUND(AJ231-AS231,2)</f>
        <v>0</v>
      </c>
      <c r="BB231" s="0" t="n">
        <f aca="false">ROUND(AK231-AT231,2)</f>
        <v>0</v>
      </c>
      <c r="BC231" s="0" t="n">
        <f aca="false">ROUND(AL231-AU231,2)</f>
        <v>0</v>
      </c>
      <c r="BD231" s="0" t="n">
        <f aca="false">ROUND(AM231-AV231,2)</f>
        <v>0</v>
      </c>
      <c r="BE231" s="0" t="n">
        <f aca="false">ROUND(AN231-AW231,2)</f>
        <v>0</v>
      </c>
      <c r="BF231" s="0" t="n">
        <f aca="false">ROUND(AO231-AX231,2)</f>
        <v>0</v>
      </c>
      <c r="BG231" s="0" t="n">
        <f aca="false">SUM(AY231:BF231)</f>
        <v>0</v>
      </c>
    </row>
    <row r="232" customFormat="false" ht="15" hidden="false" customHeight="false" outlineLevel="0" collapsed="false">
      <c r="A232" s="0" t="n">
        <v>230</v>
      </c>
      <c r="B232" s="0" t="n">
        <f aca="false">AY231</f>
        <v>0</v>
      </c>
      <c r="C232" s="0" t="n">
        <f aca="false">AZ231</f>
        <v>0</v>
      </c>
      <c r="D232" s="0" t="n">
        <f aca="false">BA231</f>
        <v>0</v>
      </c>
      <c r="E232" s="0" t="n">
        <f aca="false">BB231</f>
        <v>0</v>
      </c>
      <c r="F232" s="0" t="n">
        <f aca="false">BC231</f>
        <v>0</v>
      </c>
      <c r="G232" s="0" t="n">
        <f aca="false">BD231</f>
        <v>0</v>
      </c>
      <c r="H232" s="0" t="n">
        <f aca="false">BE231</f>
        <v>0</v>
      </c>
      <c r="I232" s="0" t="n">
        <f aca="false">BF231</f>
        <v>0</v>
      </c>
      <c r="J232" s="0" t="n">
        <f aca="false">B232*N('Debt Payoff'!D9)/12</f>
        <v>0</v>
      </c>
      <c r="K232" s="0" t="n">
        <f aca="false">C232*N('Debt Payoff'!D10)/12</f>
        <v>0</v>
      </c>
      <c r="L232" s="0" t="n">
        <f aca="false">D232*N('Debt Payoff'!D11)/12</f>
        <v>0</v>
      </c>
      <c r="M232" s="0" t="n">
        <f aca="false">E232*N('Debt Payoff'!D12)/12</f>
        <v>0</v>
      </c>
      <c r="N232" s="0" t="n">
        <f aca="false">F232*N('Debt Payoff'!D13)/12</f>
        <v>0</v>
      </c>
      <c r="O232" s="0" t="n">
        <f aca="false">G232*N('Debt Payoff'!D14)/12</f>
        <v>0</v>
      </c>
      <c r="P232" s="0" t="n">
        <f aca="false">H232*N('Debt Payoff'!D15)/12</f>
        <v>0</v>
      </c>
      <c r="Q232" s="0" t="n">
        <f aca="false">I232*N('Debt Payoff'!D16)/12</f>
        <v>0</v>
      </c>
      <c r="R232" s="0" t="n">
        <f aca="false">B232+J232</f>
        <v>0</v>
      </c>
      <c r="S232" s="0" t="n">
        <f aca="false">C232+K232</f>
        <v>0</v>
      </c>
      <c r="T232" s="0" t="n">
        <f aca="false">D232+L232</f>
        <v>0</v>
      </c>
      <c r="U232" s="0" t="n">
        <f aca="false">E232+M232</f>
        <v>0</v>
      </c>
      <c r="V232" s="0" t="n">
        <f aca="false">F232+N232</f>
        <v>0</v>
      </c>
      <c r="W232" s="0" t="n">
        <f aca="false">G232+O232</f>
        <v>0</v>
      </c>
      <c r="X232" s="0" t="n">
        <f aca="false">H232+P232</f>
        <v>0</v>
      </c>
      <c r="Y232" s="0" t="n">
        <f aca="false">I232+Q232</f>
        <v>0</v>
      </c>
      <c r="Z232" s="0" t="n">
        <f aca="false">MIN(R232,N('Debt Payoff'!E9))</f>
        <v>0</v>
      </c>
      <c r="AA232" s="0" t="n">
        <f aca="false">MIN(S232,N('Debt Payoff'!E10))</f>
        <v>0</v>
      </c>
      <c r="AB232" s="0" t="n">
        <f aca="false">MIN(T232,N('Debt Payoff'!E11))</f>
        <v>0</v>
      </c>
      <c r="AC232" s="0" t="n">
        <f aca="false">MIN(U232,N('Debt Payoff'!E12))</f>
        <v>0</v>
      </c>
      <c r="AD232" s="0" t="n">
        <f aca="false">MIN(V232,N('Debt Payoff'!E13))</f>
        <v>0</v>
      </c>
      <c r="AE232" s="0" t="n">
        <f aca="false">MIN(W232,N('Debt Payoff'!E14))</f>
        <v>0</v>
      </c>
      <c r="AF232" s="0" t="n">
        <f aca="false">MIN(X232,N('Debt Payoff'!E15))</f>
        <v>0</v>
      </c>
      <c r="AG232" s="0" t="n">
        <f aca="false">MIN(Y232,N('Debt Payoff'!E16))</f>
        <v>0</v>
      </c>
      <c r="AH232" s="0" t="n">
        <f aca="false">R232-Z232</f>
        <v>0</v>
      </c>
      <c r="AI232" s="0" t="n">
        <f aca="false">S232-AA232</f>
        <v>0</v>
      </c>
      <c r="AJ232" s="0" t="n">
        <f aca="false">T232-AB232</f>
        <v>0</v>
      </c>
      <c r="AK232" s="0" t="n">
        <f aca="false">U232-AC232</f>
        <v>0</v>
      </c>
      <c r="AL232" s="0" t="n">
        <f aca="false">V232-AD232</f>
        <v>0</v>
      </c>
      <c r="AM232" s="0" t="n">
        <f aca="false">W232-AE232</f>
        <v>0</v>
      </c>
      <c r="AN232" s="0" t="n">
        <f aca="false">X232-AF232</f>
        <v>0</v>
      </c>
      <c r="AO232" s="0" t="n">
        <f aca="false">Y232-AG232</f>
        <v>0</v>
      </c>
      <c r="AP232" s="0" t="n">
        <f aca="false">MAX(0,'Debt Payoff'!$D$17-SUM(Z232:AG232))</f>
        <v>805</v>
      </c>
      <c r="AQ232" s="0" t="n">
        <f aca="false">MIN(AH232,MAX(0,$AP232-SUMPRODUCT(($AH$1:$AO$1&lt;AH$1)*$AH232:$AO232)))</f>
        <v>0</v>
      </c>
      <c r="AR232" s="0" t="n">
        <f aca="false">MIN(AI232,MAX(0,$AP232-SUMPRODUCT(($AH$1:$AO$1&lt;AI$1)*$AH232:$AO232)))</f>
        <v>0</v>
      </c>
      <c r="AS232" s="0" t="n">
        <f aca="false">MIN(AJ232,MAX(0,$AP232-SUMPRODUCT(($AH$1:$AO$1&lt;AJ$1)*$AH232:$AO232)))</f>
        <v>0</v>
      </c>
      <c r="AT232" s="0" t="n">
        <f aca="false">MIN(AK232,MAX(0,$AP232-SUMPRODUCT(($AH$1:$AO$1&lt;AK$1)*$AH232:$AO232)))</f>
        <v>0</v>
      </c>
      <c r="AU232" s="0" t="n">
        <f aca="false">MIN(AL232,MAX(0,$AP232-SUMPRODUCT(($AH$1:$AO$1&lt;AL$1)*$AH232:$AO232)))</f>
        <v>0</v>
      </c>
      <c r="AV232" s="0" t="n">
        <f aca="false">MIN(AM232,MAX(0,$AP232-SUMPRODUCT(($AH$1:$AO$1&lt;AM$1)*$AH232:$AO232)))</f>
        <v>0</v>
      </c>
      <c r="AW232" s="0" t="n">
        <f aca="false">MIN(AN232,MAX(0,$AP232-SUMPRODUCT(($AH$1:$AO$1&lt;AN$1)*$AH232:$AO232)))</f>
        <v>0</v>
      </c>
      <c r="AX232" s="0" t="n">
        <f aca="false">MIN(AO232,MAX(0,$AP232-SUMPRODUCT(($AH$1:$AO$1&lt;AO$1)*$AH232:$AO232)))</f>
        <v>0</v>
      </c>
      <c r="AY232" s="0" t="n">
        <f aca="false">ROUND(AH232-AQ232,2)</f>
        <v>0</v>
      </c>
      <c r="AZ232" s="0" t="n">
        <f aca="false">ROUND(AI232-AR232,2)</f>
        <v>0</v>
      </c>
      <c r="BA232" s="0" t="n">
        <f aca="false">ROUND(AJ232-AS232,2)</f>
        <v>0</v>
      </c>
      <c r="BB232" s="0" t="n">
        <f aca="false">ROUND(AK232-AT232,2)</f>
        <v>0</v>
      </c>
      <c r="BC232" s="0" t="n">
        <f aca="false">ROUND(AL232-AU232,2)</f>
        <v>0</v>
      </c>
      <c r="BD232" s="0" t="n">
        <f aca="false">ROUND(AM232-AV232,2)</f>
        <v>0</v>
      </c>
      <c r="BE232" s="0" t="n">
        <f aca="false">ROUND(AN232-AW232,2)</f>
        <v>0</v>
      </c>
      <c r="BF232" s="0" t="n">
        <f aca="false">ROUND(AO232-AX232,2)</f>
        <v>0</v>
      </c>
      <c r="BG232" s="0" t="n">
        <f aca="false">SUM(AY232:BF232)</f>
        <v>0</v>
      </c>
    </row>
    <row r="233" customFormat="false" ht="15" hidden="false" customHeight="false" outlineLevel="0" collapsed="false">
      <c r="A233" s="0" t="n">
        <v>231</v>
      </c>
      <c r="B233" s="0" t="n">
        <f aca="false">AY232</f>
        <v>0</v>
      </c>
      <c r="C233" s="0" t="n">
        <f aca="false">AZ232</f>
        <v>0</v>
      </c>
      <c r="D233" s="0" t="n">
        <f aca="false">BA232</f>
        <v>0</v>
      </c>
      <c r="E233" s="0" t="n">
        <f aca="false">BB232</f>
        <v>0</v>
      </c>
      <c r="F233" s="0" t="n">
        <f aca="false">BC232</f>
        <v>0</v>
      </c>
      <c r="G233" s="0" t="n">
        <f aca="false">BD232</f>
        <v>0</v>
      </c>
      <c r="H233" s="0" t="n">
        <f aca="false">BE232</f>
        <v>0</v>
      </c>
      <c r="I233" s="0" t="n">
        <f aca="false">BF232</f>
        <v>0</v>
      </c>
      <c r="J233" s="0" t="n">
        <f aca="false">B233*N('Debt Payoff'!D9)/12</f>
        <v>0</v>
      </c>
      <c r="K233" s="0" t="n">
        <f aca="false">C233*N('Debt Payoff'!D10)/12</f>
        <v>0</v>
      </c>
      <c r="L233" s="0" t="n">
        <f aca="false">D233*N('Debt Payoff'!D11)/12</f>
        <v>0</v>
      </c>
      <c r="M233" s="0" t="n">
        <f aca="false">E233*N('Debt Payoff'!D12)/12</f>
        <v>0</v>
      </c>
      <c r="N233" s="0" t="n">
        <f aca="false">F233*N('Debt Payoff'!D13)/12</f>
        <v>0</v>
      </c>
      <c r="O233" s="0" t="n">
        <f aca="false">G233*N('Debt Payoff'!D14)/12</f>
        <v>0</v>
      </c>
      <c r="P233" s="0" t="n">
        <f aca="false">H233*N('Debt Payoff'!D15)/12</f>
        <v>0</v>
      </c>
      <c r="Q233" s="0" t="n">
        <f aca="false">I233*N('Debt Payoff'!D16)/12</f>
        <v>0</v>
      </c>
      <c r="R233" s="0" t="n">
        <f aca="false">B233+J233</f>
        <v>0</v>
      </c>
      <c r="S233" s="0" t="n">
        <f aca="false">C233+K233</f>
        <v>0</v>
      </c>
      <c r="T233" s="0" t="n">
        <f aca="false">D233+L233</f>
        <v>0</v>
      </c>
      <c r="U233" s="0" t="n">
        <f aca="false">E233+M233</f>
        <v>0</v>
      </c>
      <c r="V233" s="0" t="n">
        <f aca="false">F233+N233</f>
        <v>0</v>
      </c>
      <c r="W233" s="0" t="n">
        <f aca="false">G233+O233</f>
        <v>0</v>
      </c>
      <c r="X233" s="0" t="n">
        <f aca="false">H233+P233</f>
        <v>0</v>
      </c>
      <c r="Y233" s="0" t="n">
        <f aca="false">I233+Q233</f>
        <v>0</v>
      </c>
      <c r="Z233" s="0" t="n">
        <f aca="false">MIN(R233,N('Debt Payoff'!E9))</f>
        <v>0</v>
      </c>
      <c r="AA233" s="0" t="n">
        <f aca="false">MIN(S233,N('Debt Payoff'!E10))</f>
        <v>0</v>
      </c>
      <c r="AB233" s="0" t="n">
        <f aca="false">MIN(T233,N('Debt Payoff'!E11))</f>
        <v>0</v>
      </c>
      <c r="AC233" s="0" t="n">
        <f aca="false">MIN(U233,N('Debt Payoff'!E12))</f>
        <v>0</v>
      </c>
      <c r="AD233" s="0" t="n">
        <f aca="false">MIN(V233,N('Debt Payoff'!E13))</f>
        <v>0</v>
      </c>
      <c r="AE233" s="0" t="n">
        <f aca="false">MIN(W233,N('Debt Payoff'!E14))</f>
        <v>0</v>
      </c>
      <c r="AF233" s="0" t="n">
        <f aca="false">MIN(X233,N('Debt Payoff'!E15))</f>
        <v>0</v>
      </c>
      <c r="AG233" s="0" t="n">
        <f aca="false">MIN(Y233,N('Debt Payoff'!E16))</f>
        <v>0</v>
      </c>
      <c r="AH233" s="0" t="n">
        <f aca="false">R233-Z233</f>
        <v>0</v>
      </c>
      <c r="AI233" s="0" t="n">
        <f aca="false">S233-AA233</f>
        <v>0</v>
      </c>
      <c r="AJ233" s="0" t="n">
        <f aca="false">T233-AB233</f>
        <v>0</v>
      </c>
      <c r="AK233" s="0" t="n">
        <f aca="false">U233-AC233</f>
        <v>0</v>
      </c>
      <c r="AL233" s="0" t="n">
        <f aca="false">V233-AD233</f>
        <v>0</v>
      </c>
      <c r="AM233" s="0" t="n">
        <f aca="false">W233-AE233</f>
        <v>0</v>
      </c>
      <c r="AN233" s="0" t="n">
        <f aca="false">X233-AF233</f>
        <v>0</v>
      </c>
      <c r="AO233" s="0" t="n">
        <f aca="false">Y233-AG233</f>
        <v>0</v>
      </c>
      <c r="AP233" s="0" t="n">
        <f aca="false">MAX(0,'Debt Payoff'!$D$17-SUM(Z233:AG233))</f>
        <v>805</v>
      </c>
      <c r="AQ233" s="0" t="n">
        <f aca="false">MIN(AH233,MAX(0,$AP233-SUMPRODUCT(($AH$1:$AO$1&lt;AH$1)*$AH233:$AO233)))</f>
        <v>0</v>
      </c>
      <c r="AR233" s="0" t="n">
        <f aca="false">MIN(AI233,MAX(0,$AP233-SUMPRODUCT(($AH$1:$AO$1&lt;AI$1)*$AH233:$AO233)))</f>
        <v>0</v>
      </c>
      <c r="AS233" s="0" t="n">
        <f aca="false">MIN(AJ233,MAX(0,$AP233-SUMPRODUCT(($AH$1:$AO$1&lt;AJ$1)*$AH233:$AO233)))</f>
        <v>0</v>
      </c>
      <c r="AT233" s="0" t="n">
        <f aca="false">MIN(AK233,MAX(0,$AP233-SUMPRODUCT(($AH$1:$AO$1&lt;AK$1)*$AH233:$AO233)))</f>
        <v>0</v>
      </c>
      <c r="AU233" s="0" t="n">
        <f aca="false">MIN(AL233,MAX(0,$AP233-SUMPRODUCT(($AH$1:$AO$1&lt;AL$1)*$AH233:$AO233)))</f>
        <v>0</v>
      </c>
      <c r="AV233" s="0" t="n">
        <f aca="false">MIN(AM233,MAX(0,$AP233-SUMPRODUCT(($AH$1:$AO$1&lt;AM$1)*$AH233:$AO233)))</f>
        <v>0</v>
      </c>
      <c r="AW233" s="0" t="n">
        <f aca="false">MIN(AN233,MAX(0,$AP233-SUMPRODUCT(($AH$1:$AO$1&lt;AN$1)*$AH233:$AO233)))</f>
        <v>0</v>
      </c>
      <c r="AX233" s="0" t="n">
        <f aca="false">MIN(AO233,MAX(0,$AP233-SUMPRODUCT(($AH$1:$AO$1&lt;AO$1)*$AH233:$AO233)))</f>
        <v>0</v>
      </c>
      <c r="AY233" s="0" t="n">
        <f aca="false">ROUND(AH233-AQ233,2)</f>
        <v>0</v>
      </c>
      <c r="AZ233" s="0" t="n">
        <f aca="false">ROUND(AI233-AR233,2)</f>
        <v>0</v>
      </c>
      <c r="BA233" s="0" t="n">
        <f aca="false">ROUND(AJ233-AS233,2)</f>
        <v>0</v>
      </c>
      <c r="BB233" s="0" t="n">
        <f aca="false">ROUND(AK233-AT233,2)</f>
        <v>0</v>
      </c>
      <c r="BC233" s="0" t="n">
        <f aca="false">ROUND(AL233-AU233,2)</f>
        <v>0</v>
      </c>
      <c r="BD233" s="0" t="n">
        <f aca="false">ROUND(AM233-AV233,2)</f>
        <v>0</v>
      </c>
      <c r="BE233" s="0" t="n">
        <f aca="false">ROUND(AN233-AW233,2)</f>
        <v>0</v>
      </c>
      <c r="BF233" s="0" t="n">
        <f aca="false">ROUND(AO233-AX233,2)</f>
        <v>0</v>
      </c>
      <c r="BG233" s="0" t="n">
        <f aca="false">SUM(AY233:BF233)</f>
        <v>0</v>
      </c>
    </row>
    <row r="234" customFormat="false" ht="15" hidden="false" customHeight="false" outlineLevel="0" collapsed="false">
      <c r="A234" s="0" t="n">
        <v>232</v>
      </c>
      <c r="B234" s="0" t="n">
        <f aca="false">AY233</f>
        <v>0</v>
      </c>
      <c r="C234" s="0" t="n">
        <f aca="false">AZ233</f>
        <v>0</v>
      </c>
      <c r="D234" s="0" t="n">
        <f aca="false">BA233</f>
        <v>0</v>
      </c>
      <c r="E234" s="0" t="n">
        <f aca="false">BB233</f>
        <v>0</v>
      </c>
      <c r="F234" s="0" t="n">
        <f aca="false">BC233</f>
        <v>0</v>
      </c>
      <c r="G234" s="0" t="n">
        <f aca="false">BD233</f>
        <v>0</v>
      </c>
      <c r="H234" s="0" t="n">
        <f aca="false">BE233</f>
        <v>0</v>
      </c>
      <c r="I234" s="0" t="n">
        <f aca="false">BF233</f>
        <v>0</v>
      </c>
      <c r="J234" s="0" t="n">
        <f aca="false">B234*N('Debt Payoff'!D9)/12</f>
        <v>0</v>
      </c>
      <c r="K234" s="0" t="n">
        <f aca="false">C234*N('Debt Payoff'!D10)/12</f>
        <v>0</v>
      </c>
      <c r="L234" s="0" t="n">
        <f aca="false">D234*N('Debt Payoff'!D11)/12</f>
        <v>0</v>
      </c>
      <c r="M234" s="0" t="n">
        <f aca="false">E234*N('Debt Payoff'!D12)/12</f>
        <v>0</v>
      </c>
      <c r="N234" s="0" t="n">
        <f aca="false">F234*N('Debt Payoff'!D13)/12</f>
        <v>0</v>
      </c>
      <c r="O234" s="0" t="n">
        <f aca="false">G234*N('Debt Payoff'!D14)/12</f>
        <v>0</v>
      </c>
      <c r="P234" s="0" t="n">
        <f aca="false">H234*N('Debt Payoff'!D15)/12</f>
        <v>0</v>
      </c>
      <c r="Q234" s="0" t="n">
        <f aca="false">I234*N('Debt Payoff'!D16)/12</f>
        <v>0</v>
      </c>
      <c r="R234" s="0" t="n">
        <f aca="false">B234+J234</f>
        <v>0</v>
      </c>
      <c r="S234" s="0" t="n">
        <f aca="false">C234+K234</f>
        <v>0</v>
      </c>
      <c r="T234" s="0" t="n">
        <f aca="false">D234+L234</f>
        <v>0</v>
      </c>
      <c r="U234" s="0" t="n">
        <f aca="false">E234+M234</f>
        <v>0</v>
      </c>
      <c r="V234" s="0" t="n">
        <f aca="false">F234+N234</f>
        <v>0</v>
      </c>
      <c r="W234" s="0" t="n">
        <f aca="false">G234+O234</f>
        <v>0</v>
      </c>
      <c r="X234" s="0" t="n">
        <f aca="false">H234+P234</f>
        <v>0</v>
      </c>
      <c r="Y234" s="0" t="n">
        <f aca="false">I234+Q234</f>
        <v>0</v>
      </c>
      <c r="Z234" s="0" t="n">
        <f aca="false">MIN(R234,N('Debt Payoff'!E9))</f>
        <v>0</v>
      </c>
      <c r="AA234" s="0" t="n">
        <f aca="false">MIN(S234,N('Debt Payoff'!E10))</f>
        <v>0</v>
      </c>
      <c r="AB234" s="0" t="n">
        <f aca="false">MIN(T234,N('Debt Payoff'!E11))</f>
        <v>0</v>
      </c>
      <c r="AC234" s="0" t="n">
        <f aca="false">MIN(U234,N('Debt Payoff'!E12))</f>
        <v>0</v>
      </c>
      <c r="AD234" s="0" t="n">
        <f aca="false">MIN(V234,N('Debt Payoff'!E13))</f>
        <v>0</v>
      </c>
      <c r="AE234" s="0" t="n">
        <f aca="false">MIN(W234,N('Debt Payoff'!E14))</f>
        <v>0</v>
      </c>
      <c r="AF234" s="0" t="n">
        <f aca="false">MIN(X234,N('Debt Payoff'!E15))</f>
        <v>0</v>
      </c>
      <c r="AG234" s="0" t="n">
        <f aca="false">MIN(Y234,N('Debt Payoff'!E16))</f>
        <v>0</v>
      </c>
      <c r="AH234" s="0" t="n">
        <f aca="false">R234-Z234</f>
        <v>0</v>
      </c>
      <c r="AI234" s="0" t="n">
        <f aca="false">S234-AA234</f>
        <v>0</v>
      </c>
      <c r="AJ234" s="0" t="n">
        <f aca="false">T234-AB234</f>
        <v>0</v>
      </c>
      <c r="AK234" s="0" t="n">
        <f aca="false">U234-AC234</f>
        <v>0</v>
      </c>
      <c r="AL234" s="0" t="n">
        <f aca="false">V234-AD234</f>
        <v>0</v>
      </c>
      <c r="AM234" s="0" t="n">
        <f aca="false">W234-AE234</f>
        <v>0</v>
      </c>
      <c r="AN234" s="0" t="n">
        <f aca="false">X234-AF234</f>
        <v>0</v>
      </c>
      <c r="AO234" s="0" t="n">
        <f aca="false">Y234-AG234</f>
        <v>0</v>
      </c>
      <c r="AP234" s="0" t="n">
        <f aca="false">MAX(0,'Debt Payoff'!$D$17-SUM(Z234:AG234))</f>
        <v>805</v>
      </c>
      <c r="AQ234" s="0" t="n">
        <f aca="false">MIN(AH234,MAX(0,$AP234-SUMPRODUCT(($AH$1:$AO$1&lt;AH$1)*$AH234:$AO234)))</f>
        <v>0</v>
      </c>
      <c r="AR234" s="0" t="n">
        <f aca="false">MIN(AI234,MAX(0,$AP234-SUMPRODUCT(($AH$1:$AO$1&lt;AI$1)*$AH234:$AO234)))</f>
        <v>0</v>
      </c>
      <c r="AS234" s="0" t="n">
        <f aca="false">MIN(AJ234,MAX(0,$AP234-SUMPRODUCT(($AH$1:$AO$1&lt;AJ$1)*$AH234:$AO234)))</f>
        <v>0</v>
      </c>
      <c r="AT234" s="0" t="n">
        <f aca="false">MIN(AK234,MAX(0,$AP234-SUMPRODUCT(($AH$1:$AO$1&lt;AK$1)*$AH234:$AO234)))</f>
        <v>0</v>
      </c>
      <c r="AU234" s="0" t="n">
        <f aca="false">MIN(AL234,MAX(0,$AP234-SUMPRODUCT(($AH$1:$AO$1&lt;AL$1)*$AH234:$AO234)))</f>
        <v>0</v>
      </c>
      <c r="AV234" s="0" t="n">
        <f aca="false">MIN(AM234,MAX(0,$AP234-SUMPRODUCT(($AH$1:$AO$1&lt;AM$1)*$AH234:$AO234)))</f>
        <v>0</v>
      </c>
      <c r="AW234" s="0" t="n">
        <f aca="false">MIN(AN234,MAX(0,$AP234-SUMPRODUCT(($AH$1:$AO$1&lt;AN$1)*$AH234:$AO234)))</f>
        <v>0</v>
      </c>
      <c r="AX234" s="0" t="n">
        <f aca="false">MIN(AO234,MAX(0,$AP234-SUMPRODUCT(($AH$1:$AO$1&lt;AO$1)*$AH234:$AO234)))</f>
        <v>0</v>
      </c>
      <c r="AY234" s="0" t="n">
        <f aca="false">ROUND(AH234-AQ234,2)</f>
        <v>0</v>
      </c>
      <c r="AZ234" s="0" t="n">
        <f aca="false">ROUND(AI234-AR234,2)</f>
        <v>0</v>
      </c>
      <c r="BA234" s="0" t="n">
        <f aca="false">ROUND(AJ234-AS234,2)</f>
        <v>0</v>
      </c>
      <c r="BB234" s="0" t="n">
        <f aca="false">ROUND(AK234-AT234,2)</f>
        <v>0</v>
      </c>
      <c r="BC234" s="0" t="n">
        <f aca="false">ROUND(AL234-AU234,2)</f>
        <v>0</v>
      </c>
      <c r="BD234" s="0" t="n">
        <f aca="false">ROUND(AM234-AV234,2)</f>
        <v>0</v>
      </c>
      <c r="BE234" s="0" t="n">
        <f aca="false">ROUND(AN234-AW234,2)</f>
        <v>0</v>
      </c>
      <c r="BF234" s="0" t="n">
        <f aca="false">ROUND(AO234-AX234,2)</f>
        <v>0</v>
      </c>
      <c r="BG234" s="0" t="n">
        <f aca="false">SUM(AY234:BF234)</f>
        <v>0</v>
      </c>
    </row>
    <row r="235" customFormat="false" ht="15" hidden="false" customHeight="false" outlineLevel="0" collapsed="false">
      <c r="A235" s="0" t="n">
        <v>233</v>
      </c>
      <c r="B235" s="0" t="n">
        <f aca="false">AY234</f>
        <v>0</v>
      </c>
      <c r="C235" s="0" t="n">
        <f aca="false">AZ234</f>
        <v>0</v>
      </c>
      <c r="D235" s="0" t="n">
        <f aca="false">BA234</f>
        <v>0</v>
      </c>
      <c r="E235" s="0" t="n">
        <f aca="false">BB234</f>
        <v>0</v>
      </c>
      <c r="F235" s="0" t="n">
        <f aca="false">BC234</f>
        <v>0</v>
      </c>
      <c r="G235" s="0" t="n">
        <f aca="false">BD234</f>
        <v>0</v>
      </c>
      <c r="H235" s="0" t="n">
        <f aca="false">BE234</f>
        <v>0</v>
      </c>
      <c r="I235" s="0" t="n">
        <f aca="false">BF234</f>
        <v>0</v>
      </c>
      <c r="J235" s="0" t="n">
        <f aca="false">B235*N('Debt Payoff'!D9)/12</f>
        <v>0</v>
      </c>
      <c r="K235" s="0" t="n">
        <f aca="false">C235*N('Debt Payoff'!D10)/12</f>
        <v>0</v>
      </c>
      <c r="L235" s="0" t="n">
        <f aca="false">D235*N('Debt Payoff'!D11)/12</f>
        <v>0</v>
      </c>
      <c r="M235" s="0" t="n">
        <f aca="false">E235*N('Debt Payoff'!D12)/12</f>
        <v>0</v>
      </c>
      <c r="N235" s="0" t="n">
        <f aca="false">F235*N('Debt Payoff'!D13)/12</f>
        <v>0</v>
      </c>
      <c r="O235" s="0" t="n">
        <f aca="false">G235*N('Debt Payoff'!D14)/12</f>
        <v>0</v>
      </c>
      <c r="P235" s="0" t="n">
        <f aca="false">H235*N('Debt Payoff'!D15)/12</f>
        <v>0</v>
      </c>
      <c r="Q235" s="0" t="n">
        <f aca="false">I235*N('Debt Payoff'!D16)/12</f>
        <v>0</v>
      </c>
      <c r="R235" s="0" t="n">
        <f aca="false">B235+J235</f>
        <v>0</v>
      </c>
      <c r="S235" s="0" t="n">
        <f aca="false">C235+K235</f>
        <v>0</v>
      </c>
      <c r="T235" s="0" t="n">
        <f aca="false">D235+L235</f>
        <v>0</v>
      </c>
      <c r="U235" s="0" t="n">
        <f aca="false">E235+M235</f>
        <v>0</v>
      </c>
      <c r="V235" s="0" t="n">
        <f aca="false">F235+N235</f>
        <v>0</v>
      </c>
      <c r="W235" s="0" t="n">
        <f aca="false">G235+O235</f>
        <v>0</v>
      </c>
      <c r="X235" s="0" t="n">
        <f aca="false">H235+P235</f>
        <v>0</v>
      </c>
      <c r="Y235" s="0" t="n">
        <f aca="false">I235+Q235</f>
        <v>0</v>
      </c>
      <c r="Z235" s="0" t="n">
        <f aca="false">MIN(R235,N('Debt Payoff'!E9))</f>
        <v>0</v>
      </c>
      <c r="AA235" s="0" t="n">
        <f aca="false">MIN(S235,N('Debt Payoff'!E10))</f>
        <v>0</v>
      </c>
      <c r="AB235" s="0" t="n">
        <f aca="false">MIN(T235,N('Debt Payoff'!E11))</f>
        <v>0</v>
      </c>
      <c r="AC235" s="0" t="n">
        <f aca="false">MIN(U235,N('Debt Payoff'!E12))</f>
        <v>0</v>
      </c>
      <c r="AD235" s="0" t="n">
        <f aca="false">MIN(V235,N('Debt Payoff'!E13))</f>
        <v>0</v>
      </c>
      <c r="AE235" s="0" t="n">
        <f aca="false">MIN(W235,N('Debt Payoff'!E14))</f>
        <v>0</v>
      </c>
      <c r="AF235" s="0" t="n">
        <f aca="false">MIN(X235,N('Debt Payoff'!E15))</f>
        <v>0</v>
      </c>
      <c r="AG235" s="0" t="n">
        <f aca="false">MIN(Y235,N('Debt Payoff'!E16))</f>
        <v>0</v>
      </c>
      <c r="AH235" s="0" t="n">
        <f aca="false">R235-Z235</f>
        <v>0</v>
      </c>
      <c r="AI235" s="0" t="n">
        <f aca="false">S235-AA235</f>
        <v>0</v>
      </c>
      <c r="AJ235" s="0" t="n">
        <f aca="false">T235-AB235</f>
        <v>0</v>
      </c>
      <c r="AK235" s="0" t="n">
        <f aca="false">U235-AC235</f>
        <v>0</v>
      </c>
      <c r="AL235" s="0" t="n">
        <f aca="false">V235-AD235</f>
        <v>0</v>
      </c>
      <c r="AM235" s="0" t="n">
        <f aca="false">W235-AE235</f>
        <v>0</v>
      </c>
      <c r="AN235" s="0" t="n">
        <f aca="false">X235-AF235</f>
        <v>0</v>
      </c>
      <c r="AO235" s="0" t="n">
        <f aca="false">Y235-AG235</f>
        <v>0</v>
      </c>
      <c r="AP235" s="0" t="n">
        <f aca="false">MAX(0,'Debt Payoff'!$D$17-SUM(Z235:AG235))</f>
        <v>805</v>
      </c>
      <c r="AQ235" s="0" t="n">
        <f aca="false">MIN(AH235,MAX(0,$AP235-SUMPRODUCT(($AH$1:$AO$1&lt;AH$1)*$AH235:$AO235)))</f>
        <v>0</v>
      </c>
      <c r="AR235" s="0" t="n">
        <f aca="false">MIN(AI235,MAX(0,$AP235-SUMPRODUCT(($AH$1:$AO$1&lt;AI$1)*$AH235:$AO235)))</f>
        <v>0</v>
      </c>
      <c r="AS235" s="0" t="n">
        <f aca="false">MIN(AJ235,MAX(0,$AP235-SUMPRODUCT(($AH$1:$AO$1&lt;AJ$1)*$AH235:$AO235)))</f>
        <v>0</v>
      </c>
      <c r="AT235" s="0" t="n">
        <f aca="false">MIN(AK235,MAX(0,$AP235-SUMPRODUCT(($AH$1:$AO$1&lt;AK$1)*$AH235:$AO235)))</f>
        <v>0</v>
      </c>
      <c r="AU235" s="0" t="n">
        <f aca="false">MIN(AL235,MAX(0,$AP235-SUMPRODUCT(($AH$1:$AO$1&lt;AL$1)*$AH235:$AO235)))</f>
        <v>0</v>
      </c>
      <c r="AV235" s="0" t="n">
        <f aca="false">MIN(AM235,MAX(0,$AP235-SUMPRODUCT(($AH$1:$AO$1&lt;AM$1)*$AH235:$AO235)))</f>
        <v>0</v>
      </c>
      <c r="AW235" s="0" t="n">
        <f aca="false">MIN(AN235,MAX(0,$AP235-SUMPRODUCT(($AH$1:$AO$1&lt;AN$1)*$AH235:$AO235)))</f>
        <v>0</v>
      </c>
      <c r="AX235" s="0" t="n">
        <f aca="false">MIN(AO235,MAX(0,$AP235-SUMPRODUCT(($AH$1:$AO$1&lt;AO$1)*$AH235:$AO235)))</f>
        <v>0</v>
      </c>
      <c r="AY235" s="0" t="n">
        <f aca="false">ROUND(AH235-AQ235,2)</f>
        <v>0</v>
      </c>
      <c r="AZ235" s="0" t="n">
        <f aca="false">ROUND(AI235-AR235,2)</f>
        <v>0</v>
      </c>
      <c r="BA235" s="0" t="n">
        <f aca="false">ROUND(AJ235-AS235,2)</f>
        <v>0</v>
      </c>
      <c r="BB235" s="0" t="n">
        <f aca="false">ROUND(AK235-AT235,2)</f>
        <v>0</v>
      </c>
      <c r="BC235" s="0" t="n">
        <f aca="false">ROUND(AL235-AU235,2)</f>
        <v>0</v>
      </c>
      <c r="BD235" s="0" t="n">
        <f aca="false">ROUND(AM235-AV235,2)</f>
        <v>0</v>
      </c>
      <c r="BE235" s="0" t="n">
        <f aca="false">ROUND(AN235-AW235,2)</f>
        <v>0</v>
      </c>
      <c r="BF235" s="0" t="n">
        <f aca="false">ROUND(AO235-AX235,2)</f>
        <v>0</v>
      </c>
      <c r="BG235" s="0" t="n">
        <f aca="false">SUM(AY235:BF235)</f>
        <v>0</v>
      </c>
    </row>
    <row r="236" customFormat="false" ht="15" hidden="false" customHeight="false" outlineLevel="0" collapsed="false">
      <c r="A236" s="0" t="n">
        <v>234</v>
      </c>
      <c r="B236" s="0" t="n">
        <f aca="false">AY235</f>
        <v>0</v>
      </c>
      <c r="C236" s="0" t="n">
        <f aca="false">AZ235</f>
        <v>0</v>
      </c>
      <c r="D236" s="0" t="n">
        <f aca="false">BA235</f>
        <v>0</v>
      </c>
      <c r="E236" s="0" t="n">
        <f aca="false">BB235</f>
        <v>0</v>
      </c>
      <c r="F236" s="0" t="n">
        <f aca="false">BC235</f>
        <v>0</v>
      </c>
      <c r="G236" s="0" t="n">
        <f aca="false">BD235</f>
        <v>0</v>
      </c>
      <c r="H236" s="0" t="n">
        <f aca="false">BE235</f>
        <v>0</v>
      </c>
      <c r="I236" s="0" t="n">
        <f aca="false">BF235</f>
        <v>0</v>
      </c>
      <c r="J236" s="0" t="n">
        <f aca="false">B236*N('Debt Payoff'!D9)/12</f>
        <v>0</v>
      </c>
      <c r="K236" s="0" t="n">
        <f aca="false">C236*N('Debt Payoff'!D10)/12</f>
        <v>0</v>
      </c>
      <c r="L236" s="0" t="n">
        <f aca="false">D236*N('Debt Payoff'!D11)/12</f>
        <v>0</v>
      </c>
      <c r="M236" s="0" t="n">
        <f aca="false">E236*N('Debt Payoff'!D12)/12</f>
        <v>0</v>
      </c>
      <c r="N236" s="0" t="n">
        <f aca="false">F236*N('Debt Payoff'!D13)/12</f>
        <v>0</v>
      </c>
      <c r="O236" s="0" t="n">
        <f aca="false">G236*N('Debt Payoff'!D14)/12</f>
        <v>0</v>
      </c>
      <c r="P236" s="0" t="n">
        <f aca="false">H236*N('Debt Payoff'!D15)/12</f>
        <v>0</v>
      </c>
      <c r="Q236" s="0" t="n">
        <f aca="false">I236*N('Debt Payoff'!D16)/12</f>
        <v>0</v>
      </c>
      <c r="R236" s="0" t="n">
        <f aca="false">B236+J236</f>
        <v>0</v>
      </c>
      <c r="S236" s="0" t="n">
        <f aca="false">C236+K236</f>
        <v>0</v>
      </c>
      <c r="T236" s="0" t="n">
        <f aca="false">D236+L236</f>
        <v>0</v>
      </c>
      <c r="U236" s="0" t="n">
        <f aca="false">E236+M236</f>
        <v>0</v>
      </c>
      <c r="V236" s="0" t="n">
        <f aca="false">F236+N236</f>
        <v>0</v>
      </c>
      <c r="W236" s="0" t="n">
        <f aca="false">G236+O236</f>
        <v>0</v>
      </c>
      <c r="X236" s="0" t="n">
        <f aca="false">H236+P236</f>
        <v>0</v>
      </c>
      <c r="Y236" s="0" t="n">
        <f aca="false">I236+Q236</f>
        <v>0</v>
      </c>
      <c r="Z236" s="0" t="n">
        <f aca="false">MIN(R236,N('Debt Payoff'!E9))</f>
        <v>0</v>
      </c>
      <c r="AA236" s="0" t="n">
        <f aca="false">MIN(S236,N('Debt Payoff'!E10))</f>
        <v>0</v>
      </c>
      <c r="AB236" s="0" t="n">
        <f aca="false">MIN(T236,N('Debt Payoff'!E11))</f>
        <v>0</v>
      </c>
      <c r="AC236" s="0" t="n">
        <f aca="false">MIN(U236,N('Debt Payoff'!E12))</f>
        <v>0</v>
      </c>
      <c r="AD236" s="0" t="n">
        <f aca="false">MIN(V236,N('Debt Payoff'!E13))</f>
        <v>0</v>
      </c>
      <c r="AE236" s="0" t="n">
        <f aca="false">MIN(W236,N('Debt Payoff'!E14))</f>
        <v>0</v>
      </c>
      <c r="AF236" s="0" t="n">
        <f aca="false">MIN(X236,N('Debt Payoff'!E15))</f>
        <v>0</v>
      </c>
      <c r="AG236" s="0" t="n">
        <f aca="false">MIN(Y236,N('Debt Payoff'!E16))</f>
        <v>0</v>
      </c>
      <c r="AH236" s="0" t="n">
        <f aca="false">R236-Z236</f>
        <v>0</v>
      </c>
      <c r="AI236" s="0" t="n">
        <f aca="false">S236-AA236</f>
        <v>0</v>
      </c>
      <c r="AJ236" s="0" t="n">
        <f aca="false">T236-AB236</f>
        <v>0</v>
      </c>
      <c r="AK236" s="0" t="n">
        <f aca="false">U236-AC236</f>
        <v>0</v>
      </c>
      <c r="AL236" s="0" t="n">
        <f aca="false">V236-AD236</f>
        <v>0</v>
      </c>
      <c r="AM236" s="0" t="n">
        <f aca="false">W236-AE236</f>
        <v>0</v>
      </c>
      <c r="AN236" s="0" t="n">
        <f aca="false">X236-AF236</f>
        <v>0</v>
      </c>
      <c r="AO236" s="0" t="n">
        <f aca="false">Y236-AG236</f>
        <v>0</v>
      </c>
      <c r="AP236" s="0" t="n">
        <f aca="false">MAX(0,'Debt Payoff'!$D$17-SUM(Z236:AG236))</f>
        <v>805</v>
      </c>
      <c r="AQ236" s="0" t="n">
        <f aca="false">MIN(AH236,MAX(0,$AP236-SUMPRODUCT(($AH$1:$AO$1&lt;AH$1)*$AH236:$AO236)))</f>
        <v>0</v>
      </c>
      <c r="AR236" s="0" t="n">
        <f aca="false">MIN(AI236,MAX(0,$AP236-SUMPRODUCT(($AH$1:$AO$1&lt;AI$1)*$AH236:$AO236)))</f>
        <v>0</v>
      </c>
      <c r="AS236" s="0" t="n">
        <f aca="false">MIN(AJ236,MAX(0,$AP236-SUMPRODUCT(($AH$1:$AO$1&lt;AJ$1)*$AH236:$AO236)))</f>
        <v>0</v>
      </c>
      <c r="AT236" s="0" t="n">
        <f aca="false">MIN(AK236,MAX(0,$AP236-SUMPRODUCT(($AH$1:$AO$1&lt;AK$1)*$AH236:$AO236)))</f>
        <v>0</v>
      </c>
      <c r="AU236" s="0" t="n">
        <f aca="false">MIN(AL236,MAX(0,$AP236-SUMPRODUCT(($AH$1:$AO$1&lt;AL$1)*$AH236:$AO236)))</f>
        <v>0</v>
      </c>
      <c r="AV236" s="0" t="n">
        <f aca="false">MIN(AM236,MAX(0,$AP236-SUMPRODUCT(($AH$1:$AO$1&lt;AM$1)*$AH236:$AO236)))</f>
        <v>0</v>
      </c>
      <c r="AW236" s="0" t="n">
        <f aca="false">MIN(AN236,MAX(0,$AP236-SUMPRODUCT(($AH$1:$AO$1&lt;AN$1)*$AH236:$AO236)))</f>
        <v>0</v>
      </c>
      <c r="AX236" s="0" t="n">
        <f aca="false">MIN(AO236,MAX(0,$AP236-SUMPRODUCT(($AH$1:$AO$1&lt;AO$1)*$AH236:$AO236)))</f>
        <v>0</v>
      </c>
      <c r="AY236" s="0" t="n">
        <f aca="false">ROUND(AH236-AQ236,2)</f>
        <v>0</v>
      </c>
      <c r="AZ236" s="0" t="n">
        <f aca="false">ROUND(AI236-AR236,2)</f>
        <v>0</v>
      </c>
      <c r="BA236" s="0" t="n">
        <f aca="false">ROUND(AJ236-AS236,2)</f>
        <v>0</v>
      </c>
      <c r="BB236" s="0" t="n">
        <f aca="false">ROUND(AK236-AT236,2)</f>
        <v>0</v>
      </c>
      <c r="BC236" s="0" t="n">
        <f aca="false">ROUND(AL236-AU236,2)</f>
        <v>0</v>
      </c>
      <c r="BD236" s="0" t="n">
        <f aca="false">ROUND(AM236-AV236,2)</f>
        <v>0</v>
      </c>
      <c r="BE236" s="0" t="n">
        <f aca="false">ROUND(AN236-AW236,2)</f>
        <v>0</v>
      </c>
      <c r="BF236" s="0" t="n">
        <f aca="false">ROUND(AO236-AX236,2)</f>
        <v>0</v>
      </c>
      <c r="BG236" s="0" t="n">
        <f aca="false">SUM(AY236:BF236)</f>
        <v>0</v>
      </c>
    </row>
    <row r="237" customFormat="false" ht="15" hidden="false" customHeight="false" outlineLevel="0" collapsed="false">
      <c r="A237" s="0" t="n">
        <v>235</v>
      </c>
      <c r="B237" s="0" t="n">
        <f aca="false">AY236</f>
        <v>0</v>
      </c>
      <c r="C237" s="0" t="n">
        <f aca="false">AZ236</f>
        <v>0</v>
      </c>
      <c r="D237" s="0" t="n">
        <f aca="false">BA236</f>
        <v>0</v>
      </c>
      <c r="E237" s="0" t="n">
        <f aca="false">BB236</f>
        <v>0</v>
      </c>
      <c r="F237" s="0" t="n">
        <f aca="false">BC236</f>
        <v>0</v>
      </c>
      <c r="G237" s="0" t="n">
        <f aca="false">BD236</f>
        <v>0</v>
      </c>
      <c r="H237" s="0" t="n">
        <f aca="false">BE236</f>
        <v>0</v>
      </c>
      <c r="I237" s="0" t="n">
        <f aca="false">BF236</f>
        <v>0</v>
      </c>
      <c r="J237" s="0" t="n">
        <f aca="false">B237*N('Debt Payoff'!D9)/12</f>
        <v>0</v>
      </c>
      <c r="K237" s="0" t="n">
        <f aca="false">C237*N('Debt Payoff'!D10)/12</f>
        <v>0</v>
      </c>
      <c r="L237" s="0" t="n">
        <f aca="false">D237*N('Debt Payoff'!D11)/12</f>
        <v>0</v>
      </c>
      <c r="M237" s="0" t="n">
        <f aca="false">E237*N('Debt Payoff'!D12)/12</f>
        <v>0</v>
      </c>
      <c r="N237" s="0" t="n">
        <f aca="false">F237*N('Debt Payoff'!D13)/12</f>
        <v>0</v>
      </c>
      <c r="O237" s="0" t="n">
        <f aca="false">G237*N('Debt Payoff'!D14)/12</f>
        <v>0</v>
      </c>
      <c r="P237" s="0" t="n">
        <f aca="false">H237*N('Debt Payoff'!D15)/12</f>
        <v>0</v>
      </c>
      <c r="Q237" s="0" t="n">
        <f aca="false">I237*N('Debt Payoff'!D16)/12</f>
        <v>0</v>
      </c>
      <c r="R237" s="0" t="n">
        <f aca="false">B237+J237</f>
        <v>0</v>
      </c>
      <c r="S237" s="0" t="n">
        <f aca="false">C237+K237</f>
        <v>0</v>
      </c>
      <c r="T237" s="0" t="n">
        <f aca="false">D237+L237</f>
        <v>0</v>
      </c>
      <c r="U237" s="0" t="n">
        <f aca="false">E237+M237</f>
        <v>0</v>
      </c>
      <c r="V237" s="0" t="n">
        <f aca="false">F237+N237</f>
        <v>0</v>
      </c>
      <c r="W237" s="0" t="n">
        <f aca="false">G237+O237</f>
        <v>0</v>
      </c>
      <c r="X237" s="0" t="n">
        <f aca="false">H237+P237</f>
        <v>0</v>
      </c>
      <c r="Y237" s="0" t="n">
        <f aca="false">I237+Q237</f>
        <v>0</v>
      </c>
      <c r="Z237" s="0" t="n">
        <f aca="false">MIN(R237,N('Debt Payoff'!E9))</f>
        <v>0</v>
      </c>
      <c r="AA237" s="0" t="n">
        <f aca="false">MIN(S237,N('Debt Payoff'!E10))</f>
        <v>0</v>
      </c>
      <c r="AB237" s="0" t="n">
        <f aca="false">MIN(T237,N('Debt Payoff'!E11))</f>
        <v>0</v>
      </c>
      <c r="AC237" s="0" t="n">
        <f aca="false">MIN(U237,N('Debt Payoff'!E12))</f>
        <v>0</v>
      </c>
      <c r="AD237" s="0" t="n">
        <f aca="false">MIN(V237,N('Debt Payoff'!E13))</f>
        <v>0</v>
      </c>
      <c r="AE237" s="0" t="n">
        <f aca="false">MIN(W237,N('Debt Payoff'!E14))</f>
        <v>0</v>
      </c>
      <c r="AF237" s="0" t="n">
        <f aca="false">MIN(X237,N('Debt Payoff'!E15))</f>
        <v>0</v>
      </c>
      <c r="AG237" s="0" t="n">
        <f aca="false">MIN(Y237,N('Debt Payoff'!E16))</f>
        <v>0</v>
      </c>
      <c r="AH237" s="0" t="n">
        <f aca="false">R237-Z237</f>
        <v>0</v>
      </c>
      <c r="AI237" s="0" t="n">
        <f aca="false">S237-AA237</f>
        <v>0</v>
      </c>
      <c r="AJ237" s="0" t="n">
        <f aca="false">T237-AB237</f>
        <v>0</v>
      </c>
      <c r="AK237" s="0" t="n">
        <f aca="false">U237-AC237</f>
        <v>0</v>
      </c>
      <c r="AL237" s="0" t="n">
        <f aca="false">V237-AD237</f>
        <v>0</v>
      </c>
      <c r="AM237" s="0" t="n">
        <f aca="false">W237-AE237</f>
        <v>0</v>
      </c>
      <c r="AN237" s="0" t="n">
        <f aca="false">X237-AF237</f>
        <v>0</v>
      </c>
      <c r="AO237" s="0" t="n">
        <f aca="false">Y237-AG237</f>
        <v>0</v>
      </c>
      <c r="AP237" s="0" t="n">
        <f aca="false">MAX(0,'Debt Payoff'!$D$17-SUM(Z237:AG237))</f>
        <v>805</v>
      </c>
      <c r="AQ237" s="0" t="n">
        <f aca="false">MIN(AH237,MAX(0,$AP237-SUMPRODUCT(($AH$1:$AO$1&lt;AH$1)*$AH237:$AO237)))</f>
        <v>0</v>
      </c>
      <c r="AR237" s="0" t="n">
        <f aca="false">MIN(AI237,MAX(0,$AP237-SUMPRODUCT(($AH$1:$AO$1&lt;AI$1)*$AH237:$AO237)))</f>
        <v>0</v>
      </c>
      <c r="AS237" s="0" t="n">
        <f aca="false">MIN(AJ237,MAX(0,$AP237-SUMPRODUCT(($AH$1:$AO$1&lt;AJ$1)*$AH237:$AO237)))</f>
        <v>0</v>
      </c>
      <c r="AT237" s="0" t="n">
        <f aca="false">MIN(AK237,MAX(0,$AP237-SUMPRODUCT(($AH$1:$AO$1&lt;AK$1)*$AH237:$AO237)))</f>
        <v>0</v>
      </c>
      <c r="AU237" s="0" t="n">
        <f aca="false">MIN(AL237,MAX(0,$AP237-SUMPRODUCT(($AH$1:$AO$1&lt;AL$1)*$AH237:$AO237)))</f>
        <v>0</v>
      </c>
      <c r="AV237" s="0" t="n">
        <f aca="false">MIN(AM237,MAX(0,$AP237-SUMPRODUCT(($AH$1:$AO$1&lt;AM$1)*$AH237:$AO237)))</f>
        <v>0</v>
      </c>
      <c r="AW237" s="0" t="n">
        <f aca="false">MIN(AN237,MAX(0,$AP237-SUMPRODUCT(($AH$1:$AO$1&lt;AN$1)*$AH237:$AO237)))</f>
        <v>0</v>
      </c>
      <c r="AX237" s="0" t="n">
        <f aca="false">MIN(AO237,MAX(0,$AP237-SUMPRODUCT(($AH$1:$AO$1&lt;AO$1)*$AH237:$AO237)))</f>
        <v>0</v>
      </c>
      <c r="AY237" s="0" t="n">
        <f aca="false">ROUND(AH237-AQ237,2)</f>
        <v>0</v>
      </c>
      <c r="AZ237" s="0" t="n">
        <f aca="false">ROUND(AI237-AR237,2)</f>
        <v>0</v>
      </c>
      <c r="BA237" s="0" t="n">
        <f aca="false">ROUND(AJ237-AS237,2)</f>
        <v>0</v>
      </c>
      <c r="BB237" s="0" t="n">
        <f aca="false">ROUND(AK237-AT237,2)</f>
        <v>0</v>
      </c>
      <c r="BC237" s="0" t="n">
        <f aca="false">ROUND(AL237-AU237,2)</f>
        <v>0</v>
      </c>
      <c r="BD237" s="0" t="n">
        <f aca="false">ROUND(AM237-AV237,2)</f>
        <v>0</v>
      </c>
      <c r="BE237" s="0" t="n">
        <f aca="false">ROUND(AN237-AW237,2)</f>
        <v>0</v>
      </c>
      <c r="BF237" s="0" t="n">
        <f aca="false">ROUND(AO237-AX237,2)</f>
        <v>0</v>
      </c>
      <c r="BG237" s="0" t="n">
        <f aca="false">SUM(AY237:BF237)</f>
        <v>0</v>
      </c>
    </row>
    <row r="238" customFormat="false" ht="15" hidden="false" customHeight="false" outlineLevel="0" collapsed="false">
      <c r="A238" s="0" t="n">
        <v>236</v>
      </c>
      <c r="B238" s="0" t="n">
        <f aca="false">AY237</f>
        <v>0</v>
      </c>
      <c r="C238" s="0" t="n">
        <f aca="false">AZ237</f>
        <v>0</v>
      </c>
      <c r="D238" s="0" t="n">
        <f aca="false">BA237</f>
        <v>0</v>
      </c>
      <c r="E238" s="0" t="n">
        <f aca="false">BB237</f>
        <v>0</v>
      </c>
      <c r="F238" s="0" t="n">
        <f aca="false">BC237</f>
        <v>0</v>
      </c>
      <c r="G238" s="0" t="n">
        <f aca="false">BD237</f>
        <v>0</v>
      </c>
      <c r="H238" s="0" t="n">
        <f aca="false">BE237</f>
        <v>0</v>
      </c>
      <c r="I238" s="0" t="n">
        <f aca="false">BF237</f>
        <v>0</v>
      </c>
      <c r="J238" s="0" t="n">
        <f aca="false">B238*N('Debt Payoff'!D9)/12</f>
        <v>0</v>
      </c>
      <c r="K238" s="0" t="n">
        <f aca="false">C238*N('Debt Payoff'!D10)/12</f>
        <v>0</v>
      </c>
      <c r="L238" s="0" t="n">
        <f aca="false">D238*N('Debt Payoff'!D11)/12</f>
        <v>0</v>
      </c>
      <c r="M238" s="0" t="n">
        <f aca="false">E238*N('Debt Payoff'!D12)/12</f>
        <v>0</v>
      </c>
      <c r="N238" s="0" t="n">
        <f aca="false">F238*N('Debt Payoff'!D13)/12</f>
        <v>0</v>
      </c>
      <c r="O238" s="0" t="n">
        <f aca="false">G238*N('Debt Payoff'!D14)/12</f>
        <v>0</v>
      </c>
      <c r="P238" s="0" t="n">
        <f aca="false">H238*N('Debt Payoff'!D15)/12</f>
        <v>0</v>
      </c>
      <c r="Q238" s="0" t="n">
        <f aca="false">I238*N('Debt Payoff'!D16)/12</f>
        <v>0</v>
      </c>
      <c r="R238" s="0" t="n">
        <f aca="false">B238+J238</f>
        <v>0</v>
      </c>
      <c r="S238" s="0" t="n">
        <f aca="false">C238+K238</f>
        <v>0</v>
      </c>
      <c r="T238" s="0" t="n">
        <f aca="false">D238+L238</f>
        <v>0</v>
      </c>
      <c r="U238" s="0" t="n">
        <f aca="false">E238+M238</f>
        <v>0</v>
      </c>
      <c r="V238" s="0" t="n">
        <f aca="false">F238+N238</f>
        <v>0</v>
      </c>
      <c r="W238" s="0" t="n">
        <f aca="false">G238+O238</f>
        <v>0</v>
      </c>
      <c r="X238" s="0" t="n">
        <f aca="false">H238+P238</f>
        <v>0</v>
      </c>
      <c r="Y238" s="0" t="n">
        <f aca="false">I238+Q238</f>
        <v>0</v>
      </c>
      <c r="Z238" s="0" t="n">
        <f aca="false">MIN(R238,N('Debt Payoff'!E9))</f>
        <v>0</v>
      </c>
      <c r="AA238" s="0" t="n">
        <f aca="false">MIN(S238,N('Debt Payoff'!E10))</f>
        <v>0</v>
      </c>
      <c r="AB238" s="0" t="n">
        <f aca="false">MIN(T238,N('Debt Payoff'!E11))</f>
        <v>0</v>
      </c>
      <c r="AC238" s="0" t="n">
        <f aca="false">MIN(U238,N('Debt Payoff'!E12))</f>
        <v>0</v>
      </c>
      <c r="AD238" s="0" t="n">
        <f aca="false">MIN(V238,N('Debt Payoff'!E13))</f>
        <v>0</v>
      </c>
      <c r="AE238" s="0" t="n">
        <f aca="false">MIN(W238,N('Debt Payoff'!E14))</f>
        <v>0</v>
      </c>
      <c r="AF238" s="0" t="n">
        <f aca="false">MIN(X238,N('Debt Payoff'!E15))</f>
        <v>0</v>
      </c>
      <c r="AG238" s="0" t="n">
        <f aca="false">MIN(Y238,N('Debt Payoff'!E16))</f>
        <v>0</v>
      </c>
      <c r="AH238" s="0" t="n">
        <f aca="false">R238-Z238</f>
        <v>0</v>
      </c>
      <c r="AI238" s="0" t="n">
        <f aca="false">S238-AA238</f>
        <v>0</v>
      </c>
      <c r="AJ238" s="0" t="n">
        <f aca="false">T238-AB238</f>
        <v>0</v>
      </c>
      <c r="AK238" s="0" t="n">
        <f aca="false">U238-AC238</f>
        <v>0</v>
      </c>
      <c r="AL238" s="0" t="n">
        <f aca="false">V238-AD238</f>
        <v>0</v>
      </c>
      <c r="AM238" s="0" t="n">
        <f aca="false">W238-AE238</f>
        <v>0</v>
      </c>
      <c r="AN238" s="0" t="n">
        <f aca="false">X238-AF238</f>
        <v>0</v>
      </c>
      <c r="AO238" s="0" t="n">
        <f aca="false">Y238-AG238</f>
        <v>0</v>
      </c>
      <c r="AP238" s="0" t="n">
        <f aca="false">MAX(0,'Debt Payoff'!$D$17-SUM(Z238:AG238))</f>
        <v>805</v>
      </c>
      <c r="AQ238" s="0" t="n">
        <f aca="false">MIN(AH238,MAX(0,$AP238-SUMPRODUCT(($AH$1:$AO$1&lt;AH$1)*$AH238:$AO238)))</f>
        <v>0</v>
      </c>
      <c r="AR238" s="0" t="n">
        <f aca="false">MIN(AI238,MAX(0,$AP238-SUMPRODUCT(($AH$1:$AO$1&lt;AI$1)*$AH238:$AO238)))</f>
        <v>0</v>
      </c>
      <c r="AS238" s="0" t="n">
        <f aca="false">MIN(AJ238,MAX(0,$AP238-SUMPRODUCT(($AH$1:$AO$1&lt;AJ$1)*$AH238:$AO238)))</f>
        <v>0</v>
      </c>
      <c r="AT238" s="0" t="n">
        <f aca="false">MIN(AK238,MAX(0,$AP238-SUMPRODUCT(($AH$1:$AO$1&lt;AK$1)*$AH238:$AO238)))</f>
        <v>0</v>
      </c>
      <c r="AU238" s="0" t="n">
        <f aca="false">MIN(AL238,MAX(0,$AP238-SUMPRODUCT(($AH$1:$AO$1&lt;AL$1)*$AH238:$AO238)))</f>
        <v>0</v>
      </c>
      <c r="AV238" s="0" t="n">
        <f aca="false">MIN(AM238,MAX(0,$AP238-SUMPRODUCT(($AH$1:$AO$1&lt;AM$1)*$AH238:$AO238)))</f>
        <v>0</v>
      </c>
      <c r="AW238" s="0" t="n">
        <f aca="false">MIN(AN238,MAX(0,$AP238-SUMPRODUCT(($AH$1:$AO$1&lt;AN$1)*$AH238:$AO238)))</f>
        <v>0</v>
      </c>
      <c r="AX238" s="0" t="n">
        <f aca="false">MIN(AO238,MAX(0,$AP238-SUMPRODUCT(($AH$1:$AO$1&lt;AO$1)*$AH238:$AO238)))</f>
        <v>0</v>
      </c>
      <c r="AY238" s="0" t="n">
        <f aca="false">ROUND(AH238-AQ238,2)</f>
        <v>0</v>
      </c>
      <c r="AZ238" s="0" t="n">
        <f aca="false">ROUND(AI238-AR238,2)</f>
        <v>0</v>
      </c>
      <c r="BA238" s="0" t="n">
        <f aca="false">ROUND(AJ238-AS238,2)</f>
        <v>0</v>
      </c>
      <c r="BB238" s="0" t="n">
        <f aca="false">ROUND(AK238-AT238,2)</f>
        <v>0</v>
      </c>
      <c r="BC238" s="0" t="n">
        <f aca="false">ROUND(AL238-AU238,2)</f>
        <v>0</v>
      </c>
      <c r="BD238" s="0" t="n">
        <f aca="false">ROUND(AM238-AV238,2)</f>
        <v>0</v>
      </c>
      <c r="BE238" s="0" t="n">
        <f aca="false">ROUND(AN238-AW238,2)</f>
        <v>0</v>
      </c>
      <c r="BF238" s="0" t="n">
        <f aca="false">ROUND(AO238-AX238,2)</f>
        <v>0</v>
      </c>
      <c r="BG238" s="0" t="n">
        <f aca="false">SUM(AY238:BF238)</f>
        <v>0</v>
      </c>
    </row>
    <row r="239" customFormat="false" ht="15" hidden="false" customHeight="false" outlineLevel="0" collapsed="false">
      <c r="A239" s="0" t="n">
        <v>237</v>
      </c>
      <c r="B239" s="0" t="n">
        <f aca="false">AY238</f>
        <v>0</v>
      </c>
      <c r="C239" s="0" t="n">
        <f aca="false">AZ238</f>
        <v>0</v>
      </c>
      <c r="D239" s="0" t="n">
        <f aca="false">BA238</f>
        <v>0</v>
      </c>
      <c r="E239" s="0" t="n">
        <f aca="false">BB238</f>
        <v>0</v>
      </c>
      <c r="F239" s="0" t="n">
        <f aca="false">BC238</f>
        <v>0</v>
      </c>
      <c r="G239" s="0" t="n">
        <f aca="false">BD238</f>
        <v>0</v>
      </c>
      <c r="H239" s="0" t="n">
        <f aca="false">BE238</f>
        <v>0</v>
      </c>
      <c r="I239" s="0" t="n">
        <f aca="false">BF238</f>
        <v>0</v>
      </c>
      <c r="J239" s="0" t="n">
        <f aca="false">B239*N('Debt Payoff'!D9)/12</f>
        <v>0</v>
      </c>
      <c r="K239" s="0" t="n">
        <f aca="false">C239*N('Debt Payoff'!D10)/12</f>
        <v>0</v>
      </c>
      <c r="L239" s="0" t="n">
        <f aca="false">D239*N('Debt Payoff'!D11)/12</f>
        <v>0</v>
      </c>
      <c r="M239" s="0" t="n">
        <f aca="false">E239*N('Debt Payoff'!D12)/12</f>
        <v>0</v>
      </c>
      <c r="N239" s="0" t="n">
        <f aca="false">F239*N('Debt Payoff'!D13)/12</f>
        <v>0</v>
      </c>
      <c r="O239" s="0" t="n">
        <f aca="false">G239*N('Debt Payoff'!D14)/12</f>
        <v>0</v>
      </c>
      <c r="P239" s="0" t="n">
        <f aca="false">H239*N('Debt Payoff'!D15)/12</f>
        <v>0</v>
      </c>
      <c r="Q239" s="0" t="n">
        <f aca="false">I239*N('Debt Payoff'!D16)/12</f>
        <v>0</v>
      </c>
      <c r="R239" s="0" t="n">
        <f aca="false">B239+J239</f>
        <v>0</v>
      </c>
      <c r="S239" s="0" t="n">
        <f aca="false">C239+K239</f>
        <v>0</v>
      </c>
      <c r="T239" s="0" t="n">
        <f aca="false">D239+L239</f>
        <v>0</v>
      </c>
      <c r="U239" s="0" t="n">
        <f aca="false">E239+M239</f>
        <v>0</v>
      </c>
      <c r="V239" s="0" t="n">
        <f aca="false">F239+N239</f>
        <v>0</v>
      </c>
      <c r="W239" s="0" t="n">
        <f aca="false">G239+O239</f>
        <v>0</v>
      </c>
      <c r="X239" s="0" t="n">
        <f aca="false">H239+P239</f>
        <v>0</v>
      </c>
      <c r="Y239" s="0" t="n">
        <f aca="false">I239+Q239</f>
        <v>0</v>
      </c>
      <c r="Z239" s="0" t="n">
        <f aca="false">MIN(R239,N('Debt Payoff'!E9))</f>
        <v>0</v>
      </c>
      <c r="AA239" s="0" t="n">
        <f aca="false">MIN(S239,N('Debt Payoff'!E10))</f>
        <v>0</v>
      </c>
      <c r="AB239" s="0" t="n">
        <f aca="false">MIN(T239,N('Debt Payoff'!E11))</f>
        <v>0</v>
      </c>
      <c r="AC239" s="0" t="n">
        <f aca="false">MIN(U239,N('Debt Payoff'!E12))</f>
        <v>0</v>
      </c>
      <c r="AD239" s="0" t="n">
        <f aca="false">MIN(V239,N('Debt Payoff'!E13))</f>
        <v>0</v>
      </c>
      <c r="AE239" s="0" t="n">
        <f aca="false">MIN(W239,N('Debt Payoff'!E14))</f>
        <v>0</v>
      </c>
      <c r="AF239" s="0" t="n">
        <f aca="false">MIN(X239,N('Debt Payoff'!E15))</f>
        <v>0</v>
      </c>
      <c r="AG239" s="0" t="n">
        <f aca="false">MIN(Y239,N('Debt Payoff'!E16))</f>
        <v>0</v>
      </c>
      <c r="AH239" s="0" t="n">
        <f aca="false">R239-Z239</f>
        <v>0</v>
      </c>
      <c r="AI239" s="0" t="n">
        <f aca="false">S239-AA239</f>
        <v>0</v>
      </c>
      <c r="AJ239" s="0" t="n">
        <f aca="false">T239-AB239</f>
        <v>0</v>
      </c>
      <c r="AK239" s="0" t="n">
        <f aca="false">U239-AC239</f>
        <v>0</v>
      </c>
      <c r="AL239" s="0" t="n">
        <f aca="false">V239-AD239</f>
        <v>0</v>
      </c>
      <c r="AM239" s="0" t="n">
        <f aca="false">W239-AE239</f>
        <v>0</v>
      </c>
      <c r="AN239" s="0" t="n">
        <f aca="false">X239-AF239</f>
        <v>0</v>
      </c>
      <c r="AO239" s="0" t="n">
        <f aca="false">Y239-AG239</f>
        <v>0</v>
      </c>
      <c r="AP239" s="0" t="n">
        <f aca="false">MAX(0,'Debt Payoff'!$D$17-SUM(Z239:AG239))</f>
        <v>805</v>
      </c>
      <c r="AQ239" s="0" t="n">
        <f aca="false">MIN(AH239,MAX(0,$AP239-SUMPRODUCT(($AH$1:$AO$1&lt;AH$1)*$AH239:$AO239)))</f>
        <v>0</v>
      </c>
      <c r="AR239" s="0" t="n">
        <f aca="false">MIN(AI239,MAX(0,$AP239-SUMPRODUCT(($AH$1:$AO$1&lt;AI$1)*$AH239:$AO239)))</f>
        <v>0</v>
      </c>
      <c r="AS239" s="0" t="n">
        <f aca="false">MIN(AJ239,MAX(0,$AP239-SUMPRODUCT(($AH$1:$AO$1&lt;AJ$1)*$AH239:$AO239)))</f>
        <v>0</v>
      </c>
      <c r="AT239" s="0" t="n">
        <f aca="false">MIN(AK239,MAX(0,$AP239-SUMPRODUCT(($AH$1:$AO$1&lt;AK$1)*$AH239:$AO239)))</f>
        <v>0</v>
      </c>
      <c r="AU239" s="0" t="n">
        <f aca="false">MIN(AL239,MAX(0,$AP239-SUMPRODUCT(($AH$1:$AO$1&lt;AL$1)*$AH239:$AO239)))</f>
        <v>0</v>
      </c>
      <c r="AV239" s="0" t="n">
        <f aca="false">MIN(AM239,MAX(0,$AP239-SUMPRODUCT(($AH$1:$AO$1&lt;AM$1)*$AH239:$AO239)))</f>
        <v>0</v>
      </c>
      <c r="AW239" s="0" t="n">
        <f aca="false">MIN(AN239,MAX(0,$AP239-SUMPRODUCT(($AH$1:$AO$1&lt;AN$1)*$AH239:$AO239)))</f>
        <v>0</v>
      </c>
      <c r="AX239" s="0" t="n">
        <f aca="false">MIN(AO239,MAX(0,$AP239-SUMPRODUCT(($AH$1:$AO$1&lt;AO$1)*$AH239:$AO239)))</f>
        <v>0</v>
      </c>
      <c r="AY239" s="0" t="n">
        <f aca="false">ROUND(AH239-AQ239,2)</f>
        <v>0</v>
      </c>
      <c r="AZ239" s="0" t="n">
        <f aca="false">ROUND(AI239-AR239,2)</f>
        <v>0</v>
      </c>
      <c r="BA239" s="0" t="n">
        <f aca="false">ROUND(AJ239-AS239,2)</f>
        <v>0</v>
      </c>
      <c r="BB239" s="0" t="n">
        <f aca="false">ROUND(AK239-AT239,2)</f>
        <v>0</v>
      </c>
      <c r="BC239" s="0" t="n">
        <f aca="false">ROUND(AL239-AU239,2)</f>
        <v>0</v>
      </c>
      <c r="BD239" s="0" t="n">
        <f aca="false">ROUND(AM239-AV239,2)</f>
        <v>0</v>
      </c>
      <c r="BE239" s="0" t="n">
        <f aca="false">ROUND(AN239-AW239,2)</f>
        <v>0</v>
      </c>
      <c r="BF239" s="0" t="n">
        <f aca="false">ROUND(AO239-AX239,2)</f>
        <v>0</v>
      </c>
      <c r="BG239" s="0" t="n">
        <f aca="false">SUM(AY239:BF239)</f>
        <v>0</v>
      </c>
    </row>
    <row r="240" customFormat="false" ht="15" hidden="false" customHeight="false" outlineLevel="0" collapsed="false">
      <c r="A240" s="0" t="n">
        <v>238</v>
      </c>
      <c r="B240" s="0" t="n">
        <f aca="false">AY239</f>
        <v>0</v>
      </c>
      <c r="C240" s="0" t="n">
        <f aca="false">AZ239</f>
        <v>0</v>
      </c>
      <c r="D240" s="0" t="n">
        <f aca="false">BA239</f>
        <v>0</v>
      </c>
      <c r="E240" s="0" t="n">
        <f aca="false">BB239</f>
        <v>0</v>
      </c>
      <c r="F240" s="0" t="n">
        <f aca="false">BC239</f>
        <v>0</v>
      </c>
      <c r="G240" s="0" t="n">
        <f aca="false">BD239</f>
        <v>0</v>
      </c>
      <c r="H240" s="0" t="n">
        <f aca="false">BE239</f>
        <v>0</v>
      </c>
      <c r="I240" s="0" t="n">
        <f aca="false">BF239</f>
        <v>0</v>
      </c>
      <c r="J240" s="0" t="n">
        <f aca="false">B240*N('Debt Payoff'!D9)/12</f>
        <v>0</v>
      </c>
      <c r="K240" s="0" t="n">
        <f aca="false">C240*N('Debt Payoff'!D10)/12</f>
        <v>0</v>
      </c>
      <c r="L240" s="0" t="n">
        <f aca="false">D240*N('Debt Payoff'!D11)/12</f>
        <v>0</v>
      </c>
      <c r="M240" s="0" t="n">
        <f aca="false">E240*N('Debt Payoff'!D12)/12</f>
        <v>0</v>
      </c>
      <c r="N240" s="0" t="n">
        <f aca="false">F240*N('Debt Payoff'!D13)/12</f>
        <v>0</v>
      </c>
      <c r="O240" s="0" t="n">
        <f aca="false">G240*N('Debt Payoff'!D14)/12</f>
        <v>0</v>
      </c>
      <c r="P240" s="0" t="n">
        <f aca="false">H240*N('Debt Payoff'!D15)/12</f>
        <v>0</v>
      </c>
      <c r="Q240" s="0" t="n">
        <f aca="false">I240*N('Debt Payoff'!D16)/12</f>
        <v>0</v>
      </c>
      <c r="R240" s="0" t="n">
        <f aca="false">B240+J240</f>
        <v>0</v>
      </c>
      <c r="S240" s="0" t="n">
        <f aca="false">C240+K240</f>
        <v>0</v>
      </c>
      <c r="T240" s="0" t="n">
        <f aca="false">D240+L240</f>
        <v>0</v>
      </c>
      <c r="U240" s="0" t="n">
        <f aca="false">E240+M240</f>
        <v>0</v>
      </c>
      <c r="V240" s="0" t="n">
        <f aca="false">F240+N240</f>
        <v>0</v>
      </c>
      <c r="W240" s="0" t="n">
        <f aca="false">G240+O240</f>
        <v>0</v>
      </c>
      <c r="X240" s="0" t="n">
        <f aca="false">H240+P240</f>
        <v>0</v>
      </c>
      <c r="Y240" s="0" t="n">
        <f aca="false">I240+Q240</f>
        <v>0</v>
      </c>
      <c r="Z240" s="0" t="n">
        <f aca="false">MIN(R240,N('Debt Payoff'!E9))</f>
        <v>0</v>
      </c>
      <c r="AA240" s="0" t="n">
        <f aca="false">MIN(S240,N('Debt Payoff'!E10))</f>
        <v>0</v>
      </c>
      <c r="AB240" s="0" t="n">
        <f aca="false">MIN(T240,N('Debt Payoff'!E11))</f>
        <v>0</v>
      </c>
      <c r="AC240" s="0" t="n">
        <f aca="false">MIN(U240,N('Debt Payoff'!E12))</f>
        <v>0</v>
      </c>
      <c r="AD240" s="0" t="n">
        <f aca="false">MIN(V240,N('Debt Payoff'!E13))</f>
        <v>0</v>
      </c>
      <c r="AE240" s="0" t="n">
        <f aca="false">MIN(W240,N('Debt Payoff'!E14))</f>
        <v>0</v>
      </c>
      <c r="AF240" s="0" t="n">
        <f aca="false">MIN(X240,N('Debt Payoff'!E15))</f>
        <v>0</v>
      </c>
      <c r="AG240" s="0" t="n">
        <f aca="false">MIN(Y240,N('Debt Payoff'!E16))</f>
        <v>0</v>
      </c>
      <c r="AH240" s="0" t="n">
        <f aca="false">R240-Z240</f>
        <v>0</v>
      </c>
      <c r="AI240" s="0" t="n">
        <f aca="false">S240-AA240</f>
        <v>0</v>
      </c>
      <c r="AJ240" s="0" t="n">
        <f aca="false">T240-AB240</f>
        <v>0</v>
      </c>
      <c r="AK240" s="0" t="n">
        <f aca="false">U240-AC240</f>
        <v>0</v>
      </c>
      <c r="AL240" s="0" t="n">
        <f aca="false">V240-AD240</f>
        <v>0</v>
      </c>
      <c r="AM240" s="0" t="n">
        <f aca="false">W240-AE240</f>
        <v>0</v>
      </c>
      <c r="AN240" s="0" t="n">
        <f aca="false">X240-AF240</f>
        <v>0</v>
      </c>
      <c r="AO240" s="0" t="n">
        <f aca="false">Y240-AG240</f>
        <v>0</v>
      </c>
      <c r="AP240" s="0" t="n">
        <f aca="false">MAX(0,'Debt Payoff'!$D$17-SUM(Z240:AG240))</f>
        <v>805</v>
      </c>
      <c r="AQ240" s="0" t="n">
        <f aca="false">MIN(AH240,MAX(0,$AP240-SUMPRODUCT(($AH$1:$AO$1&lt;AH$1)*$AH240:$AO240)))</f>
        <v>0</v>
      </c>
      <c r="AR240" s="0" t="n">
        <f aca="false">MIN(AI240,MAX(0,$AP240-SUMPRODUCT(($AH$1:$AO$1&lt;AI$1)*$AH240:$AO240)))</f>
        <v>0</v>
      </c>
      <c r="AS240" s="0" t="n">
        <f aca="false">MIN(AJ240,MAX(0,$AP240-SUMPRODUCT(($AH$1:$AO$1&lt;AJ$1)*$AH240:$AO240)))</f>
        <v>0</v>
      </c>
      <c r="AT240" s="0" t="n">
        <f aca="false">MIN(AK240,MAX(0,$AP240-SUMPRODUCT(($AH$1:$AO$1&lt;AK$1)*$AH240:$AO240)))</f>
        <v>0</v>
      </c>
      <c r="AU240" s="0" t="n">
        <f aca="false">MIN(AL240,MAX(0,$AP240-SUMPRODUCT(($AH$1:$AO$1&lt;AL$1)*$AH240:$AO240)))</f>
        <v>0</v>
      </c>
      <c r="AV240" s="0" t="n">
        <f aca="false">MIN(AM240,MAX(0,$AP240-SUMPRODUCT(($AH$1:$AO$1&lt;AM$1)*$AH240:$AO240)))</f>
        <v>0</v>
      </c>
      <c r="AW240" s="0" t="n">
        <f aca="false">MIN(AN240,MAX(0,$AP240-SUMPRODUCT(($AH$1:$AO$1&lt;AN$1)*$AH240:$AO240)))</f>
        <v>0</v>
      </c>
      <c r="AX240" s="0" t="n">
        <f aca="false">MIN(AO240,MAX(0,$AP240-SUMPRODUCT(($AH$1:$AO$1&lt;AO$1)*$AH240:$AO240)))</f>
        <v>0</v>
      </c>
      <c r="AY240" s="0" t="n">
        <f aca="false">ROUND(AH240-AQ240,2)</f>
        <v>0</v>
      </c>
      <c r="AZ240" s="0" t="n">
        <f aca="false">ROUND(AI240-AR240,2)</f>
        <v>0</v>
      </c>
      <c r="BA240" s="0" t="n">
        <f aca="false">ROUND(AJ240-AS240,2)</f>
        <v>0</v>
      </c>
      <c r="BB240" s="0" t="n">
        <f aca="false">ROUND(AK240-AT240,2)</f>
        <v>0</v>
      </c>
      <c r="BC240" s="0" t="n">
        <f aca="false">ROUND(AL240-AU240,2)</f>
        <v>0</v>
      </c>
      <c r="BD240" s="0" t="n">
        <f aca="false">ROUND(AM240-AV240,2)</f>
        <v>0</v>
      </c>
      <c r="BE240" s="0" t="n">
        <f aca="false">ROUND(AN240-AW240,2)</f>
        <v>0</v>
      </c>
      <c r="BF240" s="0" t="n">
        <f aca="false">ROUND(AO240-AX240,2)</f>
        <v>0</v>
      </c>
      <c r="BG240" s="0" t="n">
        <f aca="false">SUM(AY240:BF240)</f>
        <v>0</v>
      </c>
    </row>
    <row r="241" customFormat="false" ht="15" hidden="false" customHeight="false" outlineLevel="0" collapsed="false">
      <c r="A241" s="0" t="n">
        <v>239</v>
      </c>
      <c r="B241" s="0" t="n">
        <f aca="false">AY240</f>
        <v>0</v>
      </c>
      <c r="C241" s="0" t="n">
        <f aca="false">AZ240</f>
        <v>0</v>
      </c>
      <c r="D241" s="0" t="n">
        <f aca="false">BA240</f>
        <v>0</v>
      </c>
      <c r="E241" s="0" t="n">
        <f aca="false">BB240</f>
        <v>0</v>
      </c>
      <c r="F241" s="0" t="n">
        <f aca="false">BC240</f>
        <v>0</v>
      </c>
      <c r="G241" s="0" t="n">
        <f aca="false">BD240</f>
        <v>0</v>
      </c>
      <c r="H241" s="0" t="n">
        <f aca="false">BE240</f>
        <v>0</v>
      </c>
      <c r="I241" s="0" t="n">
        <f aca="false">BF240</f>
        <v>0</v>
      </c>
      <c r="J241" s="0" t="n">
        <f aca="false">B241*N('Debt Payoff'!D9)/12</f>
        <v>0</v>
      </c>
      <c r="K241" s="0" t="n">
        <f aca="false">C241*N('Debt Payoff'!D10)/12</f>
        <v>0</v>
      </c>
      <c r="L241" s="0" t="n">
        <f aca="false">D241*N('Debt Payoff'!D11)/12</f>
        <v>0</v>
      </c>
      <c r="M241" s="0" t="n">
        <f aca="false">E241*N('Debt Payoff'!D12)/12</f>
        <v>0</v>
      </c>
      <c r="N241" s="0" t="n">
        <f aca="false">F241*N('Debt Payoff'!D13)/12</f>
        <v>0</v>
      </c>
      <c r="O241" s="0" t="n">
        <f aca="false">G241*N('Debt Payoff'!D14)/12</f>
        <v>0</v>
      </c>
      <c r="P241" s="0" t="n">
        <f aca="false">H241*N('Debt Payoff'!D15)/12</f>
        <v>0</v>
      </c>
      <c r="Q241" s="0" t="n">
        <f aca="false">I241*N('Debt Payoff'!D16)/12</f>
        <v>0</v>
      </c>
      <c r="R241" s="0" t="n">
        <f aca="false">B241+J241</f>
        <v>0</v>
      </c>
      <c r="S241" s="0" t="n">
        <f aca="false">C241+K241</f>
        <v>0</v>
      </c>
      <c r="T241" s="0" t="n">
        <f aca="false">D241+L241</f>
        <v>0</v>
      </c>
      <c r="U241" s="0" t="n">
        <f aca="false">E241+M241</f>
        <v>0</v>
      </c>
      <c r="V241" s="0" t="n">
        <f aca="false">F241+N241</f>
        <v>0</v>
      </c>
      <c r="W241" s="0" t="n">
        <f aca="false">G241+O241</f>
        <v>0</v>
      </c>
      <c r="X241" s="0" t="n">
        <f aca="false">H241+P241</f>
        <v>0</v>
      </c>
      <c r="Y241" s="0" t="n">
        <f aca="false">I241+Q241</f>
        <v>0</v>
      </c>
      <c r="Z241" s="0" t="n">
        <f aca="false">MIN(R241,N('Debt Payoff'!E9))</f>
        <v>0</v>
      </c>
      <c r="AA241" s="0" t="n">
        <f aca="false">MIN(S241,N('Debt Payoff'!E10))</f>
        <v>0</v>
      </c>
      <c r="AB241" s="0" t="n">
        <f aca="false">MIN(T241,N('Debt Payoff'!E11))</f>
        <v>0</v>
      </c>
      <c r="AC241" s="0" t="n">
        <f aca="false">MIN(U241,N('Debt Payoff'!E12))</f>
        <v>0</v>
      </c>
      <c r="AD241" s="0" t="n">
        <f aca="false">MIN(V241,N('Debt Payoff'!E13))</f>
        <v>0</v>
      </c>
      <c r="AE241" s="0" t="n">
        <f aca="false">MIN(W241,N('Debt Payoff'!E14))</f>
        <v>0</v>
      </c>
      <c r="AF241" s="0" t="n">
        <f aca="false">MIN(X241,N('Debt Payoff'!E15))</f>
        <v>0</v>
      </c>
      <c r="AG241" s="0" t="n">
        <f aca="false">MIN(Y241,N('Debt Payoff'!E16))</f>
        <v>0</v>
      </c>
      <c r="AH241" s="0" t="n">
        <f aca="false">R241-Z241</f>
        <v>0</v>
      </c>
      <c r="AI241" s="0" t="n">
        <f aca="false">S241-AA241</f>
        <v>0</v>
      </c>
      <c r="AJ241" s="0" t="n">
        <f aca="false">T241-AB241</f>
        <v>0</v>
      </c>
      <c r="AK241" s="0" t="n">
        <f aca="false">U241-AC241</f>
        <v>0</v>
      </c>
      <c r="AL241" s="0" t="n">
        <f aca="false">V241-AD241</f>
        <v>0</v>
      </c>
      <c r="AM241" s="0" t="n">
        <f aca="false">W241-AE241</f>
        <v>0</v>
      </c>
      <c r="AN241" s="0" t="n">
        <f aca="false">X241-AF241</f>
        <v>0</v>
      </c>
      <c r="AO241" s="0" t="n">
        <f aca="false">Y241-AG241</f>
        <v>0</v>
      </c>
      <c r="AP241" s="0" t="n">
        <f aca="false">MAX(0,'Debt Payoff'!$D$17-SUM(Z241:AG241))</f>
        <v>805</v>
      </c>
      <c r="AQ241" s="0" t="n">
        <f aca="false">MIN(AH241,MAX(0,$AP241-SUMPRODUCT(($AH$1:$AO$1&lt;AH$1)*$AH241:$AO241)))</f>
        <v>0</v>
      </c>
      <c r="AR241" s="0" t="n">
        <f aca="false">MIN(AI241,MAX(0,$AP241-SUMPRODUCT(($AH$1:$AO$1&lt;AI$1)*$AH241:$AO241)))</f>
        <v>0</v>
      </c>
      <c r="AS241" s="0" t="n">
        <f aca="false">MIN(AJ241,MAX(0,$AP241-SUMPRODUCT(($AH$1:$AO$1&lt;AJ$1)*$AH241:$AO241)))</f>
        <v>0</v>
      </c>
      <c r="AT241" s="0" t="n">
        <f aca="false">MIN(AK241,MAX(0,$AP241-SUMPRODUCT(($AH$1:$AO$1&lt;AK$1)*$AH241:$AO241)))</f>
        <v>0</v>
      </c>
      <c r="AU241" s="0" t="n">
        <f aca="false">MIN(AL241,MAX(0,$AP241-SUMPRODUCT(($AH$1:$AO$1&lt;AL$1)*$AH241:$AO241)))</f>
        <v>0</v>
      </c>
      <c r="AV241" s="0" t="n">
        <f aca="false">MIN(AM241,MAX(0,$AP241-SUMPRODUCT(($AH$1:$AO$1&lt;AM$1)*$AH241:$AO241)))</f>
        <v>0</v>
      </c>
      <c r="AW241" s="0" t="n">
        <f aca="false">MIN(AN241,MAX(0,$AP241-SUMPRODUCT(($AH$1:$AO$1&lt;AN$1)*$AH241:$AO241)))</f>
        <v>0</v>
      </c>
      <c r="AX241" s="0" t="n">
        <f aca="false">MIN(AO241,MAX(0,$AP241-SUMPRODUCT(($AH$1:$AO$1&lt;AO$1)*$AH241:$AO241)))</f>
        <v>0</v>
      </c>
      <c r="AY241" s="0" t="n">
        <f aca="false">ROUND(AH241-AQ241,2)</f>
        <v>0</v>
      </c>
      <c r="AZ241" s="0" t="n">
        <f aca="false">ROUND(AI241-AR241,2)</f>
        <v>0</v>
      </c>
      <c r="BA241" s="0" t="n">
        <f aca="false">ROUND(AJ241-AS241,2)</f>
        <v>0</v>
      </c>
      <c r="BB241" s="0" t="n">
        <f aca="false">ROUND(AK241-AT241,2)</f>
        <v>0</v>
      </c>
      <c r="BC241" s="0" t="n">
        <f aca="false">ROUND(AL241-AU241,2)</f>
        <v>0</v>
      </c>
      <c r="BD241" s="0" t="n">
        <f aca="false">ROUND(AM241-AV241,2)</f>
        <v>0</v>
      </c>
      <c r="BE241" s="0" t="n">
        <f aca="false">ROUND(AN241-AW241,2)</f>
        <v>0</v>
      </c>
      <c r="BF241" s="0" t="n">
        <f aca="false">ROUND(AO241-AX241,2)</f>
        <v>0</v>
      </c>
      <c r="BG241" s="0" t="n">
        <f aca="false">SUM(AY241:BF241)</f>
        <v>0</v>
      </c>
    </row>
    <row r="242" customFormat="false" ht="15" hidden="false" customHeight="false" outlineLevel="0" collapsed="false">
      <c r="A242" s="0" t="n">
        <v>240</v>
      </c>
      <c r="B242" s="0" t="n">
        <f aca="false">AY241</f>
        <v>0</v>
      </c>
      <c r="C242" s="0" t="n">
        <f aca="false">AZ241</f>
        <v>0</v>
      </c>
      <c r="D242" s="0" t="n">
        <f aca="false">BA241</f>
        <v>0</v>
      </c>
      <c r="E242" s="0" t="n">
        <f aca="false">BB241</f>
        <v>0</v>
      </c>
      <c r="F242" s="0" t="n">
        <f aca="false">BC241</f>
        <v>0</v>
      </c>
      <c r="G242" s="0" t="n">
        <f aca="false">BD241</f>
        <v>0</v>
      </c>
      <c r="H242" s="0" t="n">
        <f aca="false">BE241</f>
        <v>0</v>
      </c>
      <c r="I242" s="0" t="n">
        <f aca="false">BF241</f>
        <v>0</v>
      </c>
      <c r="J242" s="0" t="n">
        <f aca="false">B242*N('Debt Payoff'!D9)/12</f>
        <v>0</v>
      </c>
      <c r="K242" s="0" t="n">
        <f aca="false">C242*N('Debt Payoff'!D10)/12</f>
        <v>0</v>
      </c>
      <c r="L242" s="0" t="n">
        <f aca="false">D242*N('Debt Payoff'!D11)/12</f>
        <v>0</v>
      </c>
      <c r="M242" s="0" t="n">
        <f aca="false">E242*N('Debt Payoff'!D12)/12</f>
        <v>0</v>
      </c>
      <c r="N242" s="0" t="n">
        <f aca="false">F242*N('Debt Payoff'!D13)/12</f>
        <v>0</v>
      </c>
      <c r="O242" s="0" t="n">
        <f aca="false">G242*N('Debt Payoff'!D14)/12</f>
        <v>0</v>
      </c>
      <c r="P242" s="0" t="n">
        <f aca="false">H242*N('Debt Payoff'!D15)/12</f>
        <v>0</v>
      </c>
      <c r="Q242" s="0" t="n">
        <f aca="false">I242*N('Debt Payoff'!D16)/12</f>
        <v>0</v>
      </c>
      <c r="R242" s="0" t="n">
        <f aca="false">B242+J242</f>
        <v>0</v>
      </c>
      <c r="S242" s="0" t="n">
        <f aca="false">C242+K242</f>
        <v>0</v>
      </c>
      <c r="T242" s="0" t="n">
        <f aca="false">D242+L242</f>
        <v>0</v>
      </c>
      <c r="U242" s="0" t="n">
        <f aca="false">E242+M242</f>
        <v>0</v>
      </c>
      <c r="V242" s="0" t="n">
        <f aca="false">F242+N242</f>
        <v>0</v>
      </c>
      <c r="W242" s="0" t="n">
        <f aca="false">G242+O242</f>
        <v>0</v>
      </c>
      <c r="X242" s="0" t="n">
        <f aca="false">H242+P242</f>
        <v>0</v>
      </c>
      <c r="Y242" s="0" t="n">
        <f aca="false">I242+Q242</f>
        <v>0</v>
      </c>
      <c r="Z242" s="0" t="n">
        <f aca="false">MIN(R242,N('Debt Payoff'!E9))</f>
        <v>0</v>
      </c>
      <c r="AA242" s="0" t="n">
        <f aca="false">MIN(S242,N('Debt Payoff'!E10))</f>
        <v>0</v>
      </c>
      <c r="AB242" s="0" t="n">
        <f aca="false">MIN(T242,N('Debt Payoff'!E11))</f>
        <v>0</v>
      </c>
      <c r="AC242" s="0" t="n">
        <f aca="false">MIN(U242,N('Debt Payoff'!E12))</f>
        <v>0</v>
      </c>
      <c r="AD242" s="0" t="n">
        <f aca="false">MIN(V242,N('Debt Payoff'!E13))</f>
        <v>0</v>
      </c>
      <c r="AE242" s="0" t="n">
        <f aca="false">MIN(W242,N('Debt Payoff'!E14))</f>
        <v>0</v>
      </c>
      <c r="AF242" s="0" t="n">
        <f aca="false">MIN(X242,N('Debt Payoff'!E15))</f>
        <v>0</v>
      </c>
      <c r="AG242" s="0" t="n">
        <f aca="false">MIN(Y242,N('Debt Payoff'!E16))</f>
        <v>0</v>
      </c>
      <c r="AH242" s="0" t="n">
        <f aca="false">R242-Z242</f>
        <v>0</v>
      </c>
      <c r="AI242" s="0" t="n">
        <f aca="false">S242-AA242</f>
        <v>0</v>
      </c>
      <c r="AJ242" s="0" t="n">
        <f aca="false">T242-AB242</f>
        <v>0</v>
      </c>
      <c r="AK242" s="0" t="n">
        <f aca="false">U242-AC242</f>
        <v>0</v>
      </c>
      <c r="AL242" s="0" t="n">
        <f aca="false">V242-AD242</f>
        <v>0</v>
      </c>
      <c r="AM242" s="0" t="n">
        <f aca="false">W242-AE242</f>
        <v>0</v>
      </c>
      <c r="AN242" s="0" t="n">
        <f aca="false">X242-AF242</f>
        <v>0</v>
      </c>
      <c r="AO242" s="0" t="n">
        <f aca="false">Y242-AG242</f>
        <v>0</v>
      </c>
      <c r="AP242" s="0" t="n">
        <f aca="false">MAX(0,'Debt Payoff'!$D$17-SUM(Z242:AG242))</f>
        <v>805</v>
      </c>
      <c r="AQ242" s="0" t="n">
        <f aca="false">MIN(AH242,MAX(0,$AP242-SUMPRODUCT(($AH$1:$AO$1&lt;AH$1)*$AH242:$AO242)))</f>
        <v>0</v>
      </c>
      <c r="AR242" s="0" t="n">
        <f aca="false">MIN(AI242,MAX(0,$AP242-SUMPRODUCT(($AH$1:$AO$1&lt;AI$1)*$AH242:$AO242)))</f>
        <v>0</v>
      </c>
      <c r="AS242" s="0" t="n">
        <f aca="false">MIN(AJ242,MAX(0,$AP242-SUMPRODUCT(($AH$1:$AO$1&lt;AJ$1)*$AH242:$AO242)))</f>
        <v>0</v>
      </c>
      <c r="AT242" s="0" t="n">
        <f aca="false">MIN(AK242,MAX(0,$AP242-SUMPRODUCT(($AH$1:$AO$1&lt;AK$1)*$AH242:$AO242)))</f>
        <v>0</v>
      </c>
      <c r="AU242" s="0" t="n">
        <f aca="false">MIN(AL242,MAX(0,$AP242-SUMPRODUCT(($AH$1:$AO$1&lt;AL$1)*$AH242:$AO242)))</f>
        <v>0</v>
      </c>
      <c r="AV242" s="0" t="n">
        <f aca="false">MIN(AM242,MAX(0,$AP242-SUMPRODUCT(($AH$1:$AO$1&lt;AM$1)*$AH242:$AO242)))</f>
        <v>0</v>
      </c>
      <c r="AW242" s="0" t="n">
        <f aca="false">MIN(AN242,MAX(0,$AP242-SUMPRODUCT(($AH$1:$AO$1&lt;AN$1)*$AH242:$AO242)))</f>
        <v>0</v>
      </c>
      <c r="AX242" s="0" t="n">
        <f aca="false">MIN(AO242,MAX(0,$AP242-SUMPRODUCT(($AH$1:$AO$1&lt;AO$1)*$AH242:$AO242)))</f>
        <v>0</v>
      </c>
      <c r="AY242" s="0" t="n">
        <f aca="false">ROUND(AH242-AQ242,2)</f>
        <v>0</v>
      </c>
      <c r="AZ242" s="0" t="n">
        <f aca="false">ROUND(AI242-AR242,2)</f>
        <v>0</v>
      </c>
      <c r="BA242" s="0" t="n">
        <f aca="false">ROUND(AJ242-AS242,2)</f>
        <v>0</v>
      </c>
      <c r="BB242" s="0" t="n">
        <f aca="false">ROUND(AK242-AT242,2)</f>
        <v>0</v>
      </c>
      <c r="BC242" s="0" t="n">
        <f aca="false">ROUND(AL242-AU242,2)</f>
        <v>0</v>
      </c>
      <c r="BD242" s="0" t="n">
        <f aca="false">ROUND(AM242-AV242,2)</f>
        <v>0</v>
      </c>
      <c r="BE242" s="0" t="n">
        <f aca="false">ROUND(AN242-AW242,2)</f>
        <v>0</v>
      </c>
      <c r="BF242" s="0" t="n">
        <f aca="false">ROUND(AO242-AX242,2)</f>
        <v>0</v>
      </c>
      <c r="BG242" s="0" t="n">
        <f aca="false">SUM(AY242:BF242)</f>
        <v>0</v>
      </c>
    </row>
    <row r="243" customFormat="false" ht="15" hidden="false" customHeight="false" outlineLevel="0" collapsed="false">
      <c r="A243" s="0" t="n">
        <v>241</v>
      </c>
      <c r="B243" s="0" t="n">
        <f aca="false">AY242</f>
        <v>0</v>
      </c>
      <c r="C243" s="0" t="n">
        <f aca="false">AZ242</f>
        <v>0</v>
      </c>
      <c r="D243" s="0" t="n">
        <f aca="false">BA242</f>
        <v>0</v>
      </c>
      <c r="E243" s="0" t="n">
        <f aca="false">BB242</f>
        <v>0</v>
      </c>
      <c r="F243" s="0" t="n">
        <f aca="false">BC242</f>
        <v>0</v>
      </c>
      <c r="G243" s="0" t="n">
        <f aca="false">BD242</f>
        <v>0</v>
      </c>
      <c r="H243" s="0" t="n">
        <f aca="false">BE242</f>
        <v>0</v>
      </c>
      <c r="I243" s="0" t="n">
        <f aca="false">BF242</f>
        <v>0</v>
      </c>
      <c r="J243" s="0" t="n">
        <f aca="false">B243*N('Debt Payoff'!D9)/12</f>
        <v>0</v>
      </c>
      <c r="K243" s="0" t="n">
        <f aca="false">C243*N('Debt Payoff'!D10)/12</f>
        <v>0</v>
      </c>
      <c r="L243" s="0" t="n">
        <f aca="false">D243*N('Debt Payoff'!D11)/12</f>
        <v>0</v>
      </c>
      <c r="M243" s="0" t="n">
        <f aca="false">E243*N('Debt Payoff'!D12)/12</f>
        <v>0</v>
      </c>
      <c r="N243" s="0" t="n">
        <f aca="false">F243*N('Debt Payoff'!D13)/12</f>
        <v>0</v>
      </c>
      <c r="O243" s="0" t="n">
        <f aca="false">G243*N('Debt Payoff'!D14)/12</f>
        <v>0</v>
      </c>
      <c r="P243" s="0" t="n">
        <f aca="false">H243*N('Debt Payoff'!D15)/12</f>
        <v>0</v>
      </c>
      <c r="Q243" s="0" t="n">
        <f aca="false">I243*N('Debt Payoff'!D16)/12</f>
        <v>0</v>
      </c>
      <c r="R243" s="0" t="n">
        <f aca="false">B243+J243</f>
        <v>0</v>
      </c>
      <c r="S243" s="0" t="n">
        <f aca="false">C243+K243</f>
        <v>0</v>
      </c>
      <c r="T243" s="0" t="n">
        <f aca="false">D243+L243</f>
        <v>0</v>
      </c>
      <c r="U243" s="0" t="n">
        <f aca="false">E243+M243</f>
        <v>0</v>
      </c>
      <c r="V243" s="0" t="n">
        <f aca="false">F243+N243</f>
        <v>0</v>
      </c>
      <c r="W243" s="0" t="n">
        <f aca="false">G243+O243</f>
        <v>0</v>
      </c>
      <c r="X243" s="0" t="n">
        <f aca="false">H243+P243</f>
        <v>0</v>
      </c>
      <c r="Y243" s="0" t="n">
        <f aca="false">I243+Q243</f>
        <v>0</v>
      </c>
      <c r="Z243" s="0" t="n">
        <f aca="false">MIN(R243,N('Debt Payoff'!E9))</f>
        <v>0</v>
      </c>
      <c r="AA243" s="0" t="n">
        <f aca="false">MIN(S243,N('Debt Payoff'!E10))</f>
        <v>0</v>
      </c>
      <c r="AB243" s="0" t="n">
        <f aca="false">MIN(T243,N('Debt Payoff'!E11))</f>
        <v>0</v>
      </c>
      <c r="AC243" s="0" t="n">
        <f aca="false">MIN(U243,N('Debt Payoff'!E12))</f>
        <v>0</v>
      </c>
      <c r="AD243" s="0" t="n">
        <f aca="false">MIN(V243,N('Debt Payoff'!E13))</f>
        <v>0</v>
      </c>
      <c r="AE243" s="0" t="n">
        <f aca="false">MIN(W243,N('Debt Payoff'!E14))</f>
        <v>0</v>
      </c>
      <c r="AF243" s="0" t="n">
        <f aca="false">MIN(X243,N('Debt Payoff'!E15))</f>
        <v>0</v>
      </c>
      <c r="AG243" s="0" t="n">
        <f aca="false">MIN(Y243,N('Debt Payoff'!E16))</f>
        <v>0</v>
      </c>
      <c r="AH243" s="0" t="n">
        <f aca="false">R243-Z243</f>
        <v>0</v>
      </c>
      <c r="AI243" s="0" t="n">
        <f aca="false">S243-AA243</f>
        <v>0</v>
      </c>
      <c r="AJ243" s="0" t="n">
        <f aca="false">T243-AB243</f>
        <v>0</v>
      </c>
      <c r="AK243" s="0" t="n">
        <f aca="false">U243-AC243</f>
        <v>0</v>
      </c>
      <c r="AL243" s="0" t="n">
        <f aca="false">V243-AD243</f>
        <v>0</v>
      </c>
      <c r="AM243" s="0" t="n">
        <f aca="false">W243-AE243</f>
        <v>0</v>
      </c>
      <c r="AN243" s="0" t="n">
        <f aca="false">X243-AF243</f>
        <v>0</v>
      </c>
      <c r="AO243" s="0" t="n">
        <f aca="false">Y243-AG243</f>
        <v>0</v>
      </c>
      <c r="AP243" s="0" t="n">
        <f aca="false">MAX(0,'Debt Payoff'!$D$17-SUM(Z243:AG243))</f>
        <v>805</v>
      </c>
      <c r="AQ243" s="0" t="n">
        <f aca="false">MIN(AH243,MAX(0,$AP243-SUMPRODUCT(($AH$1:$AO$1&lt;AH$1)*$AH243:$AO243)))</f>
        <v>0</v>
      </c>
      <c r="AR243" s="0" t="n">
        <f aca="false">MIN(AI243,MAX(0,$AP243-SUMPRODUCT(($AH$1:$AO$1&lt;AI$1)*$AH243:$AO243)))</f>
        <v>0</v>
      </c>
      <c r="AS243" s="0" t="n">
        <f aca="false">MIN(AJ243,MAX(0,$AP243-SUMPRODUCT(($AH$1:$AO$1&lt;AJ$1)*$AH243:$AO243)))</f>
        <v>0</v>
      </c>
      <c r="AT243" s="0" t="n">
        <f aca="false">MIN(AK243,MAX(0,$AP243-SUMPRODUCT(($AH$1:$AO$1&lt;AK$1)*$AH243:$AO243)))</f>
        <v>0</v>
      </c>
      <c r="AU243" s="0" t="n">
        <f aca="false">MIN(AL243,MAX(0,$AP243-SUMPRODUCT(($AH$1:$AO$1&lt;AL$1)*$AH243:$AO243)))</f>
        <v>0</v>
      </c>
      <c r="AV243" s="0" t="n">
        <f aca="false">MIN(AM243,MAX(0,$AP243-SUMPRODUCT(($AH$1:$AO$1&lt;AM$1)*$AH243:$AO243)))</f>
        <v>0</v>
      </c>
      <c r="AW243" s="0" t="n">
        <f aca="false">MIN(AN243,MAX(0,$AP243-SUMPRODUCT(($AH$1:$AO$1&lt;AN$1)*$AH243:$AO243)))</f>
        <v>0</v>
      </c>
      <c r="AX243" s="0" t="n">
        <f aca="false">MIN(AO243,MAX(0,$AP243-SUMPRODUCT(($AH$1:$AO$1&lt;AO$1)*$AH243:$AO243)))</f>
        <v>0</v>
      </c>
      <c r="AY243" s="0" t="n">
        <f aca="false">ROUND(AH243-AQ243,2)</f>
        <v>0</v>
      </c>
      <c r="AZ243" s="0" t="n">
        <f aca="false">ROUND(AI243-AR243,2)</f>
        <v>0</v>
      </c>
      <c r="BA243" s="0" t="n">
        <f aca="false">ROUND(AJ243-AS243,2)</f>
        <v>0</v>
      </c>
      <c r="BB243" s="0" t="n">
        <f aca="false">ROUND(AK243-AT243,2)</f>
        <v>0</v>
      </c>
      <c r="BC243" s="0" t="n">
        <f aca="false">ROUND(AL243-AU243,2)</f>
        <v>0</v>
      </c>
      <c r="BD243" s="0" t="n">
        <f aca="false">ROUND(AM243-AV243,2)</f>
        <v>0</v>
      </c>
      <c r="BE243" s="0" t="n">
        <f aca="false">ROUND(AN243-AW243,2)</f>
        <v>0</v>
      </c>
      <c r="BF243" s="0" t="n">
        <f aca="false">ROUND(AO243-AX243,2)</f>
        <v>0</v>
      </c>
      <c r="BG243" s="0" t="n">
        <f aca="false">SUM(AY243:BF243)</f>
        <v>0</v>
      </c>
    </row>
    <row r="244" customFormat="false" ht="15" hidden="false" customHeight="false" outlineLevel="0" collapsed="false">
      <c r="A244" s="0" t="n">
        <v>242</v>
      </c>
      <c r="B244" s="0" t="n">
        <f aca="false">AY243</f>
        <v>0</v>
      </c>
      <c r="C244" s="0" t="n">
        <f aca="false">AZ243</f>
        <v>0</v>
      </c>
      <c r="D244" s="0" t="n">
        <f aca="false">BA243</f>
        <v>0</v>
      </c>
      <c r="E244" s="0" t="n">
        <f aca="false">BB243</f>
        <v>0</v>
      </c>
      <c r="F244" s="0" t="n">
        <f aca="false">BC243</f>
        <v>0</v>
      </c>
      <c r="G244" s="0" t="n">
        <f aca="false">BD243</f>
        <v>0</v>
      </c>
      <c r="H244" s="0" t="n">
        <f aca="false">BE243</f>
        <v>0</v>
      </c>
      <c r="I244" s="0" t="n">
        <f aca="false">BF243</f>
        <v>0</v>
      </c>
      <c r="J244" s="0" t="n">
        <f aca="false">B244*N('Debt Payoff'!D9)/12</f>
        <v>0</v>
      </c>
      <c r="K244" s="0" t="n">
        <f aca="false">C244*N('Debt Payoff'!D10)/12</f>
        <v>0</v>
      </c>
      <c r="L244" s="0" t="n">
        <f aca="false">D244*N('Debt Payoff'!D11)/12</f>
        <v>0</v>
      </c>
      <c r="M244" s="0" t="n">
        <f aca="false">E244*N('Debt Payoff'!D12)/12</f>
        <v>0</v>
      </c>
      <c r="N244" s="0" t="n">
        <f aca="false">F244*N('Debt Payoff'!D13)/12</f>
        <v>0</v>
      </c>
      <c r="O244" s="0" t="n">
        <f aca="false">G244*N('Debt Payoff'!D14)/12</f>
        <v>0</v>
      </c>
      <c r="P244" s="0" t="n">
        <f aca="false">H244*N('Debt Payoff'!D15)/12</f>
        <v>0</v>
      </c>
      <c r="Q244" s="0" t="n">
        <f aca="false">I244*N('Debt Payoff'!D16)/12</f>
        <v>0</v>
      </c>
      <c r="R244" s="0" t="n">
        <f aca="false">B244+J244</f>
        <v>0</v>
      </c>
      <c r="S244" s="0" t="n">
        <f aca="false">C244+K244</f>
        <v>0</v>
      </c>
      <c r="T244" s="0" t="n">
        <f aca="false">D244+L244</f>
        <v>0</v>
      </c>
      <c r="U244" s="0" t="n">
        <f aca="false">E244+M244</f>
        <v>0</v>
      </c>
      <c r="V244" s="0" t="n">
        <f aca="false">F244+N244</f>
        <v>0</v>
      </c>
      <c r="W244" s="0" t="n">
        <f aca="false">G244+O244</f>
        <v>0</v>
      </c>
      <c r="X244" s="0" t="n">
        <f aca="false">H244+P244</f>
        <v>0</v>
      </c>
      <c r="Y244" s="0" t="n">
        <f aca="false">I244+Q244</f>
        <v>0</v>
      </c>
      <c r="Z244" s="0" t="n">
        <f aca="false">MIN(R244,N('Debt Payoff'!E9))</f>
        <v>0</v>
      </c>
      <c r="AA244" s="0" t="n">
        <f aca="false">MIN(S244,N('Debt Payoff'!E10))</f>
        <v>0</v>
      </c>
      <c r="AB244" s="0" t="n">
        <f aca="false">MIN(T244,N('Debt Payoff'!E11))</f>
        <v>0</v>
      </c>
      <c r="AC244" s="0" t="n">
        <f aca="false">MIN(U244,N('Debt Payoff'!E12))</f>
        <v>0</v>
      </c>
      <c r="AD244" s="0" t="n">
        <f aca="false">MIN(V244,N('Debt Payoff'!E13))</f>
        <v>0</v>
      </c>
      <c r="AE244" s="0" t="n">
        <f aca="false">MIN(W244,N('Debt Payoff'!E14))</f>
        <v>0</v>
      </c>
      <c r="AF244" s="0" t="n">
        <f aca="false">MIN(X244,N('Debt Payoff'!E15))</f>
        <v>0</v>
      </c>
      <c r="AG244" s="0" t="n">
        <f aca="false">MIN(Y244,N('Debt Payoff'!E16))</f>
        <v>0</v>
      </c>
      <c r="AH244" s="0" t="n">
        <f aca="false">R244-Z244</f>
        <v>0</v>
      </c>
      <c r="AI244" s="0" t="n">
        <f aca="false">S244-AA244</f>
        <v>0</v>
      </c>
      <c r="AJ244" s="0" t="n">
        <f aca="false">T244-AB244</f>
        <v>0</v>
      </c>
      <c r="AK244" s="0" t="n">
        <f aca="false">U244-AC244</f>
        <v>0</v>
      </c>
      <c r="AL244" s="0" t="n">
        <f aca="false">V244-AD244</f>
        <v>0</v>
      </c>
      <c r="AM244" s="0" t="n">
        <f aca="false">W244-AE244</f>
        <v>0</v>
      </c>
      <c r="AN244" s="0" t="n">
        <f aca="false">X244-AF244</f>
        <v>0</v>
      </c>
      <c r="AO244" s="0" t="n">
        <f aca="false">Y244-AG244</f>
        <v>0</v>
      </c>
      <c r="AP244" s="0" t="n">
        <f aca="false">MAX(0,'Debt Payoff'!$D$17-SUM(Z244:AG244))</f>
        <v>805</v>
      </c>
      <c r="AQ244" s="0" t="n">
        <f aca="false">MIN(AH244,MAX(0,$AP244-SUMPRODUCT(($AH$1:$AO$1&lt;AH$1)*$AH244:$AO244)))</f>
        <v>0</v>
      </c>
      <c r="AR244" s="0" t="n">
        <f aca="false">MIN(AI244,MAX(0,$AP244-SUMPRODUCT(($AH$1:$AO$1&lt;AI$1)*$AH244:$AO244)))</f>
        <v>0</v>
      </c>
      <c r="AS244" s="0" t="n">
        <f aca="false">MIN(AJ244,MAX(0,$AP244-SUMPRODUCT(($AH$1:$AO$1&lt;AJ$1)*$AH244:$AO244)))</f>
        <v>0</v>
      </c>
      <c r="AT244" s="0" t="n">
        <f aca="false">MIN(AK244,MAX(0,$AP244-SUMPRODUCT(($AH$1:$AO$1&lt;AK$1)*$AH244:$AO244)))</f>
        <v>0</v>
      </c>
      <c r="AU244" s="0" t="n">
        <f aca="false">MIN(AL244,MAX(0,$AP244-SUMPRODUCT(($AH$1:$AO$1&lt;AL$1)*$AH244:$AO244)))</f>
        <v>0</v>
      </c>
      <c r="AV244" s="0" t="n">
        <f aca="false">MIN(AM244,MAX(0,$AP244-SUMPRODUCT(($AH$1:$AO$1&lt;AM$1)*$AH244:$AO244)))</f>
        <v>0</v>
      </c>
      <c r="AW244" s="0" t="n">
        <f aca="false">MIN(AN244,MAX(0,$AP244-SUMPRODUCT(($AH$1:$AO$1&lt;AN$1)*$AH244:$AO244)))</f>
        <v>0</v>
      </c>
      <c r="AX244" s="0" t="n">
        <f aca="false">MIN(AO244,MAX(0,$AP244-SUMPRODUCT(($AH$1:$AO$1&lt;AO$1)*$AH244:$AO244)))</f>
        <v>0</v>
      </c>
      <c r="AY244" s="0" t="n">
        <f aca="false">ROUND(AH244-AQ244,2)</f>
        <v>0</v>
      </c>
      <c r="AZ244" s="0" t="n">
        <f aca="false">ROUND(AI244-AR244,2)</f>
        <v>0</v>
      </c>
      <c r="BA244" s="0" t="n">
        <f aca="false">ROUND(AJ244-AS244,2)</f>
        <v>0</v>
      </c>
      <c r="BB244" s="0" t="n">
        <f aca="false">ROUND(AK244-AT244,2)</f>
        <v>0</v>
      </c>
      <c r="BC244" s="0" t="n">
        <f aca="false">ROUND(AL244-AU244,2)</f>
        <v>0</v>
      </c>
      <c r="BD244" s="0" t="n">
        <f aca="false">ROUND(AM244-AV244,2)</f>
        <v>0</v>
      </c>
      <c r="BE244" s="0" t="n">
        <f aca="false">ROUND(AN244-AW244,2)</f>
        <v>0</v>
      </c>
      <c r="BF244" s="0" t="n">
        <f aca="false">ROUND(AO244-AX244,2)</f>
        <v>0</v>
      </c>
      <c r="BG244" s="0" t="n">
        <f aca="false">SUM(AY244:BF244)</f>
        <v>0</v>
      </c>
    </row>
    <row r="245" customFormat="false" ht="15" hidden="false" customHeight="false" outlineLevel="0" collapsed="false">
      <c r="A245" s="0" t="n">
        <v>243</v>
      </c>
      <c r="B245" s="0" t="n">
        <f aca="false">AY244</f>
        <v>0</v>
      </c>
      <c r="C245" s="0" t="n">
        <f aca="false">AZ244</f>
        <v>0</v>
      </c>
      <c r="D245" s="0" t="n">
        <f aca="false">BA244</f>
        <v>0</v>
      </c>
      <c r="E245" s="0" t="n">
        <f aca="false">BB244</f>
        <v>0</v>
      </c>
      <c r="F245" s="0" t="n">
        <f aca="false">BC244</f>
        <v>0</v>
      </c>
      <c r="G245" s="0" t="n">
        <f aca="false">BD244</f>
        <v>0</v>
      </c>
      <c r="H245" s="0" t="n">
        <f aca="false">BE244</f>
        <v>0</v>
      </c>
      <c r="I245" s="0" t="n">
        <f aca="false">BF244</f>
        <v>0</v>
      </c>
      <c r="J245" s="0" t="n">
        <f aca="false">B245*N('Debt Payoff'!D9)/12</f>
        <v>0</v>
      </c>
      <c r="K245" s="0" t="n">
        <f aca="false">C245*N('Debt Payoff'!D10)/12</f>
        <v>0</v>
      </c>
      <c r="L245" s="0" t="n">
        <f aca="false">D245*N('Debt Payoff'!D11)/12</f>
        <v>0</v>
      </c>
      <c r="M245" s="0" t="n">
        <f aca="false">E245*N('Debt Payoff'!D12)/12</f>
        <v>0</v>
      </c>
      <c r="N245" s="0" t="n">
        <f aca="false">F245*N('Debt Payoff'!D13)/12</f>
        <v>0</v>
      </c>
      <c r="O245" s="0" t="n">
        <f aca="false">G245*N('Debt Payoff'!D14)/12</f>
        <v>0</v>
      </c>
      <c r="P245" s="0" t="n">
        <f aca="false">H245*N('Debt Payoff'!D15)/12</f>
        <v>0</v>
      </c>
      <c r="Q245" s="0" t="n">
        <f aca="false">I245*N('Debt Payoff'!D16)/12</f>
        <v>0</v>
      </c>
      <c r="R245" s="0" t="n">
        <f aca="false">B245+J245</f>
        <v>0</v>
      </c>
      <c r="S245" s="0" t="n">
        <f aca="false">C245+K245</f>
        <v>0</v>
      </c>
      <c r="T245" s="0" t="n">
        <f aca="false">D245+L245</f>
        <v>0</v>
      </c>
      <c r="U245" s="0" t="n">
        <f aca="false">E245+M245</f>
        <v>0</v>
      </c>
      <c r="V245" s="0" t="n">
        <f aca="false">F245+N245</f>
        <v>0</v>
      </c>
      <c r="W245" s="0" t="n">
        <f aca="false">G245+O245</f>
        <v>0</v>
      </c>
      <c r="X245" s="0" t="n">
        <f aca="false">H245+P245</f>
        <v>0</v>
      </c>
      <c r="Y245" s="0" t="n">
        <f aca="false">I245+Q245</f>
        <v>0</v>
      </c>
      <c r="Z245" s="0" t="n">
        <f aca="false">MIN(R245,N('Debt Payoff'!E9))</f>
        <v>0</v>
      </c>
      <c r="AA245" s="0" t="n">
        <f aca="false">MIN(S245,N('Debt Payoff'!E10))</f>
        <v>0</v>
      </c>
      <c r="AB245" s="0" t="n">
        <f aca="false">MIN(T245,N('Debt Payoff'!E11))</f>
        <v>0</v>
      </c>
      <c r="AC245" s="0" t="n">
        <f aca="false">MIN(U245,N('Debt Payoff'!E12))</f>
        <v>0</v>
      </c>
      <c r="AD245" s="0" t="n">
        <f aca="false">MIN(V245,N('Debt Payoff'!E13))</f>
        <v>0</v>
      </c>
      <c r="AE245" s="0" t="n">
        <f aca="false">MIN(W245,N('Debt Payoff'!E14))</f>
        <v>0</v>
      </c>
      <c r="AF245" s="0" t="n">
        <f aca="false">MIN(X245,N('Debt Payoff'!E15))</f>
        <v>0</v>
      </c>
      <c r="AG245" s="0" t="n">
        <f aca="false">MIN(Y245,N('Debt Payoff'!E16))</f>
        <v>0</v>
      </c>
      <c r="AH245" s="0" t="n">
        <f aca="false">R245-Z245</f>
        <v>0</v>
      </c>
      <c r="AI245" s="0" t="n">
        <f aca="false">S245-AA245</f>
        <v>0</v>
      </c>
      <c r="AJ245" s="0" t="n">
        <f aca="false">T245-AB245</f>
        <v>0</v>
      </c>
      <c r="AK245" s="0" t="n">
        <f aca="false">U245-AC245</f>
        <v>0</v>
      </c>
      <c r="AL245" s="0" t="n">
        <f aca="false">V245-AD245</f>
        <v>0</v>
      </c>
      <c r="AM245" s="0" t="n">
        <f aca="false">W245-AE245</f>
        <v>0</v>
      </c>
      <c r="AN245" s="0" t="n">
        <f aca="false">X245-AF245</f>
        <v>0</v>
      </c>
      <c r="AO245" s="0" t="n">
        <f aca="false">Y245-AG245</f>
        <v>0</v>
      </c>
      <c r="AP245" s="0" t="n">
        <f aca="false">MAX(0,'Debt Payoff'!$D$17-SUM(Z245:AG245))</f>
        <v>805</v>
      </c>
      <c r="AQ245" s="0" t="n">
        <f aca="false">MIN(AH245,MAX(0,$AP245-SUMPRODUCT(($AH$1:$AO$1&lt;AH$1)*$AH245:$AO245)))</f>
        <v>0</v>
      </c>
      <c r="AR245" s="0" t="n">
        <f aca="false">MIN(AI245,MAX(0,$AP245-SUMPRODUCT(($AH$1:$AO$1&lt;AI$1)*$AH245:$AO245)))</f>
        <v>0</v>
      </c>
      <c r="AS245" s="0" t="n">
        <f aca="false">MIN(AJ245,MAX(0,$AP245-SUMPRODUCT(($AH$1:$AO$1&lt;AJ$1)*$AH245:$AO245)))</f>
        <v>0</v>
      </c>
      <c r="AT245" s="0" t="n">
        <f aca="false">MIN(AK245,MAX(0,$AP245-SUMPRODUCT(($AH$1:$AO$1&lt;AK$1)*$AH245:$AO245)))</f>
        <v>0</v>
      </c>
      <c r="AU245" s="0" t="n">
        <f aca="false">MIN(AL245,MAX(0,$AP245-SUMPRODUCT(($AH$1:$AO$1&lt;AL$1)*$AH245:$AO245)))</f>
        <v>0</v>
      </c>
      <c r="AV245" s="0" t="n">
        <f aca="false">MIN(AM245,MAX(0,$AP245-SUMPRODUCT(($AH$1:$AO$1&lt;AM$1)*$AH245:$AO245)))</f>
        <v>0</v>
      </c>
      <c r="AW245" s="0" t="n">
        <f aca="false">MIN(AN245,MAX(0,$AP245-SUMPRODUCT(($AH$1:$AO$1&lt;AN$1)*$AH245:$AO245)))</f>
        <v>0</v>
      </c>
      <c r="AX245" s="0" t="n">
        <f aca="false">MIN(AO245,MAX(0,$AP245-SUMPRODUCT(($AH$1:$AO$1&lt;AO$1)*$AH245:$AO245)))</f>
        <v>0</v>
      </c>
      <c r="AY245" s="0" t="n">
        <f aca="false">ROUND(AH245-AQ245,2)</f>
        <v>0</v>
      </c>
      <c r="AZ245" s="0" t="n">
        <f aca="false">ROUND(AI245-AR245,2)</f>
        <v>0</v>
      </c>
      <c r="BA245" s="0" t="n">
        <f aca="false">ROUND(AJ245-AS245,2)</f>
        <v>0</v>
      </c>
      <c r="BB245" s="0" t="n">
        <f aca="false">ROUND(AK245-AT245,2)</f>
        <v>0</v>
      </c>
      <c r="BC245" s="0" t="n">
        <f aca="false">ROUND(AL245-AU245,2)</f>
        <v>0</v>
      </c>
      <c r="BD245" s="0" t="n">
        <f aca="false">ROUND(AM245-AV245,2)</f>
        <v>0</v>
      </c>
      <c r="BE245" s="0" t="n">
        <f aca="false">ROUND(AN245-AW245,2)</f>
        <v>0</v>
      </c>
      <c r="BF245" s="0" t="n">
        <f aca="false">ROUND(AO245-AX245,2)</f>
        <v>0</v>
      </c>
      <c r="BG245" s="0" t="n">
        <f aca="false">SUM(AY245:BF245)</f>
        <v>0</v>
      </c>
    </row>
    <row r="246" customFormat="false" ht="15" hidden="false" customHeight="false" outlineLevel="0" collapsed="false">
      <c r="A246" s="0" t="n">
        <v>244</v>
      </c>
      <c r="B246" s="0" t="n">
        <f aca="false">AY245</f>
        <v>0</v>
      </c>
      <c r="C246" s="0" t="n">
        <f aca="false">AZ245</f>
        <v>0</v>
      </c>
      <c r="D246" s="0" t="n">
        <f aca="false">BA245</f>
        <v>0</v>
      </c>
      <c r="E246" s="0" t="n">
        <f aca="false">BB245</f>
        <v>0</v>
      </c>
      <c r="F246" s="0" t="n">
        <f aca="false">BC245</f>
        <v>0</v>
      </c>
      <c r="G246" s="0" t="n">
        <f aca="false">BD245</f>
        <v>0</v>
      </c>
      <c r="H246" s="0" t="n">
        <f aca="false">BE245</f>
        <v>0</v>
      </c>
      <c r="I246" s="0" t="n">
        <f aca="false">BF245</f>
        <v>0</v>
      </c>
      <c r="J246" s="0" t="n">
        <f aca="false">B246*N('Debt Payoff'!D9)/12</f>
        <v>0</v>
      </c>
      <c r="K246" s="0" t="n">
        <f aca="false">C246*N('Debt Payoff'!D10)/12</f>
        <v>0</v>
      </c>
      <c r="L246" s="0" t="n">
        <f aca="false">D246*N('Debt Payoff'!D11)/12</f>
        <v>0</v>
      </c>
      <c r="M246" s="0" t="n">
        <f aca="false">E246*N('Debt Payoff'!D12)/12</f>
        <v>0</v>
      </c>
      <c r="N246" s="0" t="n">
        <f aca="false">F246*N('Debt Payoff'!D13)/12</f>
        <v>0</v>
      </c>
      <c r="O246" s="0" t="n">
        <f aca="false">G246*N('Debt Payoff'!D14)/12</f>
        <v>0</v>
      </c>
      <c r="P246" s="0" t="n">
        <f aca="false">H246*N('Debt Payoff'!D15)/12</f>
        <v>0</v>
      </c>
      <c r="Q246" s="0" t="n">
        <f aca="false">I246*N('Debt Payoff'!D16)/12</f>
        <v>0</v>
      </c>
      <c r="R246" s="0" t="n">
        <f aca="false">B246+J246</f>
        <v>0</v>
      </c>
      <c r="S246" s="0" t="n">
        <f aca="false">C246+K246</f>
        <v>0</v>
      </c>
      <c r="T246" s="0" t="n">
        <f aca="false">D246+L246</f>
        <v>0</v>
      </c>
      <c r="U246" s="0" t="n">
        <f aca="false">E246+M246</f>
        <v>0</v>
      </c>
      <c r="V246" s="0" t="n">
        <f aca="false">F246+N246</f>
        <v>0</v>
      </c>
      <c r="W246" s="0" t="n">
        <f aca="false">G246+O246</f>
        <v>0</v>
      </c>
      <c r="X246" s="0" t="n">
        <f aca="false">H246+P246</f>
        <v>0</v>
      </c>
      <c r="Y246" s="0" t="n">
        <f aca="false">I246+Q246</f>
        <v>0</v>
      </c>
      <c r="Z246" s="0" t="n">
        <f aca="false">MIN(R246,N('Debt Payoff'!E9))</f>
        <v>0</v>
      </c>
      <c r="AA246" s="0" t="n">
        <f aca="false">MIN(S246,N('Debt Payoff'!E10))</f>
        <v>0</v>
      </c>
      <c r="AB246" s="0" t="n">
        <f aca="false">MIN(T246,N('Debt Payoff'!E11))</f>
        <v>0</v>
      </c>
      <c r="AC246" s="0" t="n">
        <f aca="false">MIN(U246,N('Debt Payoff'!E12))</f>
        <v>0</v>
      </c>
      <c r="AD246" s="0" t="n">
        <f aca="false">MIN(V246,N('Debt Payoff'!E13))</f>
        <v>0</v>
      </c>
      <c r="AE246" s="0" t="n">
        <f aca="false">MIN(W246,N('Debt Payoff'!E14))</f>
        <v>0</v>
      </c>
      <c r="AF246" s="0" t="n">
        <f aca="false">MIN(X246,N('Debt Payoff'!E15))</f>
        <v>0</v>
      </c>
      <c r="AG246" s="0" t="n">
        <f aca="false">MIN(Y246,N('Debt Payoff'!E16))</f>
        <v>0</v>
      </c>
      <c r="AH246" s="0" t="n">
        <f aca="false">R246-Z246</f>
        <v>0</v>
      </c>
      <c r="AI246" s="0" t="n">
        <f aca="false">S246-AA246</f>
        <v>0</v>
      </c>
      <c r="AJ246" s="0" t="n">
        <f aca="false">T246-AB246</f>
        <v>0</v>
      </c>
      <c r="AK246" s="0" t="n">
        <f aca="false">U246-AC246</f>
        <v>0</v>
      </c>
      <c r="AL246" s="0" t="n">
        <f aca="false">V246-AD246</f>
        <v>0</v>
      </c>
      <c r="AM246" s="0" t="n">
        <f aca="false">W246-AE246</f>
        <v>0</v>
      </c>
      <c r="AN246" s="0" t="n">
        <f aca="false">X246-AF246</f>
        <v>0</v>
      </c>
      <c r="AO246" s="0" t="n">
        <f aca="false">Y246-AG246</f>
        <v>0</v>
      </c>
      <c r="AP246" s="0" t="n">
        <f aca="false">MAX(0,'Debt Payoff'!$D$17-SUM(Z246:AG246))</f>
        <v>805</v>
      </c>
      <c r="AQ246" s="0" t="n">
        <f aca="false">MIN(AH246,MAX(0,$AP246-SUMPRODUCT(($AH$1:$AO$1&lt;AH$1)*$AH246:$AO246)))</f>
        <v>0</v>
      </c>
      <c r="AR246" s="0" t="n">
        <f aca="false">MIN(AI246,MAX(0,$AP246-SUMPRODUCT(($AH$1:$AO$1&lt;AI$1)*$AH246:$AO246)))</f>
        <v>0</v>
      </c>
      <c r="AS246" s="0" t="n">
        <f aca="false">MIN(AJ246,MAX(0,$AP246-SUMPRODUCT(($AH$1:$AO$1&lt;AJ$1)*$AH246:$AO246)))</f>
        <v>0</v>
      </c>
      <c r="AT246" s="0" t="n">
        <f aca="false">MIN(AK246,MAX(0,$AP246-SUMPRODUCT(($AH$1:$AO$1&lt;AK$1)*$AH246:$AO246)))</f>
        <v>0</v>
      </c>
      <c r="AU246" s="0" t="n">
        <f aca="false">MIN(AL246,MAX(0,$AP246-SUMPRODUCT(($AH$1:$AO$1&lt;AL$1)*$AH246:$AO246)))</f>
        <v>0</v>
      </c>
      <c r="AV246" s="0" t="n">
        <f aca="false">MIN(AM246,MAX(0,$AP246-SUMPRODUCT(($AH$1:$AO$1&lt;AM$1)*$AH246:$AO246)))</f>
        <v>0</v>
      </c>
      <c r="AW246" s="0" t="n">
        <f aca="false">MIN(AN246,MAX(0,$AP246-SUMPRODUCT(($AH$1:$AO$1&lt;AN$1)*$AH246:$AO246)))</f>
        <v>0</v>
      </c>
      <c r="AX246" s="0" t="n">
        <f aca="false">MIN(AO246,MAX(0,$AP246-SUMPRODUCT(($AH$1:$AO$1&lt;AO$1)*$AH246:$AO246)))</f>
        <v>0</v>
      </c>
      <c r="AY246" s="0" t="n">
        <f aca="false">ROUND(AH246-AQ246,2)</f>
        <v>0</v>
      </c>
      <c r="AZ246" s="0" t="n">
        <f aca="false">ROUND(AI246-AR246,2)</f>
        <v>0</v>
      </c>
      <c r="BA246" s="0" t="n">
        <f aca="false">ROUND(AJ246-AS246,2)</f>
        <v>0</v>
      </c>
      <c r="BB246" s="0" t="n">
        <f aca="false">ROUND(AK246-AT246,2)</f>
        <v>0</v>
      </c>
      <c r="BC246" s="0" t="n">
        <f aca="false">ROUND(AL246-AU246,2)</f>
        <v>0</v>
      </c>
      <c r="BD246" s="0" t="n">
        <f aca="false">ROUND(AM246-AV246,2)</f>
        <v>0</v>
      </c>
      <c r="BE246" s="0" t="n">
        <f aca="false">ROUND(AN246-AW246,2)</f>
        <v>0</v>
      </c>
      <c r="BF246" s="0" t="n">
        <f aca="false">ROUND(AO246-AX246,2)</f>
        <v>0</v>
      </c>
      <c r="BG246" s="0" t="n">
        <f aca="false">SUM(AY246:BF246)</f>
        <v>0</v>
      </c>
    </row>
    <row r="247" customFormat="false" ht="15" hidden="false" customHeight="false" outlineLevel="0" collapsed="false">
      <c r="A247" s="0" t="n">
        <v>245</v>
      </c>
      <c r="B247" s="0" t="n">
        <f aca="false">AY246</f>
        <v>0</v>
      </c>
      <c r="C247" s="0" t="n">
        <f aca="false">AZ246</f>
        <v>0</v>
      </c>
      <c r="D247" s="0" t="n">
        <f aca="false">BA246</f>
        <v>0</v>
      </c>
      <c r="E247" s="0" t="n">
        <f aca="false">BB246</f>
        <v>0</v>
      </c>
      <c r="F247" s="0" t="n">
        <f aca="false">BC246</f>
        <v>0</v>
      </c>
      <c r="G247" s="0" t="n">
        <f aca="false">BD246</f>
        <v>0</v>
      </c>
      <c r="H247" s="0" t="n">
        <f aca="false">BE246</f>
        <v>0</v>
      </c>
      <c r="I247" s="0" t="n">
        <f aca="false">BF246</f>
        <v>0</v>
      </c>
      <c r="J247" s="0" t="n">
        <f aca="false">B247*N('Debt Payoff'!D9)/12</f>
        <v>0</v>
      </c>
      <c r="K247" s="0" t="n">
        <f aca="false">C247*N('Debt Payoff'!D10)/12</f>
        <v>0</v>
      </c>
      <c r="L247" s="0" t="n">
        <f aca="false">D247*N('Debt Payoff'!D11)/12</f>
        <v>0</v>
      </c>
      <c r="M247" s="0" t="n">
        <f aca="false">E247*N('Debt Payoff'!D12)/12</f>
        <v>0</v>
      </c>
      <c r="N247" s="0" t="n">
        <f aca="false">F247*N('Debt Payoff'!D13)/12</f>
        <v>0</v>
      </c>
      <c r="O247" s="0" t="n">
        <f aca="false">G247*N('Debt Payoff'!D14)/12</f>
        <v>0</v>
      </c>
      <c r="P247" s="0" t="n">
        <f aca="false">H247*N('Debt Payoff'!D15)/12</f>
        <v>0</v>
      </c>
      <c r="Q247" s="0" t="n">
        <f aca="false">I247*N('Debt Payoff'!D16)/12</f>
        <v>0</v>
      </c>
      <c r="R247" s="0" t="n">
        <f aca="false">B247+J247</f>
        <v>0</v>
      </c>
      <c r="S247" s="0" t="n">
        <f aca="false">C247+K247</f>
        <v>0</v>
      </c>
      <c r="T247" s="0" t="n">
        <f aca="false">D247+L247</f>
        <v>0</v>
      </c>
      <c r="U247" s="0" t="n">
        <f aca="false">E247+M247</f>
        <v>0</v>
      </c>
      <c r="V247" s="0" t="n">
        <f aca="false">F247+N247</f>
        <v>0</v>
      </c>
      <c r="W247" s="0" t="n">
        <f aca="false">G247+O247</f>
        <v>0</v>
      </c>
      <c r="X247" s="0" t="n">
        <f aca="false">H247+P247</f>
        <v>0</v>
      </c>
      <c r="Y247" s="0" t="n">
        <f aca="false">I247+Q247</f>
        <v>0</v>
      </c>
      <c r="Z247" s="0" t="n">
        <f aca="false">MIN(R247,N('Debt Payoff'!E9))</f>
        <v>0</v>
      </c>
      <c r="AA247" s="0" t="n">
        <f aca="false">MIN(S247,N('Debt Payoff'!E10))</f>
        <v>0</v>
      </c>
      <c r="AB247" s="0" t="n">
        <f aca="false">MIN(T247,N('Debt Payoff'!E11))</f>
        <v>0</v>
      </c>
      <c r="AC247" s="0" t="n">
        <f aca="false">MIN(U247,N('Debt Payoff'!E12))</f>
        <v>0</v>
      </c>
      <c r="AD247" s="0" t="n">
        <f aca="false">MIN(V247,N('Debt Payoff'!E13))</f>
        <v>0</v>
      </c>
      <c r="AE247" s="0" t="n">
        <f aca="false">MIN(W247,N('Debt Payoff'!E14))</f>
        <v>0</v>
      </c>
      <c r="AF247" s="0" t="n">
        <f aca="false">MIN(X247,N('Debt Payoff'!E15))</f>
        <v>0</v>
      </c>
      <c r="AG247" s="0" t="n">
        <f aca="false">MIN(Y247,N('Debt Payoff'!E16))</f>
        <v>0</v>
      </c>
      <c r="AH247" s="0" t="n">
        <f aca="false">R247-Z247</f>
        <v>0</v>
      </c>
      <c r="AI247" s="0" t="n">
        <f aca="false">S247-AA247</f>
        <v>0</v>
      </c>
      <c r="AJ247" s="0" t="n">
        <f aca="false">T247-AB247</f>
        <v>0</v>
      </c>
      <c r="AK247" s="0" t="n">
        <f aca="false">U247-AC247</f>
        <v>0</v>
      </c>
      <c r="AL247" s="0" t="n">
        <f aca="false">V247-AD247</f>
        <v>0</v>
      </c>
      <c r="AM247" s="0" t="n">
        <f aca="false">W247-AE247</f>
        <v>0</v>
      </c>
      <c r="AN247" s="0" t="n">
        <f aca="false">X247-AF247</f>
        <v>0</v>
      </c>
      <c r="AO247" s="0" t="n">
        <f aca="false">Y247-AG247</f>
        <v>0</v>
      </c>
      <c r="AP247" s="0" t="n">
        <f aca="false">MAX(0,'Debt Payoff'!$D$17-SUM(Z247:AG247))</f>
        <v>805</v>
      </c>
      <c r="AQ247" s="0" t="n">
        <f aca="false">MIN(AH247,MAX(0,$AP247-SUMPRODUCT(($AH$1:$AO$1&lt;AH$1)*$AH247:$AO247)))</f>
        <v>0</v>
      </c>
      <c r="AR247" s="0" t="n">
        <f aca="false">MIN(AI247,MAX(0,$AP247-SUMPRODUCT(($AH$1:$AO$1&lt;AI$1)*$AH247:$AO247)))</f>
        <v>0</v>
      </c>
      <c r="AS247" s="0" t="n">
        <f aca="false">MIN(AJ247,MAX(0,$AP247-SUMPRODUCT(($AH$1:$AO$1&lt;AJ$1)*$AH247:$AO247)))</f>
        <v>0</v>
      </c>
      <c r="AT247" s="0" t="n">
        <f aca="false">MIN(AK247,MAX(0,$AP247-SUMPRODUCT(($AH$1:$AO$1&lt;AK$1)*$AH247:$AO247)))</f>
        <v>0</v>
      </c>
      <c r="AU247" s="0" t="n">
        <f aca="false">MIN(AL247,MAX(0,$AP247-SUMPRODUCT(($AH$1:$AO$1&lt;AL$1)*$AH247:$AO247)))</f>
        <v>0</v>
      </c>
      <c r="AV247" s="0" t="n">
        <f aca="false">MIN(AM247,MAX(0,$AP247-SUMPRODUCT(($AH$1:$AO$1&lt;AM$1)*$AH247:$AO247)))</f>
        <v>0</v>
      </c>
      <c r="AW247" s="0" t="n">
        <f aca="false">MIN(AN247,MAX(0,$AP247-SUMPRODUCT(($AH$1:$AO$1&lt;AN$1)*$AH247:$AO247)))</f>
        <v>0</v>
      </c>
      <c r="AX247" s="0" t="n">
        <f aca="false">MIN(AO247,MAX(0,$AP247-SUMPRODUCT(($AH$1:$AO$1&lt;AO$1)*$AH247:$AO247)))</f>
        <v>0</v>
      </c>
      <c r="AY247" s="0" t="n">
        <f aca="false">ROUND(AH247-AQ247,2)</f>
        <v>0</v>
      </c>
      <c r="AZ247" s="0" t="n">
        <f aca="false">ROUND(AI247-AR247,2)</f>
        <v>0</v>
      </c>
      <c r="BA247" s="0" t="n">
        <f aca="false">ROUND(AJ247-AS247,2)</f>
        <v>0</v>
      </c>
      <c r="BB247" s="0" t="n">
        <f aca="false">ROUND(AK247-AT247,2)</f>
        <v>0</v>
      </c>
      <c r="BC247" s="0" t="n">
        <f aca="false">ROUND(AL247-AU247,2)</f>
        <v>0</v>
      </c>
      <c r="BD247" s="0" t="n">
        <f aca="false">ROUND(AM247-AV247,2)</f>
        <v>0</v>
      </c>
      <c r="BE247" s="0" t="n">
        <f aca="false">ROUND(AN247-AW247,2)</f>
        <v>0</v>
      </c>
      <c r="BF247" s="0" t="n">
        <f aca="false">ROUND(AO247-AX247,2)</f>
        <v>0</v>
      </c>
      <c r="BG247" s="0" t="n">
        <f aca="false">SUM(AY247:BF247)</f>
        <v>0</v>
      </c>
    </row>
    <row r="248" customFormat="false" ht="15" hidden="false" customHeight="false" outlineLevel="0" collapsed="false">
      <c r="A248" s="0" t="n">
        <v>246</v>
      </c>
      <c r="B248" s="0" t="n">
        <f aca="false">AY247</f>
        <v>0</v>
      </c>
      <c r="C248" s="0" t="n">
        <f aca="false">AZ247</f>
        <v>0</v>
      </c>
      <c r="D248" s="0" t="n">
        <f aca="false">BA247</f>
        <v>0</v>
      </c>
      <c r="E248" s="0" t="n">
        <f aca="false">BB247</f>
        <v>0</v>
      </c>
      <c r="F248" s="0" t="n">
        <f aca="false">BC247</f>
        <v>0</v>
      </c>
      <c r="G248" s="0" t="n">
        <f aca="false">BD247</f>
        <v>0</v>
      </c>
      <c r="H248" s="0" t="n">
        <f aca="false">BE247</f>
        <v>0</v>
      </c>
      <c r="I248" s="0" t="n">
        <f aca="false">BF247</f>
        <v>0</v>
      </c>
      <c r="J248" s="0" t="n">
        <f aca="false">B248*N('Debt Payoff'!D9)/12</f>
        <v>0</v>
      </c>
      <c r="K248" s="0" t="n">
        <f aca="false">C248*N('Debt Payoff'!D10)/12</f>
        <v>0</v>
      </c>
      <c r="L248" s="0" t="n">
        <f aca="false">D248*N('Debt Payoff'!D11)/12</f>
        <v>0</v>
      </c>
      <c r="M248" s="0" t="n">
        <f aca="false">E248*N('Debt Payoff'!D12)/12</f>
        <v>0</v>
      </c>
      <c r="N248" s="0" t="n">
        <f aca="false">F248*N('Debt Payoff'!D13)/12</f>
        <v>0</v>
      </c>
      <c r="O248" s="0" t="n">
        <f aca="false">G248*N('Debt Payoff'!D14)/12</f>
        <v>0</v>
      </c>
      <c r="P248" s="0" t="n">
        <f aca="false">H248*N('Debt Payoff'!D15)/12</f>
        <v>0</v>
      </c>
      <c r="Q248" s="0" t="n">
        <f aca="false">I248*N('Debt Payoff'!D16)/12</f>
        <v>0</v>
      </c>
      <c r="R248" s="0" t="n">
        <f aca="false">B248+J248</f>
        <v>0</v>
      </c>
      <c r="S248" s="0" t="n">
        <f aca="false">C248+K248</f>
        <v>0</v>
      </c>
      <c r="T248" s="0" t="n">
        <f aca="false">D248+L248</f>
        <v>0</v>
      </c>
      <c r="U248" s="0" t="n">
        <f aca="false">E248+M248</f>
        <v>0</v>
      </c>
      <c r="V248" s="0" t="n">
        <f aca="false">F248+N248</f>
        <v>0</v>
      </c>
      <c r="W248" s="0" t="n">
        <f aca="false">G248+O248</f>
        <v>0</v>
      </c>
      <c r="X248" s="0" t="n">
        <f aca="false">H248+P248</f>
        <v>0</v>
      </c>
      <c r="Y248" s="0" t="n">
        <f aca="false">I248+Q248</f>
        <v>0</v>
      </c>
      <c r="Z248" s="0" t="n">
        <f aca="false">MIN(R248,N('Debt Payoff'!E9))</f>
        <v>0</v>
      </c>
      <c r="AA248" s="0" t="n">
        <f aca="false">MIN(S248,N('Debt Payoff'!E10))</f>
        <v>0</v>
      </c>
      <c r="AB248" s="0" t="n">
        <f aca="false">MIN(T248,N('Debt Payoff'!E11))</f>
        <v>0</v>
      </c>
      <c r="AC248" s="0" t="n">
        <f aca="false">MIN(U248,N('Debt Payoff'!E12))</f>
        <v>0</v>
      </c>
      <c r="AD248" s="0" t="n">
        <f aca="false">MIN(V248,N('Debt Payoff'!E13))</f>
        <v>0</v>
      </c>
      <c r="AE248" s="0" t="n">
        <f aca="false">MIN(W248,N('Debt Payoff'!E14))</f>
        <v>0</v>
      </c>
      <c r="AF248" s="0" t="n">
        <f aca="false">MIN(X248,N('Debt Payoff'!E15))</f>
        <v>0</v>
      </c>
      <c r="AG248" s="0" t="n">
        <f aca="false">MIN(Y248,N('Debt Payoff'!E16))</f>
        <v>0</v>
      </c>
      <c r="AH248" s="0" t="n">
        <f aca="false">R248-Z248</f>
        <v>0</v>
      </c>
      <c r="AI248" s="0" t="n">
        <f aca="false">S248-AA248</f>
        <v>0</v>
      </c>
      <c r="AJ248" s="0" t="n">
        <f aca="false">T248-AB248</f>
        <v>0</v>
      </c>
      <c r="AK248" s="0" t="n">
        <f aca="false">U248-AC248</f>
        <v>0</v>
      </c>
      <c r="AL248" s="0" t="n">
        <f aca="false">V248-AD248</f>
        <v>0</v>
      </c>
      <c r="AM248" s="0" t="n">
        <f aca="false">W248-AE248</f>
        <v>0</v>
      </c>
      <c r="AN248" s="0" t="n">
        <f aca="false">X248-AF248</f>
        <v>0</v>
      </c>
      <c r="AO248" s="0" t="n">
        <f aca="false">Y248-AG248</f>
        <v>0</v>
      </c>
      <c r="AP248" s="0" t="n">
        <f aca="false">MAX(0,'Debt Payoff'!$D$17-SUM(Z248:AG248))</f>
        <v>805</v>
      </c>
      <c r="AQ248" s="0" t="n">
        <f aca="false">MIN(AH248,MAX(0,$AP248-SUMPRODUCT(($AH$1:$AO$1&lt;AH$1)*$AH248:$AO248)))</f>
        <v>0</v>
      </c>
      <c r="AR248" s="0" t="n">
        <f aca="false">MIN(AI248,MAX(0,$AP248-SUMPRODUCT(($AH$1:$AO$1&lt;AI$1)*$AH248:$AO248)))</f>
        <v>0</v>
      </c>
      <c r="AS248" s="0" t="n">
        <f aca="false">MIN(AJ248,MAX(0,$AP248-SUMPRODUCT(($AH$1:$AO$1&lt;AJ$1)*$AH248:$AO248)))</f>
        <v>0</v>
      </c>
      <c r="AT248" s="0" t="n">
        <f aca="false">MIN(AK248,MAX(0,$AP248-SUMPRODUCT(($AH$1:$AO$1&lt;AK$1)*$AH248:$AO248)))</f>
        <v>0</v>
      </c>
      <c r="AU248" s="0" t="n">
        <f aca="false">MIN(AL248,MAX(0,$AP248-SUMPRODUCT(($AH$1:$AO$1&lt;AL$1)*$AH248:$AO248)))</f>
        <v>0</v>
      </c>
      <c r="AV248" s="0" t="n">
        <f aca="false">MIN(AM248,MAX(0,$AP248-SUMPRODUCT(($AH$1:$AO$1&lt;AM$1)*$AH248:$AO248)))</f>
        <v>0</v>
      </c>
      <c r="AW248" s="0" t="n">
        <f aca="false">MIN(AN248,MAX(0,$AP248-SUMPRODUCT(($AH$1:$AO$1&lt;AN$1)*$AH248:$AO248)))</f>
        <v>0</v>
      </c>
      <c r="AX248" s="0" t="n">
        <f aca="false">MIN(AO248,MAX(0,$AP248-SUMPRODUCT(($AH$1:$AO$1&lt;AO$1)*$AH248:$AO248)))</f>
        <v>0</v>
      </c>
      <c r="AY248" s="0" t="n">
        <f aca="false">ROUND(AH248-AQ248,2)</f>
        <v>0</v>
      </c>
      <c r="AZ248" s="0" t="n">
        <f aca="false">ROUND(AI248-AR248,2)</f>
        <v>0</v>
      </c>
      <c r="BA248" s="0" t="n">
        <f aca="false">ROUND(AJ248-AS248,2)</f>
        <v>0</v>
      </c>
      <c r="BB248" s="0" t="n">
        <f aca="false">ROUND(AK248-AT248,2)</f>
        <v>0</v>
      </c>
      <c r="BC248" s="0" t="n">
        <f aca="false">ROUND(AL248-AU248,2)</f>
        <v>0</v>
      </c>
      <c r="BD248" s="0" t="n">
        <f aca="false">ROUND(AM248-AV248,2)</f>
        <v>0</v>
      </c>
      <c r="BE248" s="0" t="n">
        <f aca="false">ROUND(AN248-AW248,2)</f>
        <v>0</v>
      </c>
      <c r="BF248" s="0" t="n">
        <f aca="false">ROUND(AO248-AX248,2)</f>
        <v>0</v>
      </c>
      <c r="BG248" s="0" t="n">
        <f aca="false">SUM(AY248:BF248)</f>
        <v>0</v>
      </c>
    </row>
    <row r="249" customFormat="false" ht="15" hidden="false" customHeight="false" outlineLevel="0" collapsed="false">
      <c r="A249" s="0" t="n">
        <v>247</v>
      </c>
      <c r="B249" s="0" t="n">
        <f aca="false">AY248</f>
        <v>0</v>
      </c>
      <c r="C249" s="0" t="n">
        <f aca="false">AZ248</f>
        <v>0</v>
      </c>
      <c r="D249" s="0" t="n">
        <f aca="false">BA248</f>
        <v>0</v>
      </c>
      <c r="E249" s="0" t="n">
        <f aca="false">BB248</f>
        <v>0</v>
      </c>
      <c r="F249" s="0" t="n">
        <f aca="false">BC248</f>
        <v>0</v>
      </c>
      <c r="G249" s="0" t="n">
        <f aca="false">BD248</f>
        <v>0</v>
      </c>
      <c r="H249" s="0" t="n">
        <f aca="false">BE248</f>
        <v>0</v>
      </c>
      <c r="I249" s="0" t="n">
        <f aca="false">BF248</f>
        <v>0</v>
      </c>
      <c r="J249" s="0" t="n">
        <f aca="false">B249*N('Debt Payoff'!D9)/12</f>
        <v>0</v>
      </c>
      <c r="K249" s="0" t="n">
        <f aca="false">C249*N('Debt Payoff'!D10)/12</f>
        <v>0</v>
      </c>
      <c r="L249" s="0" t="n">
        <f aca="false">D249*N('Debt Payoff'!D11)/12</f>
        <v>0</v>
      </c>
      <c r="M249" s="0" t="n">
        <f aca="false">E249*N('Debt Payoff'!D12)/12</f>
        <v>0</v>
      </c>
      <c r="N249" s="0" t="n">
        <f aca="false">F249*N('Debt Payoff'!D13)/12</f>
        <v>0</v>
      </c>
      <c r="O249" s="0" t="n">
        <f aca="false">G249*N('Debt Payoff'!D14)/12</f>
        <v>0</v>
      </c>
      <c r="P249" s="0" t="n">
        <f aca="false">H249*N('Debt Payoff'!D15)/12</f>
        <v>0</v>
      </c>
      <c r="Q249" s="0" t="n">
        <f aca="false">I249*N('Debt Payoff'!D16)/12</f>
        <v>0</v>
      </c>
      <c r="R249" s="0" t="n">
        <f aca="false">B249+J249</f>
        <v>0</v>
      </c>
      <c r="S249" s="0" t="n">
        <f aca="false">C249+K249</f>
        <v>0</v>
      </c>
      <c r="T249" s="0" t="n">
        <f aca="false">D249+L249</f>
        <v>0</v>
      </c>
      <c r="U249" s="0" t="n">
        <f aca="false">E249+M249</f>
        <v>0</v>
      </c>
      <c r="V249" s="0" t="n">
        <f aca="false">F249+N249</f>
        <v>0</v>
      </c>
      <c r="W249" s="0" t="n">
        <f aca="false">G249+O249</f>
        <v>0</v>
      </c>
      <c r="X249" s="0" t="n">
        <f aca="false">H249+P249</f>
        <v>0</v>
      </c>
      <c r="Y249" s="0" t="n">
        <f aca="false">I249+Q249</f>
        <v>0</v>
      </c>
      <c r="Z249" s="0" t="n">
        <f aca="false">MIN(R249,N('Debt Payoff'!E9))</f>
        <v>0</v>
      </c>
      <c r="AA249" s="0" t="n">
        <f aca="false">MIN(S249,N('Debt Payoff'!E10))</f>
        <v>0</v>
      </c>
      <c r="AB249" s="0" t="n">
        <f aca="false">MIN(T249,N('Debt Payoff'!E11))</f>
        <v>0</v>
      </c>
      <c r="AC249" s="0" t="n">
        <f aca="false">MIN(U249,N('Debt Payoff'!E12))</f>
        <v>0</v>
      </c>
      <c r="AD249" s="0" t="n">
        <f aca="false">MIN(V249,N('Debt Payoff'!E13))</f>
        <v>0</v>
      </c>
      <c r="AE249" s="0" t="n">
        <f aca="false">MIN(W249,N('Debt Payoff'!E14))</f>
        <v>0</v>
      </c>
      <c r="AF249" s="0" t="n">
        <f aca="false">MIN(X249,N('Debt Payoff'!E15))</f>
        <v>0</v>
      </c>
      <c r="AG249" s="0" t="n">
        <f aca="false">MIN(Y249,N('Debt Payoff'!E16))</f>
        <v>0</v>
      </c>
      <c r="AH249" s="0" t="n">
        <f aca="false">R249-Z249</f>
        <v>0</v>
      </c>
      <c r="AI249" s="0" t="n">
        <f aca="false">S249-AA249</f>
        <v>0</v>
      </c>
      <c r="AJ249" s="0" t="n">
        <f aca="false">T249-AB249</f>
        <v>0</v>
      </c>
      <c r="AK249" s="0" t="n">
        <f aca="false">U249-AC249</f>
        <v>0</v>
      </c>
      <c r="AL249" s="0" t="n">
        <f aca="false">V249-AD249</f>
        <v>0</v>
      </c>
      <c r="AM249" s="0" t="n">
        <f aca="false">W249-AE249</f>
        <v>0</v>
      </c>
      <c r="AN249" s="0" t="n">
        <f aca="false">X249-AF249</f>
        <v>0</v>
      </c>
      <c r="AO249" s="0" t="n">
        <f aca="false">Y249-AG249</f>
        <v>0</v>
      </c>
      <c r="AP249" s="0" t="n">
        <f aca="false">MAX(0,'Debt Payoff'!$D$17-SUM(Z249:AG249))</f>
        <v>805</v>
      </c>
      <c r="AQ249" s="0" t="n">
        <f aca="false">MIN(AH249,MAX(0,$AP249-SUMPRODUCT(($AH$1:$AO$1&lt;AH$1)*$AH249:$AO249)))</f>
        <v>0</v>
      </c>
      <c r="AR249" s="0" t="n">
        <f aca="false">MIN(AI249,MAX(0,$AP249-SUMPRODUCT(($AH$1:$AO$1&lt;AI$1)*$AH249:$AO249)))</f>
        <v>0</v>
      </c>
      <c r="AS249" s="0" t="n">
        <f aca="false">MIN(AJ249,MAX(0,$AP249-SUMPRODUCT(($AH$1:$AO$1&lt;AJ$1)*$AH249:$AO249)))</f>
        <v>0</v>
      </c>
      <c r="AT249" s="0" t="n">
        <f aca="false">MIN(AK249,MAX(0,$AP249-SUMPRODUCT(($AH$1:$AO$1&lt;AK$1)*$AH249:$AO249)))</f>
        <v>0</v>
      </c>
      <c r="AU249" s="0" t="n">
        <f aca="false">MIN(AL249,MAX(0,$AP249-SUMPRODUCT(($AH$1:$AO$1&lt;AL$1)*$AH249:$AO249)))</f>
        <v>0</v>
      </c>
      <c r="AV249" s="0" t="n">
        <f aca="false">MIN(AM249,MAX(0,$AP249-SUMPRODUCT(($AH$1:$AO$1&lt;AM$1)*$AH249:$AO249)))</f>
        <v>0</v>
      </c>
      <c r="AW249" s="0" t="n">
        <f aca="false">MIN(AN249,MAX(0,$AP249-SUMPRODUCT(($AH$1:$AO$1&lt;AN$1)*$AH249:$AO249)))</f>
        <v>0</v>
      </c>
      <c r="AX249" s="0" t="n">
        <f aca="false">MIN(AO249,MAX(0,$AP249-SUMPRODUCT(($AH$1:$AO$1&lt;AO$1)*$AH249:$AO249)))</f>
        <v>0</v>
      </c>
      <c r="AY249" s="0" t="n">
        <f aca="false">ROUND(AH249-AQ249,2)</f>
        <v>0</v>
      </c>
      <c r="AZ249" s="0" t="n">
        <f aca="false">ROUND(AI249-AR249,2)</f>
        <v>0</v>
      </c>
      <c r="BA249" s="0" t="n">
        <f aca="false">ROUND(AJ249-AS249,2)</f>
        <v>0</v>
      </c>
      <c r="BB249" s="0" t="n">
        <f aca="false">ROUND(AK249-AT249,2)</f>
        <v>0</v>
      </c>
      <c r="BC249" s="0" t="n">
        <f aca="false">ROUND(AL249-AU249,2)</f>
        <v>0</v>
      </c>
      <c r="BD249" s="0" t="n">
        <f aca="false">ROUND(AM249-AV249,2)</f>
        <v>0</v>
      </c>
      <c r="BE249" s="0" t="n">
        <f aca="false">ROUND(AN249-AW249,2)</f>
        <v>0</v>
      </c>
      <c r="BF249" s="0" t="n">
        <f aca="false">ROUND(AO249-AX249,2)</f>
        <v>0</v>
      </c>
      <c r="BG249" s="0" t="n">
        <f aca="false">SUM(AY249:BF249)</f>
        <v>0</v>
      </c>
    </row>
    <row r="250" customFormat="false" ht="15" hidden="false" customHeight="false" outlineLevel="0" collapsed="false">
      <c r="A250" s="0" t="n">
        <v>248</v>
      </c>
      <c r="B250" s="0" t="n">
        <f aca="false">AY249</f>
        <v>0</v>
      </c>
      <c r="C250" s="0" t="n">
        <f aca="false">AZ249</f>
        <v>0</v>
      </c>
      <c r="D250" s="0" t="n">
        <f aca="false">BA249</f>
        <v>0</v>
      </c>
      <c r="E250" s="0" t="n">
        <f aca="false">BB249</f>
        <v>0</v>
      </c>
      <c r="F250" s="0" t="n">
        <f aca="false">BC249</f>
        <v>0</v>
      </c>
      <c r="G250" s="0" t="n">
        <f aca="false">BD249</f>
        <v>0</v>
      </c>
      <c r="H250" s="0" t="n">
        <f aca="false">BE249</f>
        <v>0</v>
      </c>
      <c r="I250" s="0" t="n">
        <f aca="false">BF249</f>
        <v>0</v>
      </c>
      <c r="J250" s="0" t="n">
        <f aca="false">B250*N('Debt Payoff'!D9)/12</f>
        <v>0</v>
      </c>
      <c r="K250" s="0" t="n">
        <f aca="false">C250*N('Debt Payoff'!D10)/12</f>
        <v>0</v>
      </c>
      <c r="L250" s="0" t="n">
        <f aca="false">D250*N('Debt Payoff'!D11)/12</f>
        <v>0</v>
      </c>
      <c r="M250" s="0" t="n">
        <f aca="false">E250*N('Debt Payoff'!D12)/12</f>
        <v>0</v>
      </c>
      <c r="N250" s="0" t="n">
        <f aca="false">F250*N('Debt Payoff'!D13)/12</f>
        <v>0</v>
      </c>
      <c r="O250" s="0" t="n">
        <f aca="false">G250*N('Debt Payoff'!D14)/12</f>
        <v>0</v>
      </c>
      <c r="P250" s="0" t="n">
        <f aca="false">H250*N('Debt Payoff'!D15)/12</f>
        <v>0</v>
      </c>
      <c r="Q250" s="0" t="n">
        <f aca="false">I250*N('Debt Payoff'!D16)/12</f>
        <v>0</v>
      </c>
      <c r="R250" s="0" t="n">
        <f aca="false">B250+J250</f>
        <v>0</v>
      </c>
      <c r="S250" s="0" t="n">
        <f aca="false">C250+K250</f>
        <v>0</v>
      </c>
      <c r="T250" s="0" t="n">
        <f aca="false">D250+L250</f>
        <v>0</v>
      </c>
      <c r="U250" s="0" t="n">
        <f aca="false">E250+M250</f>
        <v>0</v>
      </c>
      <c r="V250" s="0" t="n">
        <f aca="false">F250+N250</f>
        <v>0</v>
      </c>
      <c r="W250" s="0" t="n">
        <f aca="false">G250+O250</f>
        <v>0</v>
      </c>
      <c r="X250" s="0" t="n">
        <f aca="false">H250+P250</f>
        <v>0</v>
      </c>
      <c r="Y250" s="0" t="n">
        <f aca="false">I250+Q250</f>
        <v>0</v>
      </c>
      <c r="Z250" s="0" t="n">
        <f aca="false">MIN(R250,N('Debt Payoff'!E9))</f>
        <v>0</v>
      </c>
      <c r="AA250" s="0" t="n">
        <f aca="false">MIN(S250,N('Debt Payoff'!E10))</f>
        <v>0</v>
      </c>
      <c r="AB250" s="0" t="n">
        <f aca="false">MIN(T250,N('Debt Payoff'!E11))</f>
        <v>0</v>
      </c>
      <c r="AC250" s="0" t="n">
        <f aca="false">MIN(U250,N('Debt Payoff'!E12))</f>
        <v>0</v>
      </c>
      <c r="AD250" s="0" t="n">
        <f aca="false">MIN(V250,N('Debt Payoff'!E13))</f>
        <v>0</v>
      </c>
      <c r="AE250" s="0" t="n">
        <f aca="false">MIN(W250,N('Debt Payoff'!E14))</f>
        <v>0</v>
      </c>
      <c r="AF250" s="0" t="n">
        <f aca="false">MIN(X250,N('Debt Payoff'!E15))</f>
        <v>0</v>
      </c>
      <c r="AG250" s="0" t="n">
        <f aca="false">MIN(Y250,N('Debt Payoff'!E16))</f>
        <v>0</v>
      </c>
      <c r="AH250" s="0" t="n">
        <f aca="false">R250-Z250</f>
        <v>0</v>
      </c>
      <c r="AI250" s="0" t="n">
        <f aca="false">S250-AA250</f>
        <v>0</v>
      </c>
      <c r="AJ250" s="0" t="n">
        <f aca="false">T250-AB250</f>
        <v>0</v>
      </c>
      <c r="AK250" s="0" t="n">
        <f aca="false">U250-AC250</f>
        <v>0</v>
      </c>
      <c r="AL250" s="0" t="n">
        <f aca="false">V250-AD250</f>
        <v>0</v>
      </c>
      <c r="AM250" s="0" t="n">
        <f aca="false">W250-AE250</f>
        <v>0</v>
      </c>
      <c r="AN250" s="0" t="n">
        <f aca="false">X250-AF250</f>
        <v>0</v>
      </c>
      <c r="AO250" s="0" t="n">
        <f aca="false">Y250-AG250</f>
        <v>0</v>
      </c>
      <c r="AP250" s="0" t="n">
        <f aca="false">MAX(0,'Debt Payoff'!$D$17-SUM(Z250:AG250))</f>
        <v>805</v>
      </c>
      <c r="AQ250" s="0" t="n">
        <f aca="false">MIN(AH250,MAX(0,$AP250-SUMPRODUCT(($AH$1:$AO$1&lt;AH$1)*$AH250:$AO250)))</f>
        <v>0</v>
      </c>
      <c r="AR250" s="0" t="n">
        <f aca="false">MIN(AI250,MAX(0,$AP250-SUMPRODUCT(($AH$1:$AO$1&lt;AI$1)*$AH250:$AO250)))</f>
        <v>0</v>
      </c>
      <c r="AS250" s="0" t="n">
        <f aca="false">MIN(AJ250,MAX(0,$AP250-SUMPRODUCT(($AH$1:$AO$1&lt;AJ$1)*$AH250:$AO250)))</f>
        <v>0</v>
      </c>
      <c r="AT250" s="0" t="n">
        <f aca="false">MIN(AK250,MAX(0,$AP250-SUMPRODUCT(($AH$1:$AO$1&lt;AK$1)*$AH250:$AO250)))</f>
        <v>0</v>
      </c>
      <c r="AU250" s="0" t="n">
        <f aca="false">MIN(AL250,MAX(0,$AP250-SUMPRODUCT(($AH$1:$AO$1&lt;AL$1)*$AH250:$AO250)))</f>
        <v>0</v>
      </c>
      <c r="AV250" s="0" t="n">
        <f aca="false">MIN(AM250,MAX(0,$AP250-SUMPRODUCT(($AH$1:$AO$1&lt;AM$1)*$AH250:$AO250)))</f>
        <v>0</v>
      </c>
      <c r="AW250" s="0" t="n">
        <f aca="false">MIN(AN250,MAX(0,$AP250-SUMPRODUCT(($AH$1:$AO$1&lt;AN$1)*$AH250:$AO250)))</f>
        <v>0</v>
      </c>
      <c r="AX250" s="0" t="n">
        <f aca="false">MIN(AO250,MAX(0,$AP250-SUMPRODUCT(($AH$1:$AO$1&lt;AO$1)*$AH250:$AO250)))</f>
        <v>0</v>
      </c>
      <c r="AY250" s="0" t="n">
        <f aca="false">ROUND(AH250-AQ250,2)</f>
        <v>0</v>
      </c>
      <c r="AZ250" s="0" t="n">
        <f aca="false">ROUND(AI250-AR250,2)</f>
        <v>0</v>
      </c>
      <c r="BA250" s="0" t="n">
        <f aca="false">ROUND(AJ250-AS250,2)</f>
        <v>0</v>
      </c>
      <c r="BB250" s="0" t="n">
        <f aca="false">ROUND(AK250-AT250,2)</f>
        <v>0</v>
      </c>
      <c r="BC250" s="0" t="n">
        <f aca="false">ROUND(AL250-AU250,2)</f>
        <v>0</v>
      </c>
      <c r="BD250" s="0" t="n">
        <f aca="false">ROUND(AM250-AV250,2)</f>
        <v>0</v>
      </c>
      <c r="BE250" s="0" t="n">
        <f aca="false">ROUND(AN250-AW250,2)</f>
        <v>0</v>
      </c>
      <c r="BF250" s="0" t="n">
        <f aca="false">ROUND(AO250-AX250,2)</f>
        <v>0</v>
      </c>
      <c r="BG250" s="0" t="n">
        <f aca="false">SUM(AY250:BF250)</f>
        <v>0</v>
      </c>
    </row>
    <row r="251" customFormat="false" ht="15" hidden="false" customHeight="false" outlineLevel="0" collapsed="false">
      <c r="A251" s="0" t="n">
        <v>249</v>
      </c>
      <c r="B251" s="0" t="n">
        <f aca="false">AY250</f>
        <v>0</v>
      </c>
      <c r="C251" s="0" t="n">
        <f aca="false">AZ250</f>
        <v>0</v>
      </c>
      <c r="D251" s="0" t="n">
        <f aca="false">BA250</f>
        <v>0</v>
      </c>
      <c r="E251" s="0" t="n">
        <f aca="false">BB250</f>
        <v>0</v>
      </c>
      <c r="F251" s="0" t="n">
        <f aca="false">BC250</f>
        <v>0</v>
      </c>
      <c r="G251" s="0" t="n">
        <f aca="false">BD250</f>
        <v>0</v>
      </c>
      <c r="H251" s="0" t="n">
        <f aca="false">BE250</f>
        <v>0</v>
      </c>
      <c r="I251" s="0" t="n">
        <f aca="false">BF250</f>
        <v>0</v>
      </c>
      <c r="J251" s="0" t="n">
        <f aca="false">B251*N('Debt Payoff'!D9)/12</f>
        <v>0</v>
      </c>
      <c r="K251" s="0" t="n">
        <f aca="false">C251*N('Debt Payoff'!D10)/12</f>
        <v>0</v>
      </c>
      <c r="L251" s="0" t="n">
        <f aca="false">D251*N('Debt Payoff'!D11)/12</f>
        <v>0</v>
      </c>
      <c r="M251" s="0" t="n">
        <f aca="false">E251*N('Debt Payoff'!D12)/12</f>
        <v>0</v>
      </c>
      <c r="N251" s="0" t="n">
        <f aca="false">F251*N('Debt Payoff'!D13)/12</f>
        <v>0</v>
      </c>
      <c r="O251" s="0" t="n">
        <f aca="false">G251*N('Debt Payoff'!D14)/12</f>
        <v>0</v>
      </c>
      <c r="P251" s="0" t="n">
        <f aca="false">H251*N('Debt Payoff'!D15)/12</f>
        <v>0</v>
      </c>
      <c r="Q251" s="0" t="n">
        <f aca="false">I251*N('Debt Payoff'!D16)/12</f>
        <v>0</v>
      </c>
      <c r="R251" s="0" t="n">
        <f aca="false">B251+J251</f>
        <v>0</v>
      </c>
      <c r="S251" s="0" t="n">
        <f aca="false">C251+K251</f>
        <v>0</v>
      </c>
      <c r="T251" s="0" t="n">
        <f aca="false">D251+L251</f>
        <v>0</v>
      </c>
      <c r="U251" s="0" t="n">
        <f aca="false">E251+M251</f>
        <v>0</v>
      </c>
      <c r="V251" s="0" t="n">
        <f aca="false">F251+N251</f>
        <v>0</v>
      </c>
      <c r="W251" s="0" t="n">
        <f aca="false">G251+O251</f>
        <v>0</v>
      </c>
      <c r="X251" s="0" t="n">
        <f aca="false">H251+P251</f>
        <v>0</v>
      </c>
      <c r="Y251" s="0" t="n">
        <f aca="false">I251+Q251</f>
        <v>0</v>
      </c>
      <c r="Z251" s="0" t="n">
        <f aca="false">MIN(R251,N('Debt Payoff'!E9))</f>
        <v>0</v>
      </c>
      <c r="AA251" s="0" t="n">
        <f aca="false">MIN(S251,N('Debt Payoff'!E10))</f>
        <v>0</v>
      </c>
      <c r="AB251" s="0" t="n">
        <f aca="false">MIN(T251,N('Debt Payoff'!E11))</f>
        <v>0</v>
      </c>
      <c r="AC251" s="0" t="n">
        <f aca="false">MIN(U251,N('Debt Payoff'!E12))</f>
        <v>0</v>
      </c>
      <c r="AD251" s="0" t="n">
        <f aca="false">MIN(V251,N('Debt Payoff'!E13))</f>
        <v>0</v>
      </c>
      <c r="AE251" s="0" t="n">
        <f aca="false">MIN(W251,N('Debt Payoff'!E14))</f>
        <v>0</v>
      </c>
      <c r="AF251" s="0" t="n">
        <f aca="false">MIN(X251,N('Debt Payoff'!E15))</f>
        <v>0</v>
      </c>
      <c r="AG251" s="0" t="n">
        <f aca="false">MIN(Y251,N('Debt Payoff'!E16))</f>
        <v>0</v>
      </c>
      <c r="AH251" s="0" t="n">
        <f aca="false">R251-Z251</f>
        <v>0</v>
      </c>
      <c r="AI251" s="0" t="n">
        <f aca="false">S251-AA251</f>
        <v>0</v>
      </c>
      <c r="AJ251" s="0" t="n">
        <f aca="false">T251-AB251</f>
        <v>0</v>
      </c>
      <c r="AK251" s="0" t="n">
        <f aca="false">U251-AC251</f>
        <v>0</v>
      </c>
      <c r="AL251" s="0" t="n">
        <f aca="false">V251-AD251</f>
        <v>0</v>
      </c>
      <c r="AM251" s="0" t="n">
        <f aca="false">W251-AE251</f>
        <v>0</v>
      </c>
      <c r="AN251" s="0" t="n">
        <f aca="false">X251-AF251</f>
        <v>0</v>
      </c>
      <c r="AO251" s="0" t="n">
        <f aca="false">Y251-AG251</f>
        <v>0</v>
      </c>
      <c r="AP251" s="0" t="n">
        <f aca="false">MAX(0,'Debt Payoff'!$D$17-SUM(Z251:AG251))</f>
        <v>805</v>
      </c>
      <c r="AQ251" s="0" t="n">
        <f aca="false">MIN(AH251,MAX(0,$AP251-SUMPRODUCT(($AH$1:$AO$1&lt;AH$1)*$AH251:$AO251)))</f>
        <v>0</v>
      </c>
      <c r="AR251" s="0" t="n">
        <f aca="false">MIN(AI251,MAX(0,$AP251-SUMPRODUCT(($AH$1:$AO$1&lt;AI$1)*$AH251:$AO251)))</f>
        <v>0</v>
      </c>
      <c r="AS251" s="0" t="n">
        <f aca="false">MIN(AJ251,MAX(0,$AP251-SUMPRODUCT(($AH$1:$AO$1&lt;AJ$1)*$AH251:$AO251)))</f>
        <v>0</v>
      </c>
      <c r="AT251" s="0" t="n">
        <f aca="false">MIN(AK251,MAX(0,$AP251-SUMPRODUCT(($AH$1:$AO$1&lt;AK$1)*$AH251:$AO251)))</f>
        <v>0</v>
      </c>
      <c r="AU251" s="0" t="n">
        <f aca="false">MIN(AL251,MAX(0,$AP251-SUMPRODUCT(($AH$1:$AO$1&lt;AL$1)*$AH251:$AO251)))</f>
        <v>0</v>
      </c>
      <c r="AV251" s="0" t="n">
        <f aca="false">MIN(AM251,MAX(0,$AP251-SUMPRODUCT(($AH$1:$AO$1&lt;AM$1)*$AH251:$AO251)))</f>
        <v>0</v>
      </c>
      <c r="AW251" s="0" t="n">
        <f aca="false">MIN(AN251,MAX(0,$AP251-SUMPRODUCT(($AH$1:$AO$1&lt;AN$1)*$AH251:$AO251)))</f>
        <v>0</v>
      </c>
      <c r="AX251" s="0" t="n">
        <f aca="false">MIN(AO251,MAX(0,$AP251-SUMPRODUCT(($AH$1:$AO$1&lt;AO$1)*$AH251:$AO251)))</f>
        <v>0</v>
      </c>
      <c r="AY251" s="0" t="n">
        <f aca="false">ROUND(AH251-AQ251,2)</f>
        <v>0</v>
      </c>
      <c r="AZ251" s="0" t="n">
        <f aca="false">ROUND(AI251-AR251,2)</f>
        <v>0</v>
      </c>
      <c r="BA251" s="0" t="n">
        <f aca="false">ROUND(AJ251-AS251,2)</f>
        <v>0</v>
      </c>
      <c r="BB251" s="0" t="n">
        <f aca="false">ROUND(AK251-AT251,2)</f>
        <v>0</v>
      </c>
      <c r="BC251" s="0" t="n">
        <f aca="false">ROUND(AL251-AU251,2)</f>
        <v>0</v>
      </c>
      <c r="BD251" s="0" t="n">
        <f aca="false">ROUND(AM251-AV251,2)</f>
        <v>0</v>
      </c>
      <c r="BE251" s="0" t="n">
        <f aca="false">ROUND(AN251-AW251,2)</f>
        <v>0</v>
      </c>
      <c r="BF251" s="0" t="n">
        <f aca="false">ROUND(AO251-AX251,2)</f>
        <v>0</v>
      </c>
      <c r="BG251" s="0" t="n">
        <f aca="false">SUM(AY251:BF251)</f>
        <v>0</v>
      </c>
    </row>
    <row r="252" customFormat="false" ht="15" hidden="false" customHeight="false" outlineLevel="0" collapsed="false">
      <c r="A252" s="0" t="n">
        <v>250</v>
      </c>
      <c r="B252" s="0" t="n">
        <f aca="false">AY251</f>
        <v>0</v>
      </c>
      <c r="C252" s="0" t="n">
        <f aca="false">AZ251</f>
        <v>0</v>
      </c>
      <c r="D252" s="0" t="n">
        <f aca="false">BA251</f>
        <v>0</v>
      </c>
      <c r="E252" s="0" t="n">
        <f aca="false">BB251</f>
        <v>0</v>
      </c>
      <c r="F252" s="0" t="n">
        <f aca="false">BC251</f>
        <v>0</v>
      </c>
      <c r="G252" s="0" t="n">
        <f aca="false">BD251</f>
        <v>0</v>
      </c>
      <c r="H252" s="0" t="n">
        <f aca="false">BE251</f>
        <v>0</v>
      </c>
      <c r="I252" s="0" t="n">
        <f aca="false">BF251</f>
        <v>0</v>
      </c>
      <c r="J252" s="0" t="n">
        <f aca="false">B252*N('Debt Payoff'!D9)/12</f>
        <v>0</v>
      </c>
      <c r="K252" s="0" t="n">
        <f aca="false">C252*N('Debt Payoff'!D10)/12</f>
        <v>0</v>
      </c>
      <c r="L252" s="0" t="n">
        <f aca="false">D252*N('Debt Payoff'!D11)/12</f>
        <v>0</v>
      </c>
      <c r="M252" s="0" t="n">
        <f aca="false">E252*N('Debt Payoff'!D12)/12</f>
        <v>0</v>
      </c>
      <c r="N252" s="0" t="n">
        <f aca="false">F252*N('Debt Payoff'!D13)/12</f>
        <v>0</v>
      </c>
      <c r="O252" s="0" t="n">
        <f aca="false">G252*N('Debt Payoff'!D14)/12</f>
        <v>0</v>
      </c>
      <c r="P252" s="0" t="n">
        <f aca="false">H252*N('Debt Payoff'!D15)/12</f>
        <v>0</v>
      </c>
      <c r="Q252" s="0" t="n">
        <f aca="false">I252*N('Debt Payoff'!D16)/12</f>
        <v>0</v>
      </c>
      <c r="R252" s="0" t="n">
        <f aca="false">B252+J252</f>
        <v>0</v>
      </c>
      <c r="S252" s="0" t="n">
        <f aca="false">C252+K252</f>
        <v>0</v>
      </c>
      <c r="T252" s="0" t="n">
        <f aca="false">D252+L252</f>
        <v>0</v>
      </c>
      <c r="U252" s="0" t="n">
        <f aca="false">E252+M252</f>
        <v>0</v>
      </c>
      <c r="V252" s="0" t="n">
        <f aca="false">F252+N252</f>
        <v>0</v>
      </c>
      <c r="W252" s="0" t="n">
        <f aca="false">G252+O252</f>
        <v>0</v>
      </c>
      <c r="X252" s="0" t="n">
        <f aca="false">H252+P252</f>
        <v>0</v>
      </c>
      <c r="Y252" s="0" t="n">
        <f aca="false">I252+Q252</f>
        <v>0</v>
      </c>
      <c r="Z252" s="0" t="n">
        <f aca="false">MIN(R252,N('Debt Payoff'!E9))</f>
        <v>0</v>
      </c>
      <c r="AA252" s="0" t="n">
        <f aca="false">MIN(S252,N('Debt Payoff'!E10))</f>
        <v>0</v>
      </c>
      <c r="AB252" s="0" t="n">
        <f aca="false">MIN(T252,N('Debt Payoff'!E11))</f>
        <v>0</v>
      </c>
      <c r="AC252" s="0" t="n">
        <f aca="false">MIN(U252,N('Debt Payoff'!E12))</f>
        <v>0</v>
      </c>
      <c r="AD252" s="0" t="n">
        <f aca="false">MIN(V252,N('Debt Payoff'!E13))</f>
        <v>0</v>
      </c>
      <c r="AE252" s="0" t="n">
        <f aca="false">MIN(W252,N('Debt Payoff'!E14))</f>
        <v>0</v>
      </c>
      <c r="AF252" s="0" t="n">
        <f aca="false">MIN(X252,N('Debt Payoff'!E15))</f>
        <v>0</v>
      </c>
      <c r="AG252" s="0" t="n">
        <f aca="false">MIN(Y252,N('Debt Payoff'!E16))</f>
        <v>0</v>
      </c>
      <c r="AH252" s="0" t="n">
        <f aca="false">R252-Z252</f>
        <v>0</v>
      </c>
      <c r="AI252" s="0" t="n">
        <f aca="false">S252-AA252</f>
        <v>0</v>
      </c>
      <c r="AJ252" s="0" t="n">
        <f aca="false">T252-AB252</f>
        <v>0</v>
      </c>
      <c r="AK252" s="0" t="n">
        <f aca="false">U252-AC252</f>
        <v>0</v>
      </c>
      <c r="AL252" s="0" t="n">
        <f aca="false">V252-AD252</f>
        <v>0</v>
      </c>
      <c r="AM252" s="0" t="n">
        <f aca="false">W252-AE252</f>
        <v>0</v>
      </c>
      <c r="AN252" s="0" t="n">
        <f aca="false">X252-AF252</f>
        <v>0</v>
      </c>
      <c r="AO252" s="0" t="n">
        <f aca="false">Y252-AG252</f>
        <v>0</v>
      </c>
      <c r="AP252" s="0" t="n">
        <f aca="false">MAX(0,'Debt Payoff'!$D$17-SUM(Z252:AG252))</f>
        <v>805</v>
      </c>
      <c r="AQ252" s="0" t="n">
        <f aca="false">MIN(AH252,MAX(0,$AP252-SUMPRODUCT(($AH$1:$AO$1&lt;AH$1)*$AH252:$AO252)))</f>
        <v>0</v>
      </c>
      <c r="AR252" s="0" t="n">
        <f aca="false">MIN(AI252,MAX(0,$AP252-SUMPRODUCT(($AH$1:$AO$1&lt;AI$1)*$AH252:$AO252)))</f>
        <v>0</v>
      </c>
      <c r="AS252" s="0" t="n">
        <f aca="false">MIN(AJ252,MAX(0,$AP252-SUMPRODUCT(($AH$1:$AO$1&lt;AJ$1)*$AH252:$AO252)))</f>
        <v>0</v>
      </c>
      <c r="AT252" s="0" t="n">
        <f aca="false">MIN(AK252,MAX(0,$AP252-SUMPRODUCT(($AH$1:$AO$1&lt;AK$1)*$AH252:$AO252)))</f>
        <v>0</v>
      </c>
      <c r="AU252" s="0" t="n">
        <f aca="false">MIN(AL252,MAX(0,$AP252-SUMPRODUCT(($AH$1:$AO$1&lt;AL$1)*$AH252:$AO252)))</f>
        <v>0</v>
      </c>
      <c r="AV252" s="0" t="n">
        <f aca="false">MIN(AM252,MAX(0,$AP252-SUMPRODUCT(($AH$1:$AO$1&lt;AM$1)*$AH252:$AO252)))</f>
        <v>0</v>
      </c>
      <c r="AW252" s="0" t="n">
        <f aca="false">MIN(AN252,MAX(0,$AP252-SUMPRODUCT(($AH$1:$AO$1&lt;AN$1)*$AH252:$AO252)))</f>
        <v>0</v>
      </c>
      <c r="AX252" s="0" t="n">
        <f aca="false">MIN(AO252,MAX(0,$AP252-SUMPRODUCT(($AH$1:$AO$1&lt;AO$1)*$AH252:$AO252)))</f>
        <v>0</v>
      </c>
      <c r="AY252" s="0" t="n">
        <f aca="false">ROUND(AH252-AQ252,2)</f>
        <v>0</v>
      </c>
      <c r="AZ252" s="0" t="n">
        <f aca="false">ROUND(AI252-AR252,2)</f>
        <v>0</v>
      </c>
      <c r="BA252" s="0" t="n">
        <f aca="false">ROUND(AJ252-AS252,2)</f>
        <v>0</v>
      </c>
      <c r="BB252" s="0" t="n">
        <f aca="false">ROUND(AK252-AT252,2)</f>
        <v>0</v>
      </c>
      <c r="BC252" s="0" t="n">
        <f aca="false">ROUND(AL252-AU252,2)</f>
        <v>0</v>
      </c>
      <c r="BD252" s="0" t="n">
        <f aca="false">ROUND(AM252-AV252,2)</f>
        <v>0</v>
      </c>
      <c r="BE252" s="0" t="n">
        <f aca="false">ROUND(AN252-AW252,2)</f>
        <v>0</v>
      </c>
      <c r="BF252" s="0" t="n">
        <f aca="false">ROUND(AO252-AX252,2)</f>
        <v>0</v>
      </c>
      <c r="BG252" s="0" t="n">
        <f aca="false">SUM(AY252:BF252)</f>
        <v>0</v>
      </c>
    </row>
    <row r="253" customFormat="false" ht="15" hidden="false" customHeight="false" outlineLevel="0" collapsed="false">
      <c r="A253" s="0" t="n">
        <v>251</v>
      </c>
      <c r="B253" s="0" t="n">
        <f aca="false">AY252</f>
        <v>0</v>
      </c>
      <c r="C253" s="0" t="n">
        <f aca="false">AZ252</f>
        <v>0</v>
      </c>
      <c r="D253" s="0" t="n">
        <f aca="false">BA252</f>
        <v>0</v>
      </c>
      <c r="E253" s="0" t="n">
        <f aca="false">BB252</f>
        <v>0</v>
      </c>
      <c r="F253" s="0" t="n">
        <f aca="false">BC252</f>
        <v>0</v>
      </c>
      <c r="G253" s="0" t="n">
        <f aca="false">BD252</f>
        <v>0</v>
      </c>
      <c r="H253" s="0" t="n">
        <f aca="false">BE252</f>
        <v>0</v>
      </c>
      <c r="I253" s="0" t="n">
        <f aca="false">BF252</f>
        <v>0</v>
      </c>
      <c r="J253" s="0" t="n">
        <f aca="false">B253*N('Debt Payoff'!D9)/12</f>
        <v>0</v>
      </c>
      <c r="K253" s="0" t="n">
        <f aca="false">C253*N('Debt Payoff'!D10)/12</f>
        <v>0</v>
      </c>
      <c r="L253" s="0" t="n">
        <f aca="false">D253*N('Debt Payoff'!D11)/12</f>
        <v>0</v>
      </c>
      <c r="M253" s="0" t="n">
        <f aca="false">E253*N('Debt Payoff'!D12)/12</f>
        <v>0</v>
      </c>
      <c r="N253" s="0" t="n">
        <f aca="false">F253*N('Debt Payoff'!D13)/12</f>
        <v>0</v>
      </c>
      <c r="O253" s="0" t="n">
        <f aca="false">G253*N('Debt Payoff'!D14)/12</f>
        <v>0</v>
      </c>
      <c r="P253" s="0" t="n">
        <f aca="false">H253*N('Debt Payoff'!D15)/12</f>
        <v>0</v>
      </c>
      <c r="Q253" s="0" t="n">
        <f aca="false">I253*N('Debt Payoff'!D16)/12</f>
        <v>0</v>
      </c>
      <c r="R253" s="0" t="n">
        <f aca="false">B253+J253</f>
        <v>0</v>
      </c>
      <c r="S253" s="0" t="n">
        <f aca="false">C253+K253</f>
        <v>0</v>
      </c>
      <c r="T253" s="0" t="n">
        <f aca="false">D253+L253</f>
        <v>0</v>
      </c>
      <c r="U253" s="0" t="n">
        <f aca="false">E253+M253</f>
        <v>0</v>
      </c>
      <c r="V253" s="0" t="n">
        <f aca="false">F253+N253</f>
        <v>0</v>
      </c>
      <c r="W253" s="0" t="n">
        <f aca="false">G253+O253</f>
        <v>0</v>
      </c>
      <c r="X253" s="0" t="n">
        <f aca="false">H253+P253</f>
        <v>0</v>
      </c>
      <c r="Y253" s="0" t="n">
        <f aca="false">I253+Q253</f>
        <v>0</v>
      </c>
      <c r="Z253" s="0" t="n">
        <f aca="false">MIN(R253,N('Debt Payoff'!E9))</f>
        <v>0</v>
      </c>
      <c r="AA253" s="0" t="n">
        <f aca="false">MIN(S253,N('Debt Payoff'!E10))</f>
        <v>0</v>
      </c>
      <c r="AB253" s="0" t="n">
        <f aca="false">MIN(T253,N('Debt Payoff'!E11))</f>
        <v>0</v>
      </c>
      <c r="AC253" s="0" t="n">
        <f aca="false">MIN(U253,N('Debt Payoff'!E12))</f>
        <v>0</v>
      </c>
      <c r="AD253" s="0" t="n">
        <f aca="false">MIN(V253,N('Debt Payoff'!E13))</f>
        <v>0</v>
      </c>
      <c r="AE253" s="0" t="n">
        <f aca="false">MIN(W253,N('Debt Payoff'!E14))</f>
        <v>0</v>
      </c>
      <c r="AF253" s="0" t="n">
        <f aca="false">MIN(X253,N('Debt Payoff'!E15))</f>
        <v>0</v>
      </c>
      <c r="AG253" s="0" t="n">
        <f aca="false">MIN(Y253,N('Debt Payoff'!E16))</f>
        <v>0</v>
      </c>
      <c r="AH253" s="0" t="n">
        <f aca="false">R253-Z253</f>
        <v>0</v>
      </c>
      <c r="AI253" s="0" t="n">
        <f aca="false">S253-AA253</f>
        <v>0</v>
      </c>
      <c r="AJ253" s="0" t="n">
        <f aca="false">T253-AB253</f>
        <v>0</v>
      </c>
      <c r="AK253" s="0" t="n">
        <f aca="false">U253-AC253</f>
        <v>0</v>
      </c>
      <c r="AL253" s="0" t="n">
        <f aca="false">V253-AD253</f>
        <v>0</v>
      </c>
      <c r="AM253" s="0" t="n">
        <f aca="false">W253-AE253</f>
        <v>0</v>
      </c>
      <c r="AN253" s="0" t="n">
        <f aca="false">X253-AF253</f>
        <v>0</v>
      </c>
      <c r="AO253" s="0" t="n">
        <f aca="false">Y253-AG253</f>
        <v>0</v>
      </c>
      <c r="AP253" s="0" t="n">
        <f aca="false">MAX(0,'Debt Payoff'!$D$17-SUM(Z253:AG253))</f>
        <v>805</v>
      </c>
      <c r="AQ253" s="0" t="n">
        <f aca="false">MIN(AH253,MAX(0,$AP253-SUMPRODUCT(($AH$1:$AO$1&lt;AH$1)*$AH253:$AO253)))</f>
        <v>0</v>
      </c>
      <c r="AR253" s="0" t="n">
        <f aca="false">MIN(AI253,MAX(0,$AP253-SUMPRODUCT(($AH$1:$AO$1&lt;AI$1)*$AH253:$AO253)))</f>
        <v>0</v>
      </c>
      <c r="AS253" s="0" t="n">
        <f aca="false">MIN(AJ253,MAX(0,$AP253-SUMPRODUCT(($AH$1:$AO$1&lt;AJ$1)*$AH253:$AO253)))</f>
        <v>0</v>
      </c>
      <c r="AT253" s="0" t="n">
        <f aca="false">MIN(AK253,MAX(0,$AP253-SUMPRODUCT(($AH$1:$AO$1&lt;AK$1)*$AH253:$AO253)))</f>
        <v>0</v>
      </c>
      <c r="AU253" s="0" t="n">
        <f aca="false">MIN(AL253,MAX(0,$AP253-SUMPRODUCT(($AH$1:$AO$1&lt;AL$1)*$AH253:$AO253)))</f>
        <v>0</v>
      </c>
      <c r="AV253" s="0" t="n">
        <f aca="false">MIN(AM253,MAX(0,$AP253-SUMPRODUCT(($AH$1:$AO$1&lt;AM$1)*$AH253:$AO253)))</f>
        <v>0</v>
      </c>
      <c r="AW253" s="0" t="n">
        <f aca="false">MIN(AN253,MAX(0,$AP253-SUMPRODUCT(($AH$1:$AO$1&lt;AN$1)*$AH253:$AO253)))</f>
        <v>0</v>
      </c>
      <c r="AX253" s="0" t="n">
        <f aca="false">MIN(AO253,MAX(0,$AP253-SUMPRODUCT(($AH$1:$AO$1&lt;AO$1)*$AH253:$AO253)))</f>
        <v>0</v>
      </c>
      <c r="AY253" s="0" t="n">
        <f aca="false">ROUND(AH253-AQ253,2)</f>
        <v>0</v>
      </c>
      <c r="AZ253" s="0" t="n">
        <f aca="false">ROUND(AI253-AR253,2)</f>
        <v>0</v>
      </c>
      <c r="BA253" s="0" t="n">
        <f aca="false">ROUND(AJ253-AS253,2)</f>
        <v>0</v>
      </c>
      <c r="BB253" s="0" t="n">
        <f aca="false">ROUND(AK253-AT253,2)</f>
        <v>0</v>
      </c>
      <c r="BC253" s="0" t="n">
        <f aca="false">ROUND(AL253-AU253,2)</f>
        <v>0</v>
      </c>
      <c r="BD253" s="0" t="n">
        <f aca="false">ROUND(AM253-AV253,2)</f>
        <v>0</v>
      </c>
      <c r="BE253" s="0" t="n">
        <f aca="false">ROUND(AN253-AW253,2)</f>
        <v>0</v>
      </c>
      <c r="BF253" s="0" t="n">
        <f aca="false">ROUND(AO253-AX253,2)</f>
        <v>0</v>
      </c>
      <c r="BG253" s="0" t="n">
        <f aca="false">SUM(AY253:BF253)</f>
        <v>0</v>
      </c>
    </row>
    <row r="254" customFormat="false" ht="15" hidden="false" customHeight="false" outlineLevel="0" collapsed="false">
      <c r="A254" s="0" t="n">
        <v>252</v>
      </c>
      <c r="B254" s="0" t="n">
        <f aca="false">AY253</f>
        <v>0</v>
      </c>
      <c r="C254" s="0" t="n">
        <f aca="false">AZ253</f>
        <v>0</v>
      </c>
      <c r="D254" s="0" t="n">
        <f aca="false">BA253</f>
        <v>0</v>
      </c>
      <c r="E254" s="0" t="n">
        <f aca="false">BB253</f>
        <v>0</v>
      </c>
      <c r="F254" s="0" t="n">
        <f aca="false">BC253</f>
        <v>0</v>
      </c>
      <c r="G254" s="0" t="n">
        <f aca="false">BD253</f>
        <v>0</v>
      </c>
      <c r="H254" s="0" t="n">
        <f aca="false">BE253</f>
        <v>0</v>
      </c>
      <c r="I254" s="0" t="n">
        <f aca="false">BF253</f>
        <v>0</v>
      </c>
      <c r="J254" s="0" t="n">
        <f aca="false">B254*N('Debt Payoff'!D9)/12</f>
        <v>0</v>
      </c>
      <c r="K254" s="0" t="n">
        <f aca="false">C254*N('Debt Payoff'!D10)/12</f>
        <v>0</v>
      </c>
      <c r="L254" s="0" t="n">
        <f aca="false">D254*N('Debt Payoff'!D11)/12</f>
        <v>0</v>
      </c>
      <c r="M254" s="0" t="n">
        <f aca="false">E254*N('Debt Payoff'!D12)/12</f>
        <v>0</v>
      </c>
      <c r="N254" s="0" t="n">
        <f aca="false">F254*N('Debt Payoff'!D13)/12</f>
        <v>0</v>
      </c>
      <c r="O254" s="0" t="n">
        <f aca="false">G254*N('Debt Payoff'!D14)/12</f>
        <v>0</v>
      </c>
      <c r="P254" s="0" t="n">
        <f aca="false">H254*N('Debt Payoff'!D15)/12</f>
        <v>0</v>
      </c>
      <c r="Q254" s="0" t="n">
        <f aca="false">I254*N('Debt Payoff'!D16)/12</f>
        <v>0</v>
      </c>
      <c r="R254" s="0" t="n">
        <f aca="false">B254+J254</f>
        <v>0</v>
      </c>
      <c r="S254" s="0" t="n">
        <f aca="false">C254+K254</f>
        <v>0</v>
      </c>
      <c r="T254" s="0" t="n">
        <f aca="false">D254+L254</f>
        <v>0</v>
      </c>
      <c r="U254" s="0" t="n">
        <f aca="false">E254+M254</f>
        <v>0</v>
      </c>
      <c r="V254" s="0" t="n">
        <f aca="false">F254+N254</f>
        <v>0</v>
      </c>
      <c r="W254" s="0" t="n">
        <f aca="false">G254+O254</f>
        <v>0</v>
      </c>
      <c r="X254" s="0" t="n">
        <f aca="false">H254+P254</f>
        <v>0</v>
      </c>
      <c r="Y254" s="0" t="n">
        <f aca="false">I254+Q254</f>
        <v>0</v>
      </c>
      <c r="Z254" s="0" t="n">
        <f aca="false">MIN(R254,N('Debt Payoff'!E9))</f>
        <v>0</v>
      </c>
      <c r="AA254" s="0" t="n">
        <f aca="false">MIN(S254,N('Debt Payoff'!E10))</f>
        <v>0</v>
      </c>
      <c r="AB254" s="0" t="n">
        <f aca="false">MIN(T254,N('Debt Payoff'!E11))</f>
        <v>0</v>
      </c>
      <c r="AC254" s="0" t="n">
        <f aca="false">MIN(U254,N('Debt Payoff'!E12))</f>
        <v>0</v>
      </c>
      <c r="AD254" s="0" t="n">
        <f aca="false">MIN(V254,N('Debt Payoff'!E13))</f>
        <v>0</v>
      </c>
      <c r="AE254" s="0" t="n">
        <f aca="false">MIN(W254,N('Debt Payoff'!E14))</f>
        <v>0</v>
      </c>
      <c r="AF254" s="0" t="n">
        <f aca="false">MIN(X254,N('Debt Payoff'!E15))</f>
        <v>0</v>
      </c>
      <c r="AG254" s="0" t="n">
        <f aca="false">MIN(Y254,N('Debt Payoff'!E16))</f>
        <v>0</v>
      </c>
      <c r="AH254" s="0" t="n">
        <f aca="false">R254-Z254</f>
        <v>0</v>
      </c>
      <c r="AI254" s="0" t="n">
        <f aca="false">S254-AA254</f>
        <v>0</v>
      </c>
      <c r="AJ254" s="0" t="n">
        <f aca="false">T254-AB254</f>
        <v>0</v>
      </c>
      <c r="AK254" s="0" t="n">
        <f aca="false">U254-AC254</f>
        <v>0</v>
      </c>
      <c r="AL254" s="0" t="n">
        <f aca="false">V254-AD254</f>
        <v>0</v>
      </c>
      <c r="AM254" s="0" t="n">
        <f aca="false">W254-AE254</f>
        <v>0</v>
      </c>
      <c r="AN254" s="0" t="n">
        <f aca="false">X254-AF254</f>
        <v>0</v>
      </c>
      <c r="AO254" s="0" t="n">
        <f aca="false">Y254-AG254</f>
        <v>0</v>
      </c>
      <c r="AP254" s="0" t="n">
        <f aca="false">MAX(0,'Debt Payoff'!$D$17-SUM(Z254:AG254))</f>
        <v>805</v>
      </c>
      <c r="AQ254" s="0" t="n">
        <f aca="false">MIN(AH254,MAX(0,$AP254-SUMPRODUCT(($AH$1:$AO$1&lt;AH$1)*$AH254:$AO254)))</f>
        <v>0</v>
      </c>
      <c r="AR254" s="0" t="n">
        <f aca="false">MIN(AI254,MAX(0,$AP254-SUMPRODUCT(($AH$1:$AO$1&lt;AI$1)*$AH254:$AO254)))</f>
        <v>0</v>
      </c>
      <c r="AS254" s="0" t="n">
        <f aca="false">MIN(AJ254,MAX(0,$AP254-SUMPRODUCT(($AH$1:$AO$1&lt;AJ$1)*$AH254:$AO254)))</f>
        <v>0</v>
      </c>
      <c r="AT254" s="0" t="n">
        <f aca="false">MIN(AK254,MAX(0,$AP254-SUMPRODUCT(($AH$1:$AO$1&lt;AK$1)*$AH254:$AO254)))</f>
        <v>0</v>
      </c>
      <c r="AU254" s="0" t="n">
        <f aca="false">MIN(AL254,MAX(0,$AP254-SUMPRODUCT(($AH$1:$AO$1&lt;AL$1)*$AH254:$AO254)))</f>
        <v>0</v>
      </c>
      <c r="AV254" s="0" t="n">
        <f aca="false">MIN(AM254,MAX(0,$AP254-SUMPRODUCT(($AH$1:$AO$1&lt;AM$1)*$AH254:$AO254)))</f>
        <v>0</v>
      </c>
      <c r="AW254" s="0" t="n">
        <f aca="false">MIN(AN254,MAX(0,$AP254-SUMPRODUCT(($AH$1:$AO$1&lt;AN$1)*$AH254:$AO254)))</f>
        <v>0</v>
      </c>
      <c r="AX254" s="0" t="n">
        <f aca="false">MIN(AO254,MAX(0,$AP254-SUMPRODUCT(($AH$1:$AO$1&lt;AO$1)*$AH254:$AO254)))</f>
        <v>0</v>
      </c>
      <c r="AY254" s="0" t="n">
        <f aca="false">ROUND(AH254-AQ254,2)</f>
        <v>0</v>
      </c>
      <c r="AZ254" s="0" t="n">
        <f aca="false">ROUND(AI254-AR254,2)</f>
        <v>0</v>
      </c>
      <c r="BA254" s="0" t="n">
        <f aca="false">ROUND(AJ254-AS254,2)</f>
        <v>0</v>
      </c>
      <c r="BB254" s="0" t="n">
        <f aca="false">ROUND(AK254-AT254,2)</f>
        <v>0</v>
      </c>
      <c r="BC254" s="0" t="n">
        <f aca="false">ROUND(AL254-AU254,2)</f>
        <v>0</v>
      </c>
      <c r="BD254" s="0" t="n">
        <f aca="false">ROUND(AM254-AV254,2)</f>
        <v>0</v>
      </c>
      <c r="BE254" s="0" t="n">
        <f aca="false">ROUND(AN254-AW254,2)</f>
        <v>0</v>
      </c>
      <c r="BF254" s="0" t="n">
        <f aca="false">ROUND(AO254-AX254,2)</f>
        <v>0</v>
      </c>
      <c r="BG254" s="0" t="n">
        <f aca="false">SUM(AY254:BF254)</f>
        <v>0</v>
      </c>
    </row>
    <row r="255" customFormat="false" ht="15" hidden="false" customHeight="false" outlineLevel="0" collapsed="false">
      <c r="A255" s="0" t="n">
        <v>253</v>
      </c>
      <c r="B255" s="0" t="n">
        <f aca="false">AY254</f>
        <v>0</v>
      </c>
      <c r="C255" s="0" t="n">
        <f aca="false">AZ254</f>
        <v>0</v>
      </c>
      <c r="D255" s="0" t="n">
        <f aca="false">BA254</f>
        <v>0</v>
      </c>
      <c r="E255" s="0" t="n">
        <f aca="false">BB254</f>
        <v>0</v>
      </c>
      <c r="F255" s="0" t="n">
        <f aca="false">BC254</f>
        <v>0</v>
      </c>
      <c r="G255" s="0" t="n">
        <f aca="false">BD254</f>
        <v>0</v>
      </c>
      <c r="H255" s="0" t="n">
        <f aca="false">BE254</f>
        <v>0</v>
      </c>
      <c r="I255" s="0" t="n">
        <f aca="false">BF254</f>
        <v>0</v>
      </c>
      <c r="J255" s="0" t="n">
        <f aca="false">B255*N('Debt Payoff'!D9)/12</f>
        <v>0</v>
      </c>
      <c r="K255" s="0" t="n">
        <f aca="false">C255*N('Debt Payoff'!D10)/12</f>
        <v>0</v>
      </c>
      <c r="L255" s="0" t="n">
        <f aca="false">D255*N('Debt Payoff'!D11)/12</f>
        <v>0</v>
      </c>
      <c r="M255" s="0" t="n">
        <f aca="false">E255*N('Debt Payoff'!D12)/12</f>
        <v>0</v>
      </c>
      <c r="N255" s="0" t="n">
        <f aca="false">F255*N('Debt Payoff'!D13)/12</f>
        <v>0</v>
      </c>
      <c r="O255" s="0" t="n">
        <f aca="false">G255*N('Debt Payoff'!D14)/12</f>
        <v>0</v>
      </c>
      <c r="P255" s="0" t="n">
        <f aca="false">H255*N('Debt Payoff'!D15)/12</f>
        <v>0</v>
      </c>
      <c r="Q255" s="0" t="n">
        <f aca="false">I255*N('Debt Payoff'!D16)/12</f>
        <v>0</v>
      </c>
      <c r="R255" s="0" t="n">
        <f aca="false">B255+J255</f>
        <v>0</v>
      </c>
      <c r="S255" s="0" t="n">
        <f aca="false">C255+K255</f>
        <v>0</v>
      </c>
      <c r="T255" s="0" t="n">
        <f aca="false">D255+L255</f>
        <v>0</v>
      </c>
      <c r="U255" s="0" t="n">
        <f aca="false">E255+M255</f>
        <v>0</v>
      </c>
      <c r="V255" s="0" t="n">
        <f aca="false">F255+N255</f>
        <v>0</v>
      </c>
      <c r="W255" s="0" t="n">
        <f aca="false">G255+O255</f>
        <v>0</v>
      </c>
      <c r="X255" s="0" t="n">
        <f aca="false">H255+P255</f>
        <v>0</v>
      </c>
      <c r="Y255" s="0" t="n">
        <f aca="false">I255+Q255</f>
        <v>0</v>
      </c>
      <c r="Z255" s="0" t="n">
        <f aca="false">MIN(R255,N('Debt Payoff'!E9))</f>
        <v>0</v>
      </c>
      <c r="AA255" s="0" t="n">
        <f aca="false">MIN(S255,N('Debt Payoff'!E10))</f>
        <v>0</v>
      </c>
      <c r="AB255" s="0" t="n">
        <f aca="false">MIN(T255,N('Debt Payoff'!E11))</f>
        <v>0</v>
      </c>
      <c r="AC255" s="0" t="n">
        <f aca="false">MIN(U255,N('Debt Payoff'!E12))</f>
        <v>0</v>
      </c>
      <c r="AD255" s="0" t="n">
        <f aca="false">MIN(V255,N('Debt Payoff'!E13))</f>
        <v>0</v>
      </c>
      <c r="AE255" s="0" t="n">
        <f aca="false">MIN(W255,N('Debt Payoff'!E14))</f>
        <v>0</v>
      </c>
      <c r="AF255" s="0" t="n">
        <f aca="false">MIN(X255,N('Debt Payoff'!E15))</f>
        <v>0</v>
      </c>
      <c r="AG255" s="0" t="n">
        <f aca="false">MIN(Y255,N('Debt Payoff'!E16))</f>
        <v>0</v>
      </c>
      <c r="AH255" s="0" t="n">
        <f aca="false">R255-Z255</f>
        <v>0</v>
      </c>
      <c r="AI255" s="0" t="n">
        <f aca="false">S255-AA255</f>
        <v>0</v>
      </c>
      <c r="AJ255" s="0" t="n">
        <f aca="false">T255-AB255</f>
        <v>0</v>
      </c>
      <c r="AK255" s="0" t="n">
        <f aca="false">U255-AC255</f>
        <v>0</v>
      </c>
      <c r="AL255" s="0" t="n">
        <f aca="false">V255-AD255</f>
        <v>0</v>
      </c>
      <c r="AM255" s="0" t="n">
        <f aca="false">W255-AE255</f>
        <v>0</v>
      </c>
      <c r="AN255" s="0" t="n">
        <f aca="false">X255-AF255</f>
        <v>0</v>
      </c>
      <c r="AO255" s="0" t="n">
        <f aca="false">Y255-AG255</f>
        <v>0</v>
      </c>
      <c r="AP255" s="0" t="n">
        <f aca="false">MAX(0,'Debt Payoff'!$D$17-SUM(Z255:AG255))</f>
        <v>805</v>
      </c>
      <c r="AQ255" s="0" t="n">
        <f aca="false">MIN(AH255,MAX(0,$AP255-SUMPRODUCT(($AH$1:$AO$1&lt;AH$1)*$AH255:$AO255)))</f>
        <v>0</v>
      </c>
      <c r="AR255" s="0" t="n">
        <f aca="false">MIN(AI255,MAX(0,$AP255-SUMPRODUCT(($AH$1:$AO$1&lt;AI$1)*$AH255:$AO255)))</f>
        <v>0</v>
      </c>
      <c r="AS255" s="0" t="n">
        <f aca="false">MIN(AJ255,MAX(0,$AP255-SUMPRODUCT(($AH$1:$AO$1&lt;AJ$1)*$AH255:$AO255)))</f>
        <v>0</v>
      </c>
      <c r="AT255" s="0" t="n">
        <f aca="false">MIN(AK255,MAX(0,$AP255-SUMPRODUCT(($AH$1:$AO$1&lt;AK$1)*$AH255:$AO255)))</f>
        <v>0</v>
      </c>
      <c r="AU255" s="0" t="n">
        <f aca="false">MIN(AL255,MAX(0,$AP255-SUMPRODUCT(($AH$1:$AO$1&lt;AL$1)*$AH255:$AO255)))</f>
        <v>0</v>
      </c>
      <c r="AV255" s="0" t="n">
        <f aca="false">MIN(AM255,MAX(0,$AP255-SUMPRODUCT(($AH$1:$AO$1&lt;AM$1)*$AH255:$AO255)))</f>
        <v>0</v>
      </c>
      <c r="AW255" s="0" t="n">
        <f aca="false">MIN(AN255,MAX(0,$AP255-SUMPRODUCT(($AH$1:$AO$1&lt;AN$1)*$AH255:$AO255)))</f>
        <v>0</v>
      </c>
      <c r="AX255" s="0" t="n">
        <f aca="false">MIN(AO255,MAX(0,$AP255-SUMPRODUCT(($AH$1:$AO$1&lt;AO$1)*$AH255:$AO255)))</f>
        <v>0</v>
      </c>
      <c r="AY255" s="0" t="n">
        <f aca="false">ROUND(AH255-AQ255,2)</f>
        <v>0</v>
      </c>
      <c r="AZ255" s="0" t="n">
        <f aca="false">ROUND(AI255-AR255,2)</f>
        <v>0</v>
      </c>
      <c r="BA255" s="0" t="n">
        <f aca="false">ROUND(AJ255-AS255,2)</f>
        <v>0</v>
      </c>
      <c r="BB255" s="0" t="n">
        <f aca="false">ROUND(AK255-AT255,2)</f>
        <v>0</v>
      </c>
      <c r="BC255" s="0" t="n">
        <f aca="false">ROUND(AL255-AU255,2)</f>
        <v>0</v>
      </c>
      <c r="BD255" s="0" t="n">
        <f aca="false">ROUND(AM255-AV255,2)</f>
        <v>0</v>
      </c>
      <c r="BE255" s="0" t="n">
        <f aca="false">ROUND(AN255-AW255,2)</f>
        <v>0</v>
      </c>
      <c r="BF255" s="0" t="n">
        <f aca="false">ROUND(AO255-AX255,2)</f>
        <v>0</v>
      </c>
      <c r="BG255" s="0" t="n">
        <f aca="false">SUM(AY255:BF255)</f>
        <v>0</v>
      </c>
    </row>
    <row r="256" customFormat="false" ht="15" hidden="false" customHeight="false" outlineLevel="0" collapsed="false">
      <c r="A256" s="0" t="n">
        <v>254</v>
      </c>
      <c r="B256" s="0" t="n">
        <f aca="false">AY255</f>
        <v>0</v>
      </c>
      <c r="C256" s="0" t="n">
        <f aca="false">AZ255</f>
        <v>0</v>
      </c>
      <c r="D256" s="0" t="n">
        <f aca="false">BA255</f>
        <v>0</v>
      </c>
      <c r="E256" s="0" t="n">
        <f aca="false">BB255</f>
        <v>0</v>
      </c>
      <c r="F256" s="0" t="n">
        <f aca="false">BC255</f>
        <v>0</v>
      </c>
      <c r="G256" s="0" t="n">
        <f aca="false">BD255</f>
        <v>0</v>
      </c>
      <c r="H256" s="0" t="n">
        <f aca="false">BE255</f>
        <v>0</v>
      </c>
      <c r="I256" s="0" t="n">
        <f aca="false">BF255</f>
        <v>0</v>
      </c>
      <c r="J256" s="0" t="n">
        <f aca="false">B256*N('Debt Payoff'!D9)/12</f>
        <v>0</v>
      </c>
      <c r="K256" s="0" t="n">
        <f aca="false">C256*N('Debt Payoff'!D10)/12</f>
        <v>0</v>
      </c>
      <c r="L256" s="0" t="n">
        <f aca="false">D256*N('Debt Payoff'!D11)/12</f>
        <v>0</v>
      </c>
      <c r="M256" s="0" t="n">
        <f aca="false">E256*N('Debt Payoff'!D12)/12</f>
        <v>0</v>
      </c>
      <c r="N256" s="0" t="n">
        <f aca="false">F256*N('Debt Payoff'!D13)/12</f>
        <v>0</v>
      </c>
      <c r="O256" s="0" t="n">
        <f aca="false">G256*N('Debt Payoff'!D14)/12</f>
        <v>0</v>
      </c>
      <c r="P256" s="0" t="n">
        <f aca="false">H256*N('Debt Payoff'!D15)/12</f>
        <v>0</v>
      </c>
      <c r="Q256" s="0" t="n">
        <f aca="false">I256*N('Debt Payoff'!D16)/12</f>
        <v>0</v>
      </c>
      <c r="R256" s="0" t="n">
        <f aca="false">B256+J256</f>
        <v>0</v>
      </c>
      <c r="S256" s="0" t="n">
        <f aca="false">C256+K256</f>
        <v>0</v>
      </c>
      <c r="T256" s="0" t="n">
        <f aca="false">D256+L256</f>
        <v>0</v>
      </c>
      <c r="U256" s="0" t="n">
        <f aca="false">E256+M256</f>
        <v>0</v>
      </c>
      <c r="V256" s="0" t="n">
        <f aca="false">F256+N256</f>
        <v>0</v>
      </c>
      <c r="W256" s="0" t="n">
        <f aca="false">G256+O256</f>
        <v>0</v>
      </c>
      <c r="X256" s="0" t="n">
        <f aca="false">H256+P256</f>
        <v>0</v>
      </c>
      <c r="Y256" s="0" t="n">
        <f aca="false">I256+Q256</f>
        <v>0</v>
      </c>
      <c r="Z256" s="0" t="n">
        <f aca="false">MIN(R256,N('Debt Payoff'!E9))</f>
        <v>0</v>
      </c>
      <c r="AA256" s="0" t="n">
        <f aca="false">MIN(S256,N('Debt Payoff'!E10))</f>
        <v>0</v>
      </c>
      <c r="AB256" s="0" t="n">
        <f aca="false">MIN(T256,N('Debt Payoff'!E11))</f>
        <v>0</v>
      </c>
      <c r="AC256" s="0" t="n">
        <f aca="false">MIN(U256,N('Debt Payoff'!E12))</f>
        <v>0</v>
      </c>
      <c r="AD256" s="0" t="n">
        <f aca="false">MIN(V256,N('Debt Payoff'!E13))</f>
        <v>0</v>
      </c>
      <c r="AE256" s="0" t="n">
        <f aca="false">MIN(W256,N('Debt Payoff'!E14))</f>
        <v>0</v>
      </c>
      <c r="AF256" s="0" t="n">
        <f aca="false">MIN(X256,N('Debt Payoff'!E15))</f>
        <v>0</v>
      </c>
      <c r="AG256" s="0" t="n">
        <f aca="false">MIN(Y256,N('Debt Payoff'!E16))</f>
        <v>0</v>
      </c>
      <c r="AH256" s="0" t="n">
        <f aca="false">R256-Z256</f>
        <v>0</v>
      </c>
      <c r="AI256" s="0" t="n">
        <f aca="false">S256-AA256</f>
        <v>0</v>
      </c>
      <c r="AJ256" s="0" t="n">
        <f aca="false">T256-AB256</f>
        <v>0</v>
      </c>
      <c r="AK256" s="0" t="n">
        <f aca="false">U256-AC256</f>
        <v>0</v>
      </c>
      <c r="AL256" s="0" t="n">
        <f aca="false">V256-AD256</f>
        <v>0</v>
      </c>
      <c r="AM256" s="0" t="n">
        <f aca="false">W256-AE256</f>
        <v>0</v>
      </c>
      <c r="AN256" s="0" t="n">
        <f aca="false">X256-AF256</f>
        <v>0</v>
      </c>
      <c r="AO256" s="0" t="n">
        <f aca="false">Y256-AG256</f>
        <v>0</v>
      </c>
      <c r="AP256" s="0" t="n">
        <f aca="false">MAX(0,'Debt Payoff'!$D$17-SUM(Z256:AG256))</f>
        <v>805</v>
      </c>
      <c r="AQ256" s="0" t="n">
        <f aca="false">MIN(AH256,MAX(0,$AP256-SUMPRODUCT(($AH$1:$AO$1&lt;AH$1)*$AH256:$AO256)))</f>
        <v>0</v>
      </c>
      <c r="AR256" s="0" t="n">
        <f aca="false">MIN(AI256,MAX(0,$AP256-SUMPRODUCT(($AH$1:$AO$1&lt;AI$1)*$AH256:$AO256)))</f>
        <v>0</v>
      </c>
      <c r="AS256" s="0" t="n">
        <f aca="false">MIN(AJ256,MAX(0,$AP256-SUMPRODUCT(($AH$1:$AO$1&lt;AJ$1)*$AH256:$AO256)))</f>
        <v>0</v>
      </c>
      <c r="AT256" s="0" t="n">
        <f aca="false">MIN(AK256,MAX(0,$AP256-SUMPRODUCT(($AH$1:$AO$1&lt;AK$1)*$AH256:$AO256)))</f>
        <v>0</v>
      </c>
      <c r="AU256" s="0" t="n">
        <f aca="false">MIN(AL256,MAX(0,$AP256-SUMPRODUCT(($AH$1:$AO$1&lt;AL$1)*$AH256:$AO256)))</f>
        <v>0</v>
      </c>
      <c r="AV256" s="0" t="n">
        <f aca="false">MIN(AM256,MAX(0,$AP256-SUMPRODUCT(($AH$1:$AO$1&lt;AM$1)*$AH256:$AO256)))</f>
        <v>0</v>
      </c>
      <c r="AW256" s="0" t="n">
        <f aca="false">MIN(AN256,MAX(0,$AP256-SUMPRODUCT(($AH$1:$AO$1&lt;AN$1)*$AH256:$AO256)))</f>
        <v>0</v>
      </c>
      <c r="AX256" s="0" t="n">
        <f aca="false">MIN(AO256,MAX(0,$AP256-SUMPRODUCT(($AH$1:$AO$1&lt;AO$1)*$AH256:$AO256)))</f>
        <v>0</v>
      </c>
      <c r="AY256" s="0" t="n">
        <f aca="false">ROUND(AH256-AQ256,2)</f>
        <v>0</v>
      </c>
      <c r="AZ256" s="0" t="n">
        <f aca="false">ROUND(AI256-AR256,2)</f>
        <v>0</v>
      </c>
      <c r="BA256" s="0" t="n">
        <f aca="false">ROUND(AJ256-AS256,2)</f>
        <v>0</v>
      </c>
      <c r="BB256" s="0" t="n">
        <f aca="false">ROUND(AK256-AT256,2)</f>
        <v>0</v>
      </c>
      <c r="BC256" s="0" t="n">
        <f aca="false">ROUND(AL256-AU256,2)</f>
        <v>0</v>
      </c>
      <c r="BD256" s="0" t="n">
        <f aca="false">ROUND(AM256-AV256,2)</f>
        <v>0</v>
      </c>
      <c r="BE256" s="0" t="n">
        <f aca="false">ROUND(AN256-AW256,2)</f>
        <v>0</v>
      </c>
      <c r="BF256" s="0" t="n">
        <f aca="false">ROUND(AO256-AX256,2)</f>
        <v>0</v>
      </c>
      <c r="BG256" s="0" t="n">
        <f aca="false">SUM(AY256:BF256)</f>
        <v>0</v>
      </c>
    </row>
    <row r="257" customFormat="false" ht="15" hidden="false" customHeight="false" outlineLevel="0" collapsed="false">
      <c r="A257" s="0" t="n">
        <v>255</v>
      </c>
      <c r="B257" s="0" t="n">
        <f aca="false">AY256</f>
        <v>0</v>
      </c>
      <c r="C257" s="0" t="n">
        <f aca="false">AZ256</f>
        <v>0</v>
      </c>
      <c r="D257" s="0" t="n">
        <f aca="false">BA256</f>
        <v>0</v>
      </c>
      <c r="E257" s="0" t="n">
        <f aca="false">BB256</f>
        <v>0</v>
      </c>
      <c r="F257" s="0" t="n">
        <f aca="false">BC256</f>
        <v>0</v>
      </c>
      <c r="G257" s="0" t="n">
        <f aca="false">BD256</f>
        <v>0</v>
      </c>
      <c r="H257" s="0" t="n">
        <f aca="false">BE256</f>
        <v>0</v>
      </c>
      <c r="I257" s="0" t="n">
        <f aca="false">BF256</f>
        <v>0</v>
      </c>
      <c r="J257" s="0" t="n">
        <f aca="false">B257*N('Debt Payoff'!D9)/12</f>
        <v>0</v>
      </c>
      <c r="K257" s="0" t="n">
        <f aca="false">C257*N('Debt Payoff'!D10)/12</f>
        <v>0</v>
      </c>
      <c r="L257" s="0" t="n">
        <f aca="false">D257*N('Debt Payoff'!D11)/12</f>
        <v>0</v>
      </c>
      <c r="M257" s="0" t="n">
        <f aca="false">E257*N('Debt Payoff'!D12)/12</f>
        <v>0</v>
      </c>
      <c r="N257" s="0" t="n">
        <f aca="false">F257*N('Debt Payoff'!D13)/12</f>
        <v>0</v>
      </c>
      <c r="O257" s="0" t="n">
        <f aca="false">G257*N('Debt Payoff'!D14)/12</f>
        <v>0</v>
      </c>
      <c r="P257" s="0" t="n">
        <f aca="false">H257*N('Debt Payoff'!D15)/12</f>
        <v>0</v>
      </c>
      <c r="Q257" s="0" t="n">
        <f aca="false">I257*N('Debt Payoff'!D16)/12</f>
        <v>0</v>
      </c>
      <c r="R257" s="0" t="n">
        <f aca="false">B257+J257</f>
        <v>0</v>
      </c>
      <c r="S257" s="0" t="n">
        <f aca="false">C257+K257</f>
        <v>0</v>
      </c>
      <c r="T257" s="0" t="n">
        <f aca="false">D257+L257</f>
        <v>0</v>
      </c>
      <c r="U257" s="0" t="n">
        <f aca="false">E257+M257</f>
        <v>0</v>
      </c>
      <c r="V257" s="0" t="n">
        <f aca="false">F257+N257</f>
        <v>0</v>
      </c>
      <c r="W257" s="0" t="n">
        <f aca="false">G257+O257</f>
        <v>0</v>
      </c>
      <c r="X257" s="0" t="n">
        <f aca="false">H257+P257</f>
        <v>0</v>
      </c>
      <c r="Y257" s="0" t="n">
        <f aca="false">I257+Q257</f>
        <v>0</v>
      </c>
      <c r="Z257" s="0" t="n">
        <f aca="false">MIN(R257,N('Debt Payoff'!E9))</f>
        <v>0</v>
      </c>
      <c r="AA257" s="0" t="n">
        <f aca="false">MIN(S257,N('Debt Payoff'!E10))</f>
        <v>0</v>
      </c>
      <c r="AB257" s="0" t="n">
        <f aca="false">MIN(T257,N('Debt Payoff'!E11))</f>
        <v>0</v>
      </c>
      <c r="AC257" s="0" t="n">
        <f aca="false">MIN(U257,N('Debt Payoff'!E12))</f>
        <v>0</v>
      </c>
      <c r="AD257" s="0" t="n">
        <f aca="false">MIN(V257,N('Debt Payoff'!E13))</f>
        <v>0</v>
      </c>
      <c r="AE257" s="0" t="n">
        <f aca="false">MIN(W257,N('Debt Payoff'!E14))</f>
        <v>0</v>
      </c>
      <c r="AF257" s="0" t="n">
        <f aca="false">MIN(X257,N('Debt Payoff'!E15))</f>
        <v>0</v>
      </c>
      <c r="AG257" s="0" t="n">
        <f aca="false">MIN(Y257,N('Debt Payoff'!E16))</f>
        <v>0</v>
      </c>
      <c r="AH257" s="0" t="n">
        <f aca="false">R257-Z257</f>
        <v>0</v>
      </c>
      <c r="AI257" s="0" t="n">
        <f aca="false">S257-AA257</f>
        <v>0</v>
      </c>
      <c r="AJ257" s="0" t="n">
        <f aca="false">T257-AB257</f>
        <v>0</v>
      </c>
      <c r="AK257" s="0" t="n">
        <f aca="false">U257-AC257</f>
        <v>0</v>
      </c>
      <c r="AL257" s="0" t="n">
        <f aca="false">V257-AD257</f>
        <v>0</v>
      </c>
      <c r="AM257" s="0" t="n">
        <f aca="false">W257-AE257</f>
        <v>0</v>
      </c>
      <c r="AN257" s="0" t="n">
        <f aca="false">X257-AF257</f>
        <v>0</v>
      </c>
      <c r="AO257" s="0" t="n">
        <f aca="false">Y257-AG257</f>
        <v>0</v>
      </c>
      <c r="AP257" s="0" t="n">
        <f aca="false">MAX(0,'Debt Payoff'!$D$17-SUM(Z257:AG257))</f>
        <v>805</v>
      </c>
      <c r="AQ257" s="0" t="n">
        <f aca="false">MIN(AH257,MAX(0,$AP257-SUMPRODUCT(($AH$1:$AO$1&lt;AH$1)*$AH257:$AO257)))</f>
        <v>0</v>
      </c>
      <c r="AR257" s="0" t="n">
        <f aca="false">MIN(AI257,MAX(0,$AP257-SUMPRODUCT(($AH$1:$AO$1&lt;AI$1)*$AH257:$AO257)))</f>
        <v>0</v>
      </c>
      <c r="AS257" s="0" t="n">
        <f aca="false">MIN(AJ257,MAX(0,$AP257-SUMPRODUCT(($AH$1:$AO$1&lt;AJ$1)*$AH257:$AO257)))</f>
        <v>0</v>
      </c>
      <c r="AT257" s="0" t="n">
        <f aca="false">MIN(AK257,MAX(0,$AP257-SUMPRODUCT(($AH$1:$AO$1&lt;AK$1)*$AH257:$AO257)))</f>
        <v>0</v>
      </c>
      <c r="AU257" s="0" t="n">
        <f aca="false">MIN(AL257,MAX(0,$AP257-SUMPRODUCT(($AH$1:$AO$1&lt;AL$1)*$AH257:$AO257)))</f>
        <v>0</v>
      </c>
      <c r="AV257" s="0" t="n">
        <f aca="false">MIN(AM257,MAX(0,$AP257-SUMPRODUCT(($AH$1:$AO$1&lt;AM$1)*$AH257:$AO257)))</f>
        <v>0</v>
      </c>
      <c r="AW257" s="0" t="n">
        <f aca="false">MIN(AN257,MAX(0,$AP257-SUMPRODUCT(($AH$1:$AO$1&lt;AN$1)*$AH257:$AO257)))</f>
        <v>0</v>
      </c>
      <c r="AX257" s="0" t="n">
        <f aca="false">MIN(AO257,MAX(0,$AP257-SUMPRODUCT(($AH$1:$AO$1&lt;AO$1)*$AH257:$AO257)))</f>
        <v>0</v>
      </c>
      <c r="AY257" s="0" t="n">
        <f aca="false">ROUND(AH257-AQ257,2)</f>
        <v>0</v>
      </c>
      <c r="AZ257" s="0" t="n">
        <f aca="false">ROUND(AI257-AR257,2)</f>
        <v>0</v>
      </c>
      <c r="BA257" s="0" t="n">
        <f aca="false">ROUND(AJ257-AS257,2)</f>
        <v>0</v>
      </c>
      <c r="BB257" s="0" t="n">
        <f aca="false">ROUND(AK257-AT257,2)</f>
        <v>0</v>
      </c>
      <c r="BC257" s="0" t="n">
        <f aca="false">ROUND(AL257-AU257,2)</f>
        <v>0</v>
      </c>
      <c r="BD257" s="0" t="n">
        <f aca="false">ROUND(AM257-AV257,2)</f>
        <v>0</v>
      </c>
      <c r="BE257" s="0" t="n">
        <f aca="false">ROUND(AN257-AW257,2)</f>
        <v>0</v>
      </c>
      <c r="BF257" s="0" t="n">
        <f aca="false">ROUND(AO257-AX257,2)</f>
        <v>0</v>
      </c>
      <c r="BG257" s="0" t="n">
        <f aca="false">SUM(AY257:BF257)</f>
        <v>0</v>
      </c>
    </row>
    <row r="258" customFormat="false" ht="15" hidden="false" customHeight="false" outlineLevel="0" collapsed="false">
      <c r="A258" s="0" t="n">
        <v>256</v>
      </c>
      <c r="B258" s="0" t="n">
        <f aca="false">AY257</f>
        <v>0</v>
      </c>
      <c r="C258" s="0" t="n">
        <f aca="false">AZ257</f>
        <v>0</v>
      </c>
      <c r="D258" s="0" t="n">
        <f aca="false">BA257</f>
        <v>0</v>
      </c>
      <c r="E258" s="0" t="n">
        <f aca="false">BB257</f>
        <v>0</v>
      </c>
      <c r="F258" s="0" t="n">
        <f aca="false">BC257</f>
        <v>0</v>
      </c>
      <c r="G258" s="0" t="n">
        <f aca="false">BD257</f>
        <v>0</v>
      </c>
      <c r="H258" s="0" t="n">
        <f aca="false">BE257</f>
        <v>0</v>
      </c>
      <c r="I258" s="0" t="n">
        <f aca="false">BF257</f>
        <v>0</v>
      </c>
      <c r="J258" s="0" t="n">
        <f aca="false">B258*N('Debt Payoff'!D9)/12</f>
        <v>0</v>
      </c>
      <c r="K258" s="0" t="n">
        <f aca="false">C258*N('Debt Payoff'!D10)/12</f>
        <v>0</v>
      </c>
      <c r="L258" s="0" t="n">
        <f aca="false">D258*N('Debt Payoff'!D11)/12</f>
        <v>0</v>
      </c>
      <c r="M258" s="0" t="n">
        <f aca="false">E258*N('Debt Payoff'!D12)/12</f>
        <v>0</v>
      </c>
      <c r="N258" s="0" t="n">
        <f aca="false">F258*N('Debt Payoff'!D13)/12</f>
        <v>0</v>
      </c>
      <c r="O258" s="0" t="n">
        <f aca="false">G258*N('Debt Payoff'!D14)/12</f>
        <v>0</v>
      </c>
      <c r="P258" s="0" t="n">
        <f aca="false">H258*N('Debt Payoff'!D15)/12</f>
        <v>0</v>
      </c>
      <c r="Q258" s="0" t="n">
        <f aca="false">I258*N('Debt Payoff'!D16)/12</f>
        <v>0</v>
      </c>
      <c r="R258" s="0" t="n">
        <f aca="false">B258+J258</f>
        <v>0</v>
      </c>
      <c r="S258" s="0" t="n">
        <f aca="false">C258+K258</f>
        <v>0</v>
      </c>
      <c r="T258" s="0" t="n">
        <f aca="false">D258+L258</f>
        <v>0</v>
      </c>
      <c r="U258" s="0" t="n">
        <f aca="false">E258+M258</f>
        <v>0</v>
      </c>
      <c r="V258" s="0" t="n">
        <f aca="false">F258+N258</f>
        <v>0</v>
      </c>
      <c r="W258" s="0" t="n">
        <f aca="false">G258+O258</f>
        <v>0</v>
      </c>
      <c r="X258" s="0" t="n">
        <f aca="false">H258+P258</f>
        <v>0</v>
      </c>
      <c r="Y258" s="0" t="n">
        <f aca="false">I258+Q258</f>
        <v>0</v>
      </c>
      <c r="Z258" s="0" t="n">
        <f aca="false">MIN(R258,N('Debt Payoff'!E9))</f>
        <v>0</v>
      </c>
      <c r="AA258" s="0" t="n">
        <f aca="false">MIN(S258,N('Debt Payoff'!E10))</f>
        <v>0</v>
      </c>
      <c r="AB258" s="0" t="n">
        <f aca="false">MIN(T258,N('Debt Payoff'!E11))</f>
        <v>0</v>
      </c>
      <c r="AC258" s="0" t="n">
        <f aca="false">MIN(U258,N('Debt Payoff'!E12))</f>
        <v>0</v>
      </c>
      <c r="AD258" s="0" t="n">
        <f aca="false">MIN(V258,N('Debt Payoff'!E13))</f>
        <v>0</v>
      </c>
      <c r="AE258" s="0" t="n">
        <f aca="false">MIN(W258,N('Debt Payoff'!E14))</f>
        <v>0</v>
      </c>
      <c r="AF258" s="0" t="n">
        <f aca="false">MIN(X258,N('Debt Payoff'!E15))</f>
        <v>0</v>
      </c>
      <c r="AG258" s="0" t="n">
        <f aca="false">MIN(Y258,N('Debt Payoff'!E16))</f>
        <v>0</v>
      </c>
      <c r="AH258" s="0" t="n">
        <f aca="false">R258-Z258</f>
        <v>0</v>
      </c>
      <c r="AI258" s="0" t="n">
        <f aca="false">S258-AA258</f>
        <v>0</v>
      </c>
      <c r="AJ258" s="0" t="n">
        <f aca="false">T258-AB258</f>
        <v>0</v>
      </c>
      <c r="AK258" s="0" t="n">
        <f aca="false">U258-AC258</f>
        <v>0</v>
      </c>
      <c r="AL258" s="0" t="n">
        <f aca="false">V258-AD258</f>
        <v>0</v>
      </c>
      <c r="AM258" s="0" t="n">
        <f aca="false">W258-AE258</f>
        <v>0</v>
      </c>
      <c r="AN258" s="0" t="n">
        <f aca="false">X258-AF258</f>
        <v>0</v>
      </c>
      <c r="AO258" s="0" t="n">
        <f aca="false">Y258-AG258</f>
        <v>0</v>
      </c>
      <c r="AP258" s="0" t="n">
        <f aca="false">MAX(0,'Debt Payoff'!$D$17-SUM(Z258:AG258))</f>
        <v>805</v>
      </c>
      <c r="AQ258" s="0" t="n">
        <f aca="false">MIN(AH258,MAX(0,$AP258-SUMPRODUCT(($AH$1:$AO$1&lt;AH$1)*$AH258:$AO258)))</f>
        <v>0</v>
      </c>
      <c r="AR258" s="0" t="n">
        <f aca="false">MIN(AI258,MAX(0,$AP258-SUMPRODUCT(($AH$1:$AO$1&lt;AI$1)*$AH258:$AO258)))</f>
        <v>0</v>
      </c>
      <c r="AS258" s="0" t="n">
        <f aca="false">MIN(AJ258,MAX(0,$AP258-SUMPRODUCT(($AH$1:$AO$1&lt;AJ$1)*$AH258:$AO258)))</f>
        <v>0</v>
      </c>
      <c r="AT258" s="0" t="n">
        <f aca="false">MIN(AK258,MAX(0,$AP258-SUMPRODUCT(($AH$1:$AO$1&lt;AK$1)*$AH258:$AO258)))</f>
        <v>0</v>
      </c>
      <c r="AU258" s="0" t="n">
        <f aca="false">MIN(AL258,MAX(0,$AP258-SUMPRODUCT(($AH$1:$AO$1&lt;AL$1)*$AH258:$AO258)))</f>
        <v>0</v>
      </c>
      <c r="AV258" s="0" t="n">
        <f aca="false">MIN(AM258,MAX(0,$AP258-SUMPRODUCT(($AH$1:$AO$1&lt;AM$1)*$AH258:$AO258)))</f>
        <v>0</v>
      </c>
      <c r="AW258" s="0" t="n">
        <f aca="false">MIN(AN258,MAX(0,$AP258-SUMPRODUCT(($AH$1:$AO$1&lt;AN$1)*$AH258:$AO258)))</f>
        <v>0</v>
      </c>
      <c r="AX258" s="0" t="n">
        <f aca="false">MIN(AO258,MAX(0,$AP258-SUMPRODUCT(($AH$1:$AO$1&lt;AO$1)*$AH258:$AO258)))</f>
        <v>0</v>
      </c>
      <c r="AY258" s="0" t="n">
        <f aca="false">ROUND(AH258-AQ258,2)</f>
        <v>0</v>
      </c>
      <c r="AZ258" s="0" t="n">
        <f aca="false">ROUND(AI258-AR258,2)</f>
        <v>0</v>
      </c>
      <c r="BA258" s="0" t="n">
        <f aca="false">ROUND(AJ258-AS258,2)</f>
        <v>0</v>
      </c>
      <c r="BB258" s="0" t="n">
        <f aca="false">ROUND(AK258-AT258,2)</f>
        <v>0</v>
      </c>
      <c r="BC258" s="0" t="n">
        <f aca="false">ROUND(AL258-AU258,2)</f>
        <v>0</v>
      </c>
      <c r="BD258" s="0" t="n">
        <f aca="false">ROUND(AM258-AV258,2)</f>
        <v>0</v>
      </c>
      <c r="BE258" s="0" t="n">
        <f aca="false">ROUND(AN258-AW258,2)</f>
        <v>0</v>
      </c>
      <c r="BF258" s="0" t="n">
        <f aca="false">ROUND(AO258-AX258,2)</f>
        <v>0</v>
      </c>
      <c r="BG258" s="0" t="n">
        <f aca="false">SUM(AY258:BF258)</f>
        <v>0</v>
      </c>
    </row>
    <row r="259" customFormat="false" ht="15" hidden="false" customHeight="false" outlineLevel="0" collapsed="false">
      <c r="A259" s="0" t="n">
        <v>257</v>
      </c>
      <c r="B259" s="0" t="n">
        <f aca="false">AY258</f>
        <v>0</v>
      </c>
      <c r="C259" s="0" t="n">
        <f aca="false">AZ258</f>
        <v>0</v>
      </c>
      <c r="D259" s="0" t="n">
        <f aca="false">BA258</f>
        <v>0</v>
      </c>
      <c r="E259" s="0" t="n">
        <f aca="false">BB258</f>
        <v>0</v>
      </c>
      <c r="F259" s="0" t="n">
        <f aca="false">BC258</f>
        <v>0</v>
      </c>
      <c r="G259" s="0" t="n">
        <f aca="false">BD258</f>
        <v>0</v>
      </c>
      <c r="H259" s="0" t="n">
        <f aca="false">BE258</f>
        <v>0</v>
      </c>
      <c r="I259" s="0" t="n">
        <f aca="false">BF258</f>
        <v>0</v>
      </c>
      <c r="J259" s="0" t="n">
        <f aca="false">B259*N('Debt Payoff'!D9)/12</f>
        <v>0</v>
      </c>
      <c r="K259" s="0" t="n">
        <f aca="false">C259*N('Debt Payoff'!D10)/12</f>
        <v>0</v>
      </c>
      <c r="L259" s="0" t="n">
        <f aca="false">D259*N('Debt Payoff'!D11)/12</f>
        <v>0</v>
      </c>
      <c r="M259" s="0" t="n">
        <f aca="false">E259*N('Debt Payoff'!D12)/12</f>
        <v>0</v>
      </c>
      <c r="N259" s="0" t="n">
        <f aca="false">F259*N('Debt Payoff'!D13)/12</f>
        <v>0</v>
      </c>
      <c r="O259" s="0" t="n">
        <f aca="false">G259*N('Debt Payoff'!D14)/12</f>
        <v>0</v>
      </c>
      <c r="P259" s="0" t="n">
        <f aca="false">H259*N('Debt Payoff'!D15)/12</f>
        <v>0</v>
      </c>
      <c r="Q259" s="0" t="n">
        <f aca="false">I259*N('Debt Payoff'!D16)/12</f>
        <v>0</v>
      </c>
      <c r="R259" s="0" t="n">
        <f aca="false">B259+J259</f>
        <v>0</v>
      </c>
      <c r="S259" s="0" t="n">
        <f aca="false">C259+K259</f>
        <v>0</v>
      </c>
      <c r="T259" s="0" t="n">
        <f aca="false">D259+L259</f>
        <v>0</v>
      </c>
      <c r="U259" s="0" t="n">
        <f aca="false">E259+M259</f>
        <v>0</v>
      </c>
      <c r="V259" s="0" t="n">
        <f aca="false">F259+N259</f>
        <v>0</v>
      </c>
      <c r="W259" s="0" t="n">
        <f aca="false">G259+O259</f>
        <v>0</v>
      </c>
      <c r="X259" s="0" t="n">
        <f aca="false">H259+P259</f>
        <v>0</v>
      </c>
      <c r="Y259" s="0" t="n">
        <f aca="false">I259+Q259</f>
        <v>0</v>
      </c>
      <c r="Z259" s="0" t="n">
        <f aca="false">MIN(R259,N('Debt Payoff'!E9))</f>
        <v>0</v>
      </c>
      <c r="AA259" s="0" t="n">
        <f aca="false">MIN(S259,N('Debt Payoff'!E10))</f>
        <v>0</v>
      </c>
      <c r="AB259" s="0" t="n">
        <f aca="false">MIN(T259,N('Debt Payoff'!E11))</f>
        <v>0</v>
      </c>
      <c r="AC259" s="0" t="n">
        <f aca="false">MIN(U259,N('Debt Payoff'!E12))</f>
        <v>0</v>
      </c>
      <c r="AD259" s="0" t="n">
        <f aca="false">MIN(V259,N('Debt Payoff'!E13))</f>
        <v>0</v>
      </c>
      <c r="AE259" s="0" t="n">
        <f aca="false">MIN(W259,N('Debt Payoff'!E14))</f>
        <v>0</v>
      </c>
      <c r="AF259" s="0" t="n">
        <f aca="false">MIN(X259,N('Debt Payoff'!E15))</f>
        <v>0</v>
      </c>
      <c r="AG259" s="0" t="n">
        <f aca="false">MIN(Y259,N('Debt Payoff'!E16))</f>
        <v>0</v>
      </c>
      <c r="AH259" s="0" t="n">
        <f aca="false">R259-Z259</f>
        <v>0</v>
      </c>
      <c r="AI259" s="0" t="n">
        <f aca="false">S259-AA259</f>
        <v>0</v>
      </c>
      <c r="AJ259" s="0" t="n">
        <f aca="false">T259-AB259</f>
        <v>0</v>
      </c>
      <c r="AK259" s="0" t="n">
        <f aca="false">U259-AC259</f>
        <v>0</v>
      </c>
      <c r="AL259" s="0" t="n">
        <f aca="false">V259-AD259</f>
        <v>0</v>
      </c>
      <c r="AM259" s="0" t="n">
        <f aca="false">W259-AE259</f>
        <v>0</v>
      </c>
      <c r="AN259" s="0" t="n">
        <f aca="false">X259-AF259</f>
        <v>0</v>
      </c>
      <c r="AO259" s="0" t="n">
        <f aca="false">Y259-AG259</f>
        <v>0</v>
      </c>
      <c r="AP259" s="0" t="n">
        <f aca="false">MAX(0,'Debt Payoff'!$D$17-SUM(Z259:AG259))</f>
        <v>805</v>
      </c>
      <c r="AQ259" s="0" t="n">
        <f aca="false">MIN(AH259,MAX(0,$AP259-SUMPRODUCT(($AH$1:$AO$1&lt;AH$1)*$AH259:$AO259)))</f>
        <v>0</v>
      </c>
      <c r="AR259" s="0" t="n">
        <f aca="false">MIN(AI259,MAX(0,$AP259-SUMPRODUCT(($AH$1:$AO$1&lt;AI$1)*$AH259:$AO259)))</f>
        <v>0</v>
      </c>
      <c r="AS259" s="0" t="n">
        <f aca="false">MIN(AJ259,MAX(0,$AP259-SUMPRODUCT(($AH$1:$AO$1&lt;AJ$1)*$AH259:$AO259)))</f>
        <v>0</v>
      </c>
      <c r="AT259" s="0" t="n">
        <f aca="false">MIN(AK259,MAX(0,$AP259-SUMPRODUCT(($AH$1:$AO$1&lt;AK$1)*$AH259:$AO259)))</f>
        <v>0</v>
      </c>
      <c r="AU259" s="0" t="n">
        <f aca="false">MIN(AL259,MAX(0,$AP259-SUMPRODUCT(($AH$1:$AO$1&lt;AL$1)*$AH259:$AO259)))</f>
        <v>0</v>
      </c>
      <c r="AV259" s="0" t="n">
        <f aca="false">MIN(AM259,MAX(0,$AP259-SUMPRODUCT(($AH$1:$AO$1&lt;AM$1)*$AH259:$AO259)))</f>
        <v>0</v>
      </c>
      <c r="AW259" s="0" t="n">
        <f aca="false">MIN(AN259,MAX(0,$AP259-SUMPRODUCT(($AH$1:$AO$1&lt;AN$1)*$AH259:$AO259)))</f>
        <v>0</v>
      </c>
      <c r="AX259" s="0" t="n">
        <f aca="false">MIN(AO259,MAX(0,$AP259-SUMPRODUCT(($AH$1:$AO$1&lt;AO$1)*$AH259:$AO259)))</f>
        <v>0</v>
      </c>
      <c r="AY259" s="0" t="n">
        <f aca="false">ROUND(AH259-AQ259,2)</f>
        <v>0</v>
      </c>
      <c r="AZ259" s="0" t="n">
        <f aca="false">ROUND(AI259-AR259,2)</f>
        <v>0</v>
      </c>
      <c r="BA259" s="0" t="n">
        <f aca="false">ROUND(AJ259-AS259,2)</f>
        <v>0</v>
      </c>
      <c r="BB259" s="0" t="n">
        <f aca="false">ROUND(AK259-AT259,2)</f>
        <v>0</v>
      </c>
      <c r="BC259" s="0" t="n">
        <f aca="false">ROUND(AL259-AU259,2)</f>
        <v>0</v>
      </c>
      <c r="BD259" s="0" t="n">
        <f aca="false">ROUND(AM259-AV259,2)</f>
        <v>0</v>
      </c>
      <c r="BE259" s="0" t="n">
        <f aca="false">ROUND(AN259-AW259,2)</f>
        <v>0</v>
      </c>
      <c r="BF259" s="0" t="n">
        <f aca="false">ROUND(AO259-AX259,2)</f>
        <v>0</v>
      </c>
      <c r="BG259" s="0" t="n">
        <f aca="false">SUM(AY259:BF259)</f>
        <v>0</v>
      </c>
    </row>
    <row r="260" customFormat="false" ht="15" hidden="false" customHeight="false" outlineLevel="0" collapsed="false">
      <c r="A260" s="0" t="n">
        <v>258</v>
      </c>
      <c r="B260" s="0" t="n">
        <f aca="false">AY259</f>
        <v>0</v>
      </c>
      <c r="C260" s="0" t="n">
        <f aca="false">AZ259</f>
        <v>0</v>
      </c>
      <c r="D260" s="0" t="n">
        <f aca="false">BA259</f>
        <v>0</v>
      </c>
      <c r="E260" s="0" t="n">
        <f aca="false">BB259</f>
        <v>0</v>
      </c>
      <c r="F260" s="0" t="n">
        <f aca="false">BC259</f>
        <v>0</v>
      </c>
      <c r="G260" s="0" t="n">
        <f aca="false">BD259</f>
        <v>0</v>
      </c>
      <c r="H260" s="0" t="n">
        <f aca="false">BE259</f>
        <v>0</v>
      </c>
      <c r="I260" s="0" t="n">
        <f aca="false">BF259</f>
        <v>0</v>
      </c>
      <c r="J260" s="0" t="n">
        <f aca="false">B260*N('Debt Payoff'!D9)/12</f>
        <v>0</v>
      </c>
      <c r="K260" s="0" t="n">
        <f aca="false">C260*N('Debt Payoff'!D10)/12</f>
        <v>0</v>
      </c>
      <c r="L260" s="0" t="n">
        <f aca="false">D260*N('Debt Payoff'!D11)/12</f>
        <v>0</v>
      </c>
      <c r="M260" s="0" t="n">
        <f aca="false">E260*N('Debt Payoff'!D12)/12</f>
        <v>0</v>
      </c>
      <c r="N260" s="0" t="n">
        <f aca="false">F260*N('Debt Payoff'!D13)/12</f>
        <v>0</v>
      </c>
      <c r="O260" s="0" t="n">
        <f aca="false">G260*N('Debt Payoff'!D14)/12</f>
        <v>0</v>
      </c>
      <c r="P260" s="0" t="n">
        <f aca="false">H260*N('Debt Payoff'!D15)/12</f>
        <v>0</v>
      </c>
      <c r="Q260" s="0" t="n">
        <f aca="false">I260*N('Debt Payoff'!D16)/12</f>
        <v>0</v>
      </c>
      <c r="R260" s="0" t="n">
        <f aca="false">B260+J260</f>
        <v>0</v>
      </c>
      <c r="S260" s="0" t="n">
        <f aca="false">C260+K260</f>
        <v>0</v>
      </c>
      <c r="T260" s="0" t="n">
        <f aca="false">D260+L260</f>
        <v>0</v>
      </c>
      <c r="U260" s="0" t="n">
        <f aca="false">E260+M260</f>
        <v>0</v>
      </c>
      <c r="V260" s="0" t="n">
        <f aca="false">F260+N260</f>
        <v>0</v>
      </c>
      <c r="W260" s="0" t="n">
        <f aca="false">G260+O260</f>
        <v>0</v>
      </c>
      <c r="X260" s="0" t="n">
        <f aca="false">H260+P260</f>
        <v>0</v>
      </c>
      <c r="Y260" s="0" t="n">
        <f aca="false">I260+Q260</f>
        <v>0</v>
      </c>
      <c r="Z260" s="0" t="n">
        <f aca="false">MIN(R260,N('Debt Payoff'!E9))</f>
        <v>0</v>
      </c>
      <c r="AA260" s="0" t="n">
        <f aca="false">MIN(S260,N('Debt Payoff'!E10))</f>
        <v>0</v>
      </c>
      <c r="AB260" s="0" t="n">
        <f aca="false">MIN(T260,N('Debt Payoff'!E11))</f>
        <v>0</v>
      </c>
      <c r="AC260" s="0" t="n">
        <f aca="false">MIN(U260,N('Debt Payoff'!E12))</f>
        <v>0</v>
      </c>
      <c r="AD260" s="0" t="n">
        <f aca="false">MIN(V260,N('Debt Payoff'!E13))</f>
        <v>0</v>
      </c>
      <c r="AE260" s="0" t="n">
        <f aca="false">MIN(W260,N('Debt Payoff'!E14))</f>
        <v>0</v>
      </c>
      <c r="AF260" s="0" t="n">
        <f aca="false">MIN(X260,N('Debt Payoff'!E15))</f>
        <v>0</v>
      </c>
      <c r="AG260" s="0" t="n">
        <f aca="false">MIN(Y260,N('Debt Payoff'!E16))</f>
        <v>0</v>
      </c>
      <c r="AH260" s="0" t="n">
        <f aca="false">R260-Z260</f>
        <v>0</v>
      </c>
      <c r="AI260" s="0" t="n">
        <f aca="false">S260-AA260</f>
        <v>0</v>
      </c>
      <c r="AJ260" s="0" t="n">
        <f aca="false">T260-AB260</f>
        <v>0</v>
      </c>
      <c r="AK260" s="0" t="n">
        <f aca="false">U260-AC260</f>
        <v>0</v>
      </c>
      <c r="AL260" s="0" t="n">
        <f aca="false">V260-AD260</f>
        <v>0</v>
      </c>
      <c r="AM260" s="0" t="n">
        <f aca="false">W260-AE260</f>
        <v>0</v>
      </c>
      <c r="AN260" s="0" t="n">
        <f aca="false">X260-AF260</f>
        <v>0</v>
      </c>
      <c r="AO260" s="0" t="n">
        <f aca="false">Y260-AG260</f>
        <v>0</v>
      </c>
      <c r="AP260" s="0" t="n">
        <f aca="false">MAX(0,'Debt Payoff'!$D$17-SUM(Z260:AG260))</f>
        <v>805</v>
      </c>
      <c r="AQ260" s="0" t="n">
        <f aca="false">MIN(AH260,MAX(0,$AP260-SUMPRODUCT(($AH$1:$AO$1&lt;AH$1)*$AH260:$AO260)))</f>
        <v>0</v>
      </c>
      <c r="AR260" s="0" t="n">
        <f aca="false">MIN(AI260,MAX(0,$AP260-SUMPRODUCT(($AH$1:$AO$1&lt;AI$1)*$AH260:$AO260)))</f>
        <v>0</v>
      </c>
      <c r="AS260" s="0" t="n">
        <f aca="false">MIN(AJ260,MAX(0,$AP260-SUMPRODUCT(($AH$1:$AO$1&lt;AJ$1)*$AH260:$AO260)))</f>
        <v>0</v>
      </c>
      <c r="AT260" s="0" t="n">
        <f aca="false">MIN(AK260,MAX(0,$AP260-SUMPRODUCT(($AH$1:$AO$1&lt;AK$1)*$AH260:$AO260)))</f>
        <v>0</v>
      </c>
      <c r="AU260" s="0" t="n">
        <f aca="false">MIN(AL260,MAX(0,$AP260-SUMPRODUCT(($AH$1:$AO$1&lt;AL$1)*$AH260:$AO260)))</f>
        <v>0</v>
      </c>
      <c r="AV260" s="0" t="n">
        <f aca="false">MIN(AM260,MAX(0,$AP260-SUMPRODUCT(($AH$1:$AO$1&lt;AM$1)*$AH260:$AO260)))</f>
        <v>0</v>
      </c>
      <c r="AW260" s="0" t="n">
        <f aca="false">MIN(AN260,MAX(0,$AP260-SUMPRODUCT(($AH$1:$AO$1&lt;AN$1)*$AH260:$AO260)))</f>
        <v>0</v>
      </c>
      <c r="AX260" s="0" t="n">
        <f aca="false">MIN(AO260,MAX(0,$AP260-SUMPRODUCT(($AH$1:$AO$1&lt;AO$1)*$AH260:$AO260)))</f>
        <v>0</v>
      </c>
      <c r="AY260" s="0" t="n">
        <f aca="false">ROUND(AH260-AQ260,2)</f>
        <v>0</v>
      </c>
      <c r="AZ260" s="0" t="n">
        <f aca="false">ROUND(AI260-AR260,2)</f>
        <v>0</v>
      </c>
      <c r="BA260" s="0" t="n">
        <f aca="false">ROUND(AJ260-AS260,2)</f>
        <v>0</v>
      </c>
      <c r="BB260" s="0" t="n">
        <f aca="false">ROUND(AK260-AT260,2)</f>
        <v>0</v>
      </c>
      <c r="BC260" s="0" t="n">
        <f aca="false">ROUND(AL260-AU260,2)</f>
        <v>0</v>
      </c>
      <c r="BD260" s="0" t="n">
        <f aca="false">ROUND(AM260-AV260,2)</f>
        <v>0</v>
      </c>
      <c r="BE260" s="0" t="n">
        <f aca="false">ROUND(AN260-AW260,2)</f>
        <v>0</v>
      </c>
      <c r="BF260" s="0" t="n">
        <f aca="false">ROUND(AO260-AX260,2)</f>
        <v>0</v>
      </c>
      <c r="BG260" s="0" t="n">
        <f aca="false">SUM(AY260:BF260)</f>
        <v>0</v>
      </c>
    </row>
    <row r="261" customFormat="false" ht="15" hidden="false" customHeight="false" outlineLevel="0" collapsed="false">
      <c r="A261" s="0" t="n">
        <v>259</v>
      </c>
      <c r="B261" s="0" t="n">
        <f aca="false">AY260</f>
        <v>0</v>
      </c>
      <c r="C261" s="0" t="n">
        <f aca="false">AZ260</f>
        <v>0</v>
      </c>
      <c r="D261" s="0" t="n">
        <f aca="false">BA260</f>
        <v>0</v>
      </c>
      <c r="E261" s="0" t="n">
        <f aca="false">BB260</f>
        <v>0</v>
      </c>
      <c r="F261" s="0" t="n">
        <f aca="false">BC260</f>
        <v>0</v>
      </c>
      <c r="G261" s="0" t="n">
        <f aca="false">BD260</f>
        <v>0</v>
      </c>
      <c r="H261" s="0" t="n">
        <f aca="false">BE260</f>
        <v>0</v>
      </c>
      <c r="I261" s="0" t="n">
        <f aca="false">BF260</f>
        <v>0</v>
      </c>
      <c r="J261" s="0" t="n">
        <f aca="false">B261*N('Debt Payoff'!D9)/12</f>
        <v>0</v>
      </c>
      <c r="K261" s="0" t="n">
        <f aca="false">C261*N('Debt Payoff'!D10)/12</f>
        <v>0</v>
      </c>
      <c r="L261" s="0" t="n">
        <f aca="false">D261*N('Debt Payoff'!D11)/12</f>
        <v>0</v>
      </c>
      <c r="M261" s="0" t="n">
        <f aca="false">E261*N('Debt Payoff'!D12)/12</f>
        <v>0</v>
      </c>
      <c r="N261" s="0" t="n">
        <f aca="false">F261*N('Debt Payoff'!D13)/12</f>
        <v>0</v>
      </c>
      <c r="O261" s="0" t="n">
        <f aca="false">G261*N('Debt Payoff'!D14)/12</f>
        <v>0</v>
      </c>
      <c r="P261" s="0" t="n">
        <f aca="false">H261*N('Debt Payoff'!D15)/12</f>
        <v>0</v>
      </c>
      <c r="Q261" s="0" t="n">
        <f aca="false">I261*N('Debt Payoff'!D16)/12</f>
        <v>0</v>
      </c>
      <c r="R261" s="0" t="n">
        <f aca="false">B261+J261</f>
        <v>0</v>
      </c>
      <c r="S261" s="0" t="n">
        <f aca="false">C261+K261</f>
        <v>0</v>
      </c>
      <c r="T261" s="0" t="n">
        <f aca="false">D261+L261</f>
        <v>0</v>
      </c>
      <c r="U261" s="0" t="n">
        <f aca="false">E261+M261</f>
        <v>0</v>
      </c>
      <c r="V261" s="0" t="n">
        <f aca="false">F261+N261</f>
        <v>0</v>
      </c>
      <c r="W261" s="0" t="n">
        <f aca="false">G261+O261</f>
        <v>0</v>
      </c>
      <c r="X261" s="0" t="n">
        <f aca="false">H261+P261</f>
        <v>0</v>
      </c>
      <c r="Y261" s="0" t="n">
        <f aca="false">I261+Q261</f>
        <v>0</v>
      </c>
      <c r="Z261" s="0" t="n">
        <f aca="false">MIN(R261,N('Debt Payoff'!E9))</f>
        <v>0</v>
      </c>
      <c r="AA261" s="0" t="n">
        <f aca="false">MIN(S261,N('Debt Payoff'!E10))</f>
        <v>0</v>
      </c>
      <c r="AB261" s="0" t="n">
        <f aca="false">MIN(T261,N('Debt Payoff'!E11))</f>
        <v>0</v>
      </c>
      <c r="AC261" s="0" t="n">
        <f aca="false">MIN(U261,N('Debt Payoff'!E12))</f>
        <v>0</v>
      </c>
      <c r="AD261" s="0" t="n">
        <f aca="false">MIN(V261,N('Debt Payoff'!E13))</f>
        <v>0</v>
      </c>
      <c r="AE261" s="0" t="n">
        <f aca="false">MIN(W261,N('Debt Payoff'!E14))</f>
        <v>0</v>
      </c>
      <c r="AF261" s="0" t="n">
        <f aca="false">MIN(X261,N('Debt Payoff'!E15))</f>
        <v>0</v>
      </c>
      <c r="AG261" s="0" t="n">
        <f aca="false">MIN(Y261,N('Debt Payoff'!E16))</f>
        <v>0</v>
      </c>
      <c r="AH261" s="0" t="n">
        <f aca="false">R261-Z261</f>
        <v>0</v>
      </c>
      <c r="AI261" s="0" t="n">
        <f aca="false">S261-AA261</f>
        <v>0</v>
      </c>
      <c r="AJ261" s="0" t="n">
        <f aca="false">T261-AB261</f>
        <v>0</v>
      </c>
      <c r="AK261" s="0" t="n">
        <f aca="false">U261-AC261</f>
        <v>0</v>
      </c>
      <c r="AL261" s="0" t="n">
        <f aca="false">V261-AD261</f>
        <v>0</v>
      </c>
      <c r="AM261" s="0" t="n">
        <f aca="false">W261-AE261</f>
        <v>0</v>
      </c>
      <c r="AN261" s="0" t="n">
        <f aca="false">X261-AF261</f>
        <v>0</v>
      </c>
      <c r="AO261" s="0" t="n">
        <f aca="false">Y261-AG261</f>
        <v>0</v>
      </c>
      <c r="AP261" s="0" t="n">
        <f aca="false">MAX(0,'Debt Payoff'!$D$17-SUM(Z261:AG261))</f>
        <v>805</v>
      </c>
      <c r="AQ261" s="0" t="n">
        <f aca="false">MIN(AH261,MAX(0,$AP261-SUMPRODUCT(($AH$1:$AO$1&lt;AH$1)*$AH261:$AO261)))</f>
        <v>0</v>
      </c>
      <c r="AR261" s="0" t="n">
        <f aca="false">MIN(AI261,MAX(0,$AP261-SUMPRODUCT(($AH$1:$AO$1&lt;AI$1)*$AH261:$AO261)))</f>
        <v>0</v>
      </c>
      <c r="AS261" s="0" t="n">
        <f aca="false">MIN(AJ261,MAX(0,$AP261-SUMPRODUCT(($AH$1:$AO$1&lt;AJ$1)*$AH261:$AO261)))</f>
        <v>0</v>
      </c>
      <c r="AT261" s="0" t="n">
        <f aca="false">MIN(AK261,MAX(0,$AP261-SUMPRODUCT(($AH$1:$AO$1&lt;AK$1)*$AH261:$AO261)))</f>
        <v>0</v>
      </c>
      <c r="AU261" s="0" t="n">
        <f aca="false">MIN(AL261,MAX(0,$AP261-SUMPRODUCT(($AH$1:$AO$1&lt;AL$1)*$AH261:$AO261)))</f>
        <v>0</v>
      </c>
      <c r="AV261" s="0" t="n">
        <f aca="false">MIN(AM261,MAX(0,$AP261-SUMPRODUCT(($AH$1:$AO$1&lt;AM$1)*$AH261:$AO261)))</f>
        <v>0</v>
      </c>
      <c r="AW261" s="0" t="n">
        <f aca="false">MIN(AN261,MAX(0,$AP261-SUMPRODUCT(($AH$1:$AO$1&lt;AN$1)*$AH261:$AO261)))</f>
        <v>0</v>
      </c>
      <c r="AX261" s="0" t="n">
        <f aca="false">MIN(AO261,MAX(0,$AP261-SUMPRODUCT(($AH$1:$AO$1&lt;AO$1)*$AH261:$AO261)))</f>
        <v>0</v>
      </c>
      <c r="AY261" s="0" t="n">
        <f aca="false">ROUND(AH261-AQ261,2)</f>
        <v>0</v>
      </c>
      <c r="AZ261" s="0" t="n">
        <f aca="false">ROUND(AI261-AR261,2)</f>
        <v>0</v>
      </c>
      <c r="BA261" s="0" t="n">
        <f aca="false">ROUND(AJ261-AS261,2)</f>
        <v>0</v>
      </c>
      <c r="BB261" s="0" t="n">
        <f aca="false">ROUND(AK261-AT261,2)</f>
        <v>0</v>
      </c>
      <c r="BC261" s="0" t="n">
        <f aca="false">ROUND(AL261-AU261,2)</f>
        <v>0</v>
      </c>
      <c r="BD261" s="0" t="n">
        <f aca="false">ROUND(AM261-AV261,2)</f>
        <v>0</v>
      </c>
      <c r="BE261" s="0" t="n">
        <f aca="false">ROUND(AN261-AW261,2)</f>
        <v>0</v>
      </c>
      <c r="BF261" s="0" t="n">
        <f aca="false">ROUND(AO261-AX261,2)</f>
        <v>0</v>
      </c>
      <c r="BG261" s="0" t="n">
        <f aca="false">SUM(AY261:BF261)</f>
        <v>0</v>
      </c>
    </row>
    <row r="262" customFormat="false" ht="15" hidden="false" customHeight="false" outlineLevel="0" collapsed="false">
      <c r="A262" s="0" t="n">
        <v>260</v>
      </c>
      <c r="B262" s="0" t="n">
        <f aca="false">AY261</f>
        <v>0</v>
      </c>
      <c r="C262" s="0" t="n">
        <f aca="false">AZ261</f>
        <v>0</v>
      </c>
      <c r="D262" s="0" t="n">
        <f aca="false">BA261</f>
        <v>0</v>
      </c>
      <c r="E262" s="0" t="n">
        <f aca="false">BB261</f>
        <v>0</v>
      </c>
      <c r="F262" s="0" t="n">
        <f aca="false">BC261</f>
        <v>0</v>
      </c>
      <c r="G262" s="0" t="n">
        <f aca="false">BD261</f>
        <v>0</v>
      </c>
      <c r="H262" s="0" t="n">
        <f aca="false">BE261</f>
        <v>0</v>
      </c>
      <c r="I262" s="0" t="n">
        <f aca="false">BF261</f>
        <v>0</v>
      </c>
      <c r="J262" s="0" t="n">
        <f aca="false">B262*N('Debt Payoff'!D9)/12</f>
        <v>0</v>
      </c>
      <c r="K262" s="0" t="n">
        <f aca="false">C262*N('Debt Payoff'!D10)/12</f>
        <v>0</v>
      </c>
      <c r="L262" s="0" t="n">
        <f aca="false">D262*N('Debt Payoff'!D11)/12</f>
        <v>0</v>
      </c>
      <c r="M262" s="0" t="n">
        <f aca="false">E262*N('Debt Payoff'!D12)/12</f>
        <v>0</v>
      </c>
      <c r="N262" s="0" t="n">
        <f aca="false">F262*N('Debt Payoff'!D13)/12</f>
        <v>0</v>
      </c>
      <c r="O262" s="0" t="n">
        <f aca="false">G262*N('Debt Payoff'!D14)/12</f>
        <v>0</v>
      </c>
      <c r="P262" s="0" t="n">
        <f aca="false">H262*N('Debt Payoff'!D15)/12</f>
        <v>0</v>
      </c>
      <c r="Q262" s="0" t="n">
        <f aca="false">I262*N('Debt Payoff'!D16)/12</f>
        <v>0</v>
      </c>
      <c r="R262" s="0" t="n">
        <f aca="false">B262+J262</f>
        <v>0</v>
      </c>
      <c r="S262" s="0" t="n">
        <f aca="false">C262+K262</f>
        <v>0</v>
      </c>
      <c r="T262" s="0" t="n">
        <f aca="false">D262+L262</f>
        <v>0</v>
      </c>
      <c r="U262" s="0" t="n">
        <f aca="false">E262+M262</f>
        <v>0</v>
      </c>
      <c r="V262" s="0" t="n">
        <f aca="false">F262+N262</f>
        <v>0</v>
      </c>
      <c r="W262" s="0" t="n">
        <f aca="false">G262+O262</f>
        <v>0</v>
      </c>
      <c r="X262" s="0" t="n">
        <f aca="false">H262+P262</f>
        <v>0</v>
      </c>
      <c r="Y262" s="0" t="n">
        <f aca="false">I262+Q262</f>
        <v>0</v>
      </c>
      <c r="Z262" s="0" t="n">
        <f aca="false">MIN(R262,N('Debt Payoff'!E9))</f>
        <v>0</v>
      </c>
      <c r="AA262" s="0" t="n">
        <f aca="false">MIN(S262,N('Debt Payoff'!E10))</f>
        <v>0</v>
      </c>
      <c r="AB262" s="0" t="n">
        <f aca="false">MIN(T262,N('Debt Payoff'!E11))</f>
        <v>0</v>
      </c>
      <c r="AC262" s="0" t="n">
        <f aca="false">MIN(U262,N('Debt Payoff'!E12))</f>
        <v>0</v>
      </c>
      <c r="AD262" s="0" t="n">
        <f aca="false">MIN(V262,N('Debt Payoff'!E13))</f>
        <v>0</v>
      </c>
      <c r="AE262" s="0" t="n">
        <f aca="false">MIN(W262,N('Debt Payoff'!E14))</f>
        <v>0</v>
      </c>
      <c r="AF262" s="0" t="n">
        <f aca="false">MIN(X262,N('Debt Payoff'!E15))</f>
        <v>0</v>
      </c>
      <c r="AG262" s="0" t="n">
        <f aca="false">MIN(Y262,N('Debt Payoff'!E16))</f>
        <v>0</v>
      </c>
      <c r="AH262" s="0" t="n">
        <f aca="false">R262-Z262</f>
        <v>0</v>
      </c>
      <c r="AI262" s="0" t="n">
        <f aca="false">S262-AA262</f>
        <v>0</v>
      </c>
      <c r="AJ262" s="0" t="n">
        <f aca="false">T262-AB262</f>
        <v>0</v>
      </c>
      <c r="AK262" s="0" t="n">
        <f aca="false">U262-AC262</f>
        <v>0</v>
      </c>
      <c r="AL262" s="0" t="n">
        <f aca="false">V262-AD262</f>
        <v>0</v>
      </c>
      <c r="AM262" s="0" t="n">
        <f aca="false">W262-AE262</f>
        <v>0</v>
      </c>
      <c r="AN262" s="0" t="n">
        <f aca="false">X262-AF262</f>
        <v>0</v>
      </c>
      <c r="AO262" s="0" t="n">
        <f aca="false">Y262-AG262</f>
        <v>0</v>
      </c>
      <c r="AP262" s="0" t="n">
        <f aca="false">MAX(0,'Debt Payoff'!$D$17-SUM(Z262:AG262))</f>
        <v>805</v>
      </c>
      <c r="AQ262" s="0" t="n">
        <f aca="false">MIN(AH262,MAX(0,$AP262-SUMPRODUCT(($AH$1:$AO$1&lt;AH$1)*$AH262:$AO262)))</f>
        <v>0</v>
      </c>
      <c r="AR262" s="0" t="n">
        <f aca="false">MIN(AI262,MAX(0,$AP262-SUMPRODUCT(($AH$1:$AO$1&lt;AI$1)*$AH262:$AO262)))</f>
        <v>0</v>
      </c>
      <c r="AS262" s="0" t="n">
        <f aca="false">MIN(AJ262,MAX(0,$AP262-SUMPRODUCT(($AH$1:$AO$1&lt;AJ$1)*$AH262:$AO262)))</f>
        <v>0</v>
      </c>
      <c r="AT262" s="0" t="n">
        <f aca="false">MIN(AK262,MAX(0,$AP262-SUMPRODUCT(($AH$1:$AO$1&lt;AK$1)*$AH262:$AO262)))</f>
        <v>0</v>
      </c>
      <c r="AU262" s="0" t="n">
        <f aca="false">MIN(AL262,MAX(0,$AP262-SUMPRODUCT(($AH$1:$AO$1&lt;AL$1)*$AH262:$AO262)))</f>
        <v>0</v>
      </c>
      <c r="AV262" s="0" t="n">
        <f aca="false">MIN(AM262,MAX(0,$AP262-SUMPRODUCT(($AH$1:$AO$1&lt;AM$1)*$AH262:$AO262)))</f>
        <v>0</v>
      </c>
      <c r="AW262" s="0" t="n">
        <f aca="false">MIN(AN262,MAX(0,$AP262-SUMPRODUCT(($AH$1:$AO$1&lt;AN$1)*$AH262:$AO262)))</f>
        <v>0</v>
      </c>
      <c r="AX262" s="0" t="n">
        <f aca="false">MIN(AO262,MAX(0,$AP262-SUMPRODUCT(($AH$1:$AO$1&lt;AO$1)*$AH262:$AO262)))</f>
        <v>0</v>
      </c>
      <c r="AY262" s="0" t="n">
        <f aca="false">ROUND(AH262-AQ262,2)</f>
        <v>0</v>
      </c>
      <c r="AZ262" s="0" t="n">
        <f aca="false">ROUND(AI262-AR262,2)</f>
        <v>0</v>
      </c>
      <c r="BA262" s="0" t="n">
        <f aca="false">ROUND(AJ262-AS262,2)</f>
        <v>0</v>
      </c>
      <c r="BB262" s="0" t="n">
        <f aca="false">ROUND(AK262-AT262,2)</f>
        <v>0</v>
      </c>
      <c r="BC262" s="0" t="n">
        <f aca="false">ROUND(AL262-AU262,2)</f>
        <v>0</v>
      </c>
      <c r="BD262" s="0" t="n">
        <f aca="false">ROUND(AM262-AV262,2)</f>
        <v>0</v>
      </c>
      <c r="BE262" s="0" t="n">
        <f aca="false">ROUND(AN262-AW262,2)</f>
        <v>0</v>
      </c>
      <c r="BF262" s="0" t="n">
        <f aca="false">ROUND(AO262-AX262,2)</f>
        <v>0</v>
      </c>
      <c r="BG262" s="0" t="n">
        <f aca="false">SUM(AY262:BF262)</f>
        <v>0</v>
      </c>
    </row>
    <row r="263" customFormat="false" ht="15" hidden="false" customHeight="false" outlineLevel="0" collapsed="false">
      <c r="A263" s="0" t="n">
        <v>261</v>
      </c>
      <c r="B263" s="0" t="n">
        <f aca="false">AY262</f>
        <v>0</v>
      </c>
      <c r="C263" s="0" t="n">
        <f aca="false">AZ262</f>
        <v>0</v>
      </c>
      <c r="D263" s="0" t="n">
        <f aca="false">BA262</f>
        <v>0</v>
      </c>
      <c r="E263" s="0" t="n">
        <f aca="false">BB262</f>
        <v>0</v>
      </c>
      <c r="F263" s="0" t="n">
        <f aca="false">BC262</f>
        <v>0</v>
      </c>
      <c r="G263" s="0" t="n">
        <f aca="false">BD262</f>
        <v>0</v>
      </c>
      <c r="H263" s="0" t="n">
        <f aca="false">BE262</f>
        <v>0</v>
      </c>
      <c r="I263" s="0" t="n">
        <f aca="false">BF262</f>
        <v>0</v>
      </c>
      <c r="J263" s="0" t="n">
        <f aca="false">B263*N('Debt Payoff'!D9)/12</f>
        <v>0</v>
      </c>
      <c r="K263" s="0" t="n">
        <f aca="false">C263*N('Debt Payoff'!D10)/12</f>
        <v>0</v>
      </c>
      <c r="L263" s="0" t="n">
        <f aca="false">D263*N('Debt Payoff'!D11)/12</f>
        <v>0</v>
      </c>
      <c r="M263" s="0" t="n">
        <f aca="false">E263*N('Debt Payoff'!D12)/12</f>
        <v>0</v>
      </c>
      <c r="N263" s="0" t="n">
        <f aca="false">F263*N('Debt Payoff'!D13)/12</f>
        <v>0</v>
      </c>
      <c r="O263" s="0" t="n">
        <f aca="false">G263*N('Debt Payoff'!D14)/12</f>
        <v>0</v>
      </c>
      <c r="P263" s="0" t="n">
        <f aca="false">H263*N('Debt Payoff'!D15)/12</f>
        <v>0</v>
      </c>
      <c r="Q263" s="0" t="n">
        <f aca="false">I263*N('Debt Payoff'!D16)/12</f>
        <v>0</v>
      </c>
      <c r="R263" s="0" t="n">
        <f aca="false">B263+J263</f>
        <v>0</v>
      </c>
      <c r="S263" s="0" t="n">
        <f aca="false">C263+K263</f>
        <v>0</v>
      </c>
      <c r="T263" s="0" t="n">
        <f aca="false">D263+L263</f>
        <v>0</v>
      </c>
      <c r="U263" s="0" t="n">
        <f aca="false">E263+M263</f>
        <v>0</v>
      </c>
      <c r="V263" s="0" t="n">
        <f aca="false">F263+N263</f>
        <v>0</v>
      </c>
      <c r="W263" s="0" t="n">
        <f aca="false">G263+O263</f>
        <v>0</v>
      </c>
      <c r="X263" s="0" t="n">
        <f aca="false">H263+P263</f>
        <v>0</v>
      </c>
      <c r="Y263" s="0" t="n">
        <f aca="false">I263+Q263</f>
        <v>0</v>
      </c>
      <c r="Z263" s="0" t="n">
        <f aca="false">MIN(R263,N('Debt Payoff'!E9))</f>
        <v>0</v>
      </c>
      <c r="AA263" s="0" t="n">
        <f aca="false">MIN(S263,N('Debt Payoff'!E10))</f>
        <v>0</v>
      </c>
      <c r="AB263" s="0" t="n">
        <f aca="false">MIN(T263,N('Debt Payoff'!E11))</f>
        <v>0</v>
      </c>
      <c r="AC263" s="0" t="n">
        <f aca="false">MIN(U263,N('Debt Payoff'!E12))</f>
        <v>0</v>
      </c>
      <c r="AD263" s="0" t="n">
        <f aca="false">MIN(V263,N('Debt Payoff'!E13))</f>
        <v>0</v>
      </c>
      <c r="AE263" s="0" t="n">
        <f aca="false">MIN(W263,N('Debt Payoff'!E14))</f>
        <v>0</v>
      </c>
      <c r="AF263" s="0" t="n">
        <f aca="false">MIN(X263,N('Debt Payoff'!E15))</f>
        <v>0</v>
      </c>
      <c r="AG263" s="0" t="n">
        <f aca="false">MIN(Y263,N('Debt Payoff'!E16))</f>
        <v>0</v>
      </c>
      <c r="AH263" s="0" t="n">
        <f aca="false">R263-Z263</f>
        <v>0</v>
      </c>
      <c r="AI263" s="0" t="n">
        <f aca="false">S263-AA263</f>
        <v>0</v>
      </c>
      <c r="AJ263" s="0" t="n">
        <f aca="false">T263-AB263</f>
        <v>0</v>
      </c>
      <c r="AK263" s="0" t="n">
        <f aca="false">U263-AC263</f>
        <v>0</v>
      </c>
      <c r="AL263" s="0" t="n">
        <f aca="false">V263-AD263</f>
        <v>0</v>
      </c>
      <c r="AM263" s="0" t="n">
        <f aca="false">W263-AE263</f>
        <v>0</v>
      </c>
      <c r="AN263" s="0" t="n">
        <f aca="false">X263-AF263</f>
        <v>0</v>
      </c>
      <c r="AO263" s="0" t="n">
        <f aca="false">Y263-AG263</f>
        <v>0</v>
      </c>
      <c r="AP263" s="0" t="n">
        <f aca="false">MAX(0,'Debt Payoff'!$D$17-SUM(Z263:AG263))</f>
        <v>805</v>
      </c>
      <c r="AQ263" s="0" t="n">
        <f aca="false">MIN(AH263,MAX(0,$AP263-SUMPRODUCT(($AH$1:$AO$1&lt;AH$1)*$AH263:$AO263)))</f>
        <v>0</v>
      </c>
      <c r="AR263" s="0" t="n">
        <f aca="false">MIN(AI263,MAX(0,$AP263-SUMPRODUCT(($AH$1:$AO$1&lt;AI$1)*$AH263:$AO263)))</f>
        <v>0</v>
      </c>
      <c r="AS263" s="0" t="n">
        <f aca="false">MIN(AJ263,MAX(0,$AP263-SUMPRODUCT(($AH$1:$AO$1&lt;AJ$1)*$AH263:$AO263)))</f>
        <v>0</v>
      </c>
      <c r="AT263" s="0" t="n">
        <f aca="false">MIN(AK263,MAX(0,$AP263-SUMPRODUCT(($AH$1:$AO$1&lt;AK$1)*$AH263:$AO263)))</f>
        <v>0</v>
      </c>
      <c r="AU263" s="0" t="n">
        <f aca="false">MIN(AL263,MAX(0,$AP263-SUMPRODUCT(($AH$1:$AO$1&lt;AL$1)*$AH263:$AO263)))</f>
        <v>0</v>
      </c>
      <c r="AV263" s="0" t="n">
        <f aca="false">MIN(AM263,MAX(0,$AP263-SUMPRODUCT(($AH$1:$AO$1&lt;AM$1)*$AH263:$AO263)))</f>
        <v>0</v>
      </c>
      <c r="AW263" s="0" t="n">
        <f aca="false">MIN(AN263,MAX(0,$AP263-SUMPRODUCT(($AH$1:$AO$1&lt;AN$1)*$AH263:$AO263)))</f>
        <v>0</v>
      </c>
      <c r="AX263" s="0" t="n">
        <f aca="false">MIN(AO263,MAX(0,$AP263-SUMPRODUCT(($AH$1:$AO$1&lt;AO$1)*$AH263:$AO263)))</f>
        <v>0</v>
      </c>
      <c r="AY263" s="0" t="n">
        <f aca="false">ROUND(AH263-AQ263,2)</f>
        <v>0</v>
      </c>
      <c r="AZ263" s="0" t="n">
        <f aca="false">ROUND(AI263-AR263,2)</f>
        <v>0</v>
      </c>
      <c r="BA263" s="0" t="n">
        <f aca="false">ROUND(AJ263-AS263,2)</f>
        <v>0</v>
      </c>
      <c r="BB263" s="0" t="n">
        <f aca="false">ROUND(AK263-AT263,2)</f>
        <v>0</v>
      </c>
      <c r="BC263" s="0" t="n">
        <f aca="false">ROUND(AL263-AU263,2)</f>
        <v>0</v>
      </c>
      <c r="BD263" s="0" t="n">
        <f aca="false">ROUND(AM263-AV263,2)</f>
        <v>0</v>
      </c>
      <c r="BE263" s="0" t="n">
        <f aca="false">ROUND(AN263-AW263,2)</f>
        <v>0</v>
      </c>
      <c r="BF263" s="0" t="n">
        <f aca="false">ROUND(AO263-AX263,2)</f>
        <v>0</v>
      </c>
      <c r="BG263" s="0" t="n">
        <f aca="false">SUM(AY263:BF263)</f>
        <v>0</v>
      </c>
    </row>
    <row r="264" customFormat="false" ht="15" hidden="false" customHeight="false" outlineLevel="0" collapsed="false">
      <c r="A264" s="0" t="n">
        <v>262</v>
      </c>
      <c r="B264" s="0" t="n">
        <f aca="false">AY263</f>
        <v>0</v>
      </c>
      <c r="C264" s="0" t="n">
        <f aca="false">AZ263</f>
        <v>0</v>
      </c>
      <c r="D264" s="0" t="n">
        <f aca="false">BA263</f>
        <v>0</v>
      </c>
      <c r="E264" s="0" t="n">
        <f aca="false">BB263</f>
        <v>0</v>
      </c>
      <c r="F264" s="0" t="n">
        <f aca="false">BC263</f>
        <v>0</v>
      </c>
      <c r="G264" s="0" t="n">
        <f aca="false">BD263</f>
        <v>0</v>
      </c>
      <c r="H264" s="0" t="n">
        <f aca="false">BE263</f>
        <v>0</v>
      </c>
      <c r="I264" s="0" t="n">
        <f aca="false">BF263</f>
        <v>0</v>
      </c>
      <c r="J264" s="0" t="n">
        <f aca="false">B264*N('Debt Payoff'!D9)/12</f>
        <v>0</v>
      </c>
      <c r="K264" s="0" t="n">
        <f aca="false">C264*N('Debt Payoff'!D10)/12</f>
        <v>0</v>
      </c>
      <c r="L264" s="0" t="n">
        <f aca="false">D264*N('Debt Payoff'!D11)/12</f>
        <v>0</v>
      </c>
      <c r="M264" s="0" t="n">
        <f aca="false">E264*N('Debt Payoff'!D12)/12</f>
        <v>0</v>
      </c>
      <c r="N264" s="0" t="n">
        <f aca="false">F264*N('Debt Payoff'!D13)/12</f>
        <v>0</v>
      </c>
      <c r="O264" s="0" t="n">
        <f aca="false">G264*N('Debt Payoff'!D14)/12</f>
        <v>0</v>
      </c>
      <c r="P264" s="0" t="n">
        <f aca="false">H264*N('Debt Payoff'!D15)/12</f>
        <v>0</v>
      </c>
      <c r="Q264" s="0" t="n">
        <f aca="false">I264*N('Debt Payoff'!D16)/12</f>
        <v>0</v>
      </c>
      <c r="R264" s="0" t="n">
        <f aca="false">B264+J264</f>
        <v>0</v>
      </c>
      <c r="S264" s="0" t="n">
        <f aca="false">C264+K264</f>
        <v>0</v>
      </c>
      <c r="T264" s="0" t="n">
        <f aca="false">D264+L264</f>
        <v>0</v>
      </c>
      <c r="U264" s="0" t="n">
        <f aca="false">E264+M264</f>
        <v>0</v>
      </c>
      <c r="V264" s="0" t="n">
        <f aca="false">F264+N264</f>
        <v>0</v>
      </c>
      <c r="W264" s="0" t="n">
        <f aca="false">G264+O264</f>
        <v>0</v>
      </c>
      <c r="X264" s="0" t="n">
        <f aca="false">H264+P264</f>
        <v>0</v>
      </c>
      <c r="Y264" s="0" t="n">
        <f aca="false">I264+Q264</f>
        <v>0</v>
      </c>
      <c r="Z264" s="0" t="n">
        <f aca="false">MIN(R264,N('Debt Payoff'!E9))</f>
        <v>0</v>
      </c>
      <c r="AA264" s="0" t="n">
        <f aca="false">MIN(S264,N('Debt Payoff'!E10))</f>
        <v>0</v>
      </c>
      <c r="AB264" s="0" t="n">
        <f aca="false">MIN(T264,N('Debt Payoff'!E11))</f>
        <v>0</v>
      </c>
      <c r="AC264" s="0" t="n">
        <f aca="false">MIN(U264,N('Debt Payoff'!E12))</f>
        <v>0</v>
      </c>
      <c r="AD264" s="0" t="n">
        <f aca="false">MIN(V264,N('Debt Payoff'!E13))</f>
        <v>0</v>
      </c>
      <c r="AE264" s="0" t="n">
        <f aca="false">MIN(W264,N('Debt Payoff'!E14))</f>
        <v>0</v>
      </c>
      <c r="AF264" s="0" t="n">
        <f aca="false">MIN(X264,N('Debt Payoff'!E15))</f>
        <v>0</v>
      </c>
      <c r="AG264" s="0" t="n">
        <f aca="false">MIN(Y264,N('Debt Payoff'!E16))</f>
        <v>0</v>
      </c>
      <c r="AH264" s="0" t="n">
        <f aca="false">R264-Z264</f>
        <v>0</v>
      </c>
      <c r="AI264" s="0" t="n">
        <f aca="false">S264-AA264</f>
        <v>0</v>
      </c>
      <c r="AJ264" s="0" t="n">
        <f aca="false">T264-AB264</f>
        <v>0</v>
      </c>
      <c r="AK264" s="0" t="n">
        <f aca="false">U264-AC264</f>
        <v>0</v>
      </c>
      <c r="AL264" s="0" t="n">
        <f aca="false">V264-AD264</f>
        <v>0</v>
      </c>
      <c r="AM264" s="0" t="n">
        <f aca="false">W264-AE264</f>
        <v>0</v>
      </c>
      <c r="AN264" s="0" t="n">
        <f aca="false">X264-AF264</f>
        <v>0</v>
      </c>
      <c r="AO264" s="0" t="n">
        <f aca="false">Y264-AG264</f>
        <v>0</v>
      </c>
      <c r="AP264" s="0" t="n">
        <f aca="false">MAX(0,'Debt Payoff'!$D$17-SUM(Z264:AG264))</f>
        <v>805</v>
      </c>
      <c r="AQ264" s="0" t="n">
        <f aca="false">MIN(AH264,MAX(0,$AP264-SUMPRODUCT(($AH$1:$AO$1&lt;AH$1)*$AH264:$AO264)))</f>
        <v>0</v>
      </c>
      <c r="AR264" s="0" t="n">
        <f aca="false">MIN(AI264,MAX(0,$AP264-SUMPRODUCT(($AH$1:$AO$1&lt;AI$1)*$AH264:$AO264)))</f>
        <v>0</v>
      </c>
      <c r="AS264" s="0" t="n">
        <f aca="false">MIN(AJ264,MAX(0,$AP264-SUMPRODUCT(($AH$1:$AO$1&lt;AJ$1)*$AH264:$AO264)))</f>
        <v>0</v>
      </c>
      <c r="AT264" s="0" t="n">
        <f aca="false">MIN(AK264,MAX(0,$AP264-SUMPRODUCT(($AH$1:$AO$1&lt;AK$1)*$AH264:$AO264)))</f>
        <v>0</v>
      </c>
      <c r="AU264" s="0" t="n">
        <f aca="false">MIN(AL264,MAX(0,$AP264-SUMPRODUCT(($AH$1:$AO$1&lt;AL$1)*$AH264:$AO264)))</f>
        <v>0</v>
      </c>
      <c r="AV264" s="0" t="n">
        <f aca="false">MIN(AM264,MAX(0,$AP264-SUMPRODUCT(($AH$1:$AO$1&lt;AM$1)*$AH264:$AO264)))</f>
        <v>0</v>
      </c>
      <c r="AW264" s="0" t="n">
        <f aca="false">MIN(AN264,MAX(0,$AP264-SUMPRODUCT(($AH$1:$AO$1&lt;AN$1)*$AH264:$AO264)))</f>
        <v>0</v>
      </c>
      <c r="AX264" s="0" t="n">
        <f aca="false">MIN(AO264,MAX(0,$AP264-SUMPRODUCT(($AH$1:$AO$1&lt;AO$1)*$AH264:$AO264)))</f>
        <v>0</v>
      </c>
      <c r="AY264" s="0" t="n">
        <f aca="false">ROUND(AH264-AQ264,2)</f>
        <v>0</v>
      </c>
      <c r="AZ264" s="0" t="n">
        <f aca="false">ROUND(AI264-AR264,2)</f>
        <v>0</v>
      </c>
      <c r="BA264" s="0" t="n">
        <f aca="false">ROUND(AJ264-AS264,2)</f>
        <v>0</v>
      </c>
      <c r="BB264" s="0" t="n">
        <f aca="false">ROUND(AK264-AT264,2)</f>
        <v>0</v>
      </c>
      <c r="BC264" s="0" t="n">
        <f aca="false">ROUND(AL264-AU264,2)</f>
        <v>0</v>
      </c>
      <c r="BD264" s="0" t="n">
        <f aca="false">ROUND(AM264-AV264,2)</f>
        <v>0</v>
      </c>
      <c r="BE264" s="0" t="n">
        <f aca="false">ROUND(AN264-AW264,2)</f>
        <v>0</v>
      </c>
      <c r="BF264" s="0" t="n">
        <f aca="false">ROUND(AO264-AX264,2)</f>
        <v>0</v>
      </c>
      <c r="BG264" s="0" t="n">
        <f aca="false">SUM(AY264:BF264)</f>
        <v>0</v>
      </c>
    </row>
    <row r="265" customFormat="false" ht="15" hidden="false" customHeight="false" outlineLevel="0" collapsed="false">
      <c r="A265" s="0" t="n">
        <v>263</v>
      </c>
      <c r="B265" s="0" t="n">
        <f aca="false">AY264</f>
        <v>0</v>
      </c>
      <c r="C265" s="0" t="n">
        <f aca="false">AZ264</f>
        <v>0</v>
      </c>
      <c r="D265" s="0" t="n">
        <f aca="false">BA264</f>
        <v>0</v>
      </c>
      <c r="E265" s="0" t="n">
        <f aca="false">BB264</f>
        <v>0</v>
      </c>
      <c r="F265" s="0" t="n">
        <f aca="false">BC264</f>
        <v>0</v>
      </c>
      <c r="G265" s="0" t="n">
        <f aca="false">BD264</f>
        <v>0</v>
      </c>
      <c r="H265" s="0" t="n">
        <f aca="false">BE264</f>
        <v>0</v>
      </c>
      <c r="I265" s="0" t="n">
        <f aca="false">BF264</f>
        <v>0</v>
      </c>
      <c r="J265" s="0" t="n">
        <f aca="false">B265*N('Debt Payoff'!D9)/12</f>
        <v>0</v>
      </c>
      <c r="K265" s="0" t="n">
        <f aca="false">C265*N('Debt Payoff'!D10)/12</f>
        <v>0</v>
      </c>
      <c r="L265" s="0" t="n">
        <f aca="false">D265*N('Debt Payoff'!D11)/12</f>
        <v>0</v>
      </c>
      <c r="M265" s="0" t="n">
        <f aca="false">E265*N('Debt Payoff'!D12)/12</f>
        <v>0</v>
      </c>
      <c r="N265" s="0" t="n">
        <f aca="false">F265*N('Debt Payoff'!D13)/12</f>
        <v>0</v>
      </c>
      <c r="O265" s="0" t="n">
        <f aca="false">G265*N('Debt Payoff'!D14)/12</f>
        <v>0</v>
      </c>
      <c r="P265" s="0" t="n">
        <f aca="false">H265*N('Debt Payoff'!D15)/12</f>
        <v>0</v>
      </c>
      <c r="Q265" s="0" t="n">
        <f aca="false">I265*N('Debt Payoff'!D16)/12</f>
        <v>0</v>
      </c>
      <c r="R265" s="0" t="n">
        <f aca="false">B265+J265</f>
        <v>0</v>
      </c>
      <c r="S265" s="0" t="n">
        <f aca="false">C265+K265</f>
        <v>0</v>
      </c>
      <c r="T265" s="0" t="n">
        <f aca="false">D265+L265</f>
        <v>0</v>
      </c>
      <c r="U265" s="0" t="n">
        <f aca="false">E265+M265</f>
        <v>0</v>
      </c>
      <c r="V265" s="0" t="n">
        <f aca="false">F265+N265</f>
        <v>0</v>
      </c>
      <c r="W265" s="0" t="n">
        <f aca="false">G265+O265</f>
        <v>0</v>
      </c>
      <c r="X265" s="0" t="n">
        <f aca="false">H265+P265</f>
        <v>0</v>
      </c>
      <c r="Y265" s="0" t="n">
        <f aca="false">I265+Q265</f>
        <v>0</v>
      </c>
      <c r="Z265" s="0" t="n">
        <f aca="false">MIN(R265,N('Debt Payoff'!E9))</f>
        <v>0</v>
      </c>
      <c r="AA265" s="0" t="n">
        <f aca="false">MIN(S265,N('Debt Payoff'!E10))</f>
        <v>0</v>
      </c>
      <c r="AB265" s="0" t="n">
        <f aca="false">MIN(T265,N('Debt Payoff'!E11))</f>
        <v>0</v>
      </c>
      <c r="AC265" s="0" t="n">
        <f aca="false">MIN(U265,N('Debt Payoff'!E12))</f>
        <v>0</v>
      </c>
      <c r="AD265" s="0" t="n">
        <f aca="false">MIN(V265,N('Debt Payoff'!E13))</f>
        <v>0</v>
      </c>
      <c r="AE265" s="0" t="n">
        <f aca="false">MIN(W265,N('Debt Payoff'!E14))</f>
        <v>0</v>
      </c>
      <c r="AF265" s="0" t="n">
        <f aca="false">MIN(X265,N('Debt Payoff'!E15))</f>
        <v>0</v>
      </c>
      <c r="AG265" s="0" t="n">
        <f aca="false">MIN(Y265,N('Debt Payoff'!E16))</f>
        <v>0</v>
      </c>
      <c r="AH265" s="0" t="n">
        <f aca="false">R265-Z265</f>
        <v>0</v>
      </c>
      <c r="AI265" s="0" t="n">
        <f aca="false">S265-AA265</f>
        <v>0</v>
      </c>
      <c r="AJ265" s="0" t="n">
        <f aca="false">T265-AB265</f>
        <v>0</v>
      </c>
      <c r="AK265" s="0" t="n">
        <f aca="false">U265-AC265</f>
        <v>0</v>
      </c>
      <c r="AL265" s="0" t="n">
        <f aca="false">V265-AD265</f>
        <v>0</v>
      </c>
      <c r="AM265" s="0" t="n">
        <f aca="false">W265-AE265</f>
        <v>0</v>
      </c>
      <c r="AN265" s="0" t="n">
        <f aca="false">X265-AF265</f>
        <v>0</v>
      </c>
      <c r="AO265" s="0" t="n">
        <f aca="false">Y265-AG265</f>
        <v>0</v>
      </c>
      <c r="AP265" s="0" t="n">
        <f aca="false">MAX(0,'Debt Payoff'!$D$17-SUM(Z265:AG265))</f>
        <v>805</v>
      </c>
      <c r="AQ265" s="0" t="n">
        <f aca="false">MIN(AH265,MAX(0,$AP265-SUMPRODUCT(($AH$1:$AO$1&lt;AH$1)*$AH265:$AO265)))</f>
        <v>0</v>
      </c>
      <c r="AR265" s="0" t="n">
        <f aca="false">MIN(AI265,MAX(0,$AP265-SUMPRODUCT(($AH$1:$AO$1&lt;AI$1)*$AH265:$AO265)))</f>
        <v>0</v>
      </c>
      <c r="AS265" s="0" t="n">
        <f aca="false">MIN(AJ265,MAX(0,$AP265-SUMPRODUCT(($AH$1:$AO$1&lt;AJ$1)*$AH265:$AO265)))</f>
        <v>0</v>
      </c>
      <c r="AT265" s="0" t="n">
        <f aca="false">MIN(AK265,MAX(0,$AP265-SUMPRODUCT(($AH$1:$AO$1&lt;AK$1)*$AH265:$AO265)))</f>
        <v>0</v>
      </c>
      <c r="AU265" s="0" t="n">
        <f aca="false">MIN(AL265,MAX(0,$AP265-SUMPRODUCT(($AH$1:$AO$1&lt;AL$1)*$AH265:$AO265)))</f>
        <v>0</v>
      </c>
      <c r="AV265" s="0" t="n">
        <f aca="false">MIN(AM265,MAX(0,$AP265-SUMPRODUCT(($AH$1:$AO$1&lt;AM$1)*$AH265:$AO265)))</f>
        <v>0</v>
      </c>
      <c r="AW265" s="0" t="n">
        <f aca="false">MIN(AN265,MAX(0,$AP265-SUMPRODUCT(($AH$1:$AO$1&lt;AN$1)*$AH265:$AO265)))</f>
        <v>0</v>
      </c>
      <c r="AX265" s="0" t="n">
        <f aca="false">MIN(AO265,MAX(0,$AP265-SUMPRODUCT(($AH$1:$AO$1&lt;AO$1)*$AH265:$AO265)))</f>
        <v>0</v>
      </c>
      <c r="AY265" s="0" t="n">
        <f aca="false">ROUND(AH265-AQ265,2)</f>
        <v>0</v>
      </c>
      <c r="AZ265" s="0" t="n">
        <f aca="false">ROUND(AI265-AR265,2)</f>
        <v>0</v>
      </c>
      <c r="BA265" s="0" t="n">
        <f aca="false">ROUND(AJ265-AS265,2)</f>
        <v>0</v>
      </c>
      <c r="BB265" s="0" t="n">
        <f aca="false">ROUND(AK265-AT265,2)</f>
        <v>0</v>
      </c>
      <c r="BC265" s="0" t="n">
        <f aca="false">ROUND(AL265-AU265,2)</f>
        <v>0</v>
      </c>
      <c r="BD265" s="0" t="n">
        <f aca="false">ROUND(AM265-AV265,2)</f>
        <v>0</v>
      </c>
      <c r="BE265" s="0" t="n">
        <f aca="false">ROUND(AN265-AW265,2)</f>
        <v>0</v>
      </c>
      <c r="BF265" s="0" t="n">
        <f aca="false">ROUND(AO265-AX265,2)</f>
        <v>0</v>
      </c>
      <c r="BG265" s="0" t="n">
        <f aca="false">SUM(AY265:BF265)</f>
        <v>0</v>
      </c>
    </row>
    <row r="266" customFormat="false" ht="15" hidden="false" customHeight="false" outlineLevel="0" collapsed="false">
      <c r="A266" s="0" t="n">
        <v>264</v>
      </c>
      <c r="B266" s="0" t="n">
        <f aca="false">AY265</f>
        <v>0</v>
      </c>
      <c r="C266" s="0" t="n">
        <f aca="false">AZ265</f>
        <v>0</v>
      </c>
      <c r="D266" s="0" t="n">
        <f aca="false">BA265</f>
        <v>0</v>
      </c>
      <c r="E266" s="0" t="n">
        <f aca="false">BB265</f>
        <v>0</v>
      </c>
      <c r="F266" s="0" t="n">
        <f aca="false">BC265</f>
        <v>0</v>
      </c>
      <c r="G266" s="0" t="n">
        <f aca="false">BD265</f>
        <v>0</v>
      </c>
      <c r="H266" s="0" t="n">
        <f aca="false">BE265</f>
        <v>0</v>
      </c>
      <c r="I266" s="0" t="n">
        <f aca="false">BF265</f>
        <v>0</v>
      </c>
      <c r="J266" s="0" t="n">
        <f aca="false">B266*N('Debt Payoff'!D9)/12</f>
        <v>0</v>
      </c>
      <c r="K266" s="0" t="n">
        <f aca="false">C266*N('Debt Payoff'!D10)/12</f>
        <v>0</v>
      </c>
      <c r="L266" s="0" t="n">
        <f aca="false">D266*N('Debt Payoff'!D11)/12</f>
        <v>0</v>
      </c>
      <c r="M266" s="0" t="n">
        <f aca="false">E266*N('Debt Payoff'!D12)/12</f>
        <v>0</v>
      </c>
      <c r="N266" s="0" t="n">
        <f aca="false">F266*N('Debt Payoff'!D13)/12</f>
        <v>0</v>
      </c>
      <c r="O266" s="0" t="n">
        <f aca="false">G266*N('Debt Payoff'!D14)/12</f>
        <v>0</v>
      </c>
      <c r="P266" s="0" t="n">
        <f aca="false">H266*N('Debt Payoff'!D15)/12</f>
        <v>0</v>
      </c>
      <c r="Q266" s="0" t="n">
        <f aca="false">I266*N('Debt Payoff'!D16)/12</f>
        <v>0</v>
      </c>
      <c r="R266" s="0" t="n">
        <f aca="false">B266+J266</f>
        <v>0</v>
      </c>
      <c r="S266" s="0" t="n">
        <f aca="false">C266+K266</f>
        <v>0</v>
      </c>
      <c r="T266" s="0" t="n">
        <f aca="false">D266+L266</f>
        <v>0</v>
      </c>
      <c r="U266" s="0" t="n">
        <f aca="false">E266+M266</f>
        <v>0</v>
      </c>
      <c r="V266" s="0" t="n">
        <f aca="false">F266+N266</f>
        <v>0</v>
      </c>
      <c r="W266" s="0" t="n">
        <f aca="false">G266+O266</f>
        <v>0</v>
      </c>
      <c r="X266" s="0" t="n">
        <f aca="false">H266+P266</f>
        <v>0</v>
      </c>
      <c r="Y266" s="0" t="n">
        <f aca="false">I266+Q266</f>
        <v>0</v>
      </c>
      <c r="Z266" s="0" t="n">
        <f aca="false">MIN(R266,N('Debt Payoff'!E9))</f>
        <v>0</v>
      </c>
      <c r="AA266" s="0" t="n">
        <f aca="false">MIN(S266,N('Debt Payoff'!E10))</f>
        <v>0</v>
      </c>
      <c r="AB266" s="0" t="n">
        <f aca="false">MIN(T266,N('Debt Payoff'!E11))</f>
        <v>0</v>
      </c>
      <c r="AC266" s="0" t="n">
        <f aca="false">MIN(U266,N('Debt Payoff'!E12))</f>
        <v>0</v>
      </c>
      <c r="AD266" s="0" t="n">
        <f aca="false">MIN(V266,N('Debt Payoff'!E13))</f>
        <v>0</v>
      </c>
      <c r="AE266" s="0" t="n">
        <f aca="false">MIN(W266,N('Debt Payoff'!E14))</f>
        <v>0</v>
      </c>
      <c r="AF266" s="0" t="n">
        <f aca="false">MIN(X266,N('Debt Payoff'!E15))</f>
        <v>0</v>
      </c>
      <c r="AG266" s="0" t="n">
        <f aca="false">MIN(Y266,N('Debt Payoff'!E16))</f>
        <v>0</v>
      </c>
      <c r="AH266" s="0" t="n">
        <f aca="false">R266-Z266</f>
        <v>0</v>
      </c>
      <c r="AI266" s="0" t="n">
        <f aca="false">S266-AA266</f>
        <v>0</v>
      </c>
      <c r="AJ266" s="0" t="n">
        <f aca="false">T266-AB266</f>
        <v>0</v>
      </c>
      <c r="AK266" s="0" t="n">
        <f aca="false">U266-AC266</f>
        <v>0</v>
      </c>
      <c r="AL266" s="0" t="n">
        <f aca="false">V266-AD266</f>
        <v>0</v>
      </c>
      <c r="AM266" s="0" t="n">
        <f aca="false">W266-AE266</f>
        <v>0</v>
      </c>
      <c r="AN266" s="0" t="n">
        <f aca="false">X266-AF266</f>
        <v>0</v>
      </c>
      <c r="AO266" s="0" t="n">
        <f aca="false">Y266-AG266</f>
        <v>0</v>
      </c>
      <c r="AP266" s="0" t="n">
        <f aca="false">MAX(0,'Debt Payoff'!$D$17-SUM(Z266:AG266))</f>
        <v>805</v>
      </c>
      <c r="AQ266" s="0" t="n">
        <f aca="false">MIN(AH266,MAX(0,$AP266-SUMPRODUCT(($AH$1:$AO$1&lt;AH$1)*$AH266:$AO266)))</f>
        <v>0</v>
      </c>
      <c r="AR266" s="0" t="n">
        <f aca="false">MIN(AI266,MAX(0,$AP266-SUMPRODUCT(($AH$1:$AO$1&lt;AI$1)*$AH266:$AO266)))</f>
        <v>0</v>
      </c>
      <c r="AS266" s="0" t="n">
        <f aca="false">MIN(AJ266,MAX(0,$AP266-SUMPRODUCT(($AH$1:$AO$1&lt;AJ$1)*$AH266:$AO266)))</f>
        <v>0</v>
      </c>
      <c r="AT266" s="0" t="n">
        <f aca="false">MIN(AK266,MAX(0,$AP266-SUMPRODUCT(($AH$1:$AO$1&lt;AK$1)*$AH266:$AO266)))</f>
        <v>0</v>
      </c>
      <c r="AU266" s="0" t="n">
        <f aca="false">MIN(AL266,MAX(0,$AP266-SUMPRODUCT(($AH$1:$AO$1&lt;AL$1)*$AH266:$AO266)))</f>
        <v>0</v>
      </c>
      <c r="AV266" s="0" t="n">
        <f aca="false">MIN(AM266,MAX(0,$AP266-SUMPRODUCT(($AH$1:$AO$1&lt;AM$1)*$AH266:$AO266)))</f>
        <v>0</v>
      </c>
      <c r="AW266" s="0" t="n">
        <f aca="false">MIN(AN266,MAX(0,$AP266-SUMPRODUCT(($AH$1:$AO$1&lt;AN$1)*$AH266:$AO266)))</f>
        <v>0</v>
      </c>
      <c r="AX266" s="0" t="n">
        <f aca="false">MIN(AO266,MAX(0,$AP266-SUMPRODUCT(($AH$1:$AO$1&lt;AO$1)*$AH266:$AO266)))</f>
        <v>0</v>
      </c>
      <c r="AY266" s="0" t="n">
        <f aca="false">ROUND(AH266-AQ266,2)</f>
        <v>0</v>
      </c>
      <c r="AZ266" s="0" t="n">
        <f aca="false">ROUND(AI266-AR266,2)</f>
        <v>0</v>
      </c>
      <c r="BA266" s="0" t="n">
        <f aca="false">ROUND(AJ266-AS266,2)</f>
        <v>0</v>
      </c>
      <c r="BB266" s="0" t="n">
        <f aca="false">ROUND(AK266-AT266,2)</f>
        <v>0</v>
      </c>
      <c r="BC266" s="0" t="n">
        <f aca="false">ROUND(AL266-AU266,2)</f>
        <v>0</v>
      </c>
      <c r="BD266" s="0" t="n">
        <f aca="false">ROUND(AM266-AV266,2)</f>
        <v>0</v>
      </c>
      <c r="BE266" s="0" t="n">
        <f aca="false">ROUND(AN266-AW266,2)</f>
        <v>0</v>
      </c>
      <c r="BF266" s="0" t="n">
        <f aca="false">ROUND(AO266-AX266,2)</f>
        <v>0</v>
      </c>
      <c r="BG266" s="0" t="n">
        <f aca="false">SUM(AY266:BF266)</f>
        <v>0</v>
      </c>
    </row>
    <row r="267" customFormat="false" ht="15" hidden="false" customHeight="false" outlineLevel="0" collapsed="false">
      <c r="A267" s="0" t="n">
        <v>265</v>
      </c>
      <c r="B267" s="0" t="n">
        <f aca="false">AY266</f>
        <v>0</v>
      </c>
      <c r="C267" s="0" t="n">
        <f aca="false">AZ266</f>
        <v>0</v>
      </c>
      <c r="D267" s="0" t="n">
        <f aca="false">BA266</f>
        <v>0</v>
      </c>
      <c r="E267" s="0" t="n">
        <f aca="false">BB266</f>
        <v>0</v>
      </c>
      <c r="F267" s="0" t="n">
        <f aca="false">BC266</f>
        <v>0</v>
      </c>
      <c r="G267" s="0" t="n">
        <f aca="false">BD266</f>
        <v>0</v>
      </c>
      <c r="H267" s="0" t="n">
        <f aca="false">BE266</f>
        <v>0</v>
      </c>
      <c r="I267" s="0" t="n">
        <f aca="false">BF266</f>
        <v>0</v>
      </c>
      <c r="J267" s="0" t="n">
        <f aca="false">B267*N('Debt Payoff'!D9)/12</f>
        <v>0</v>
      </c>
      <c r="K267" s="0" t="n">
        <f aca="false">C267*N('Debt Payoff'!D10)/12</f>
        <v>0</v>
      </c>
      <c r="L267" s="0" t="n">
        <f aca="false">D267*N('Debt Payoff'!D11)/12</f>
        <v>0</v>
      </c>
      <c r="M267" s="0" t="n">
        <f aca="false">E267*N('Debt Payoff'!D12)/12</f>
        <v>0</v>
      </c>
      <c r="N267" s="0" t="n">
        <f aca="false">F267*N('Debt Payoff'!D13)/12</f>
        <v>0</v>
      </c>
      <c r="O267" s="0" t="n">
        <f aca="false">G267*N('Debt Payoff'!D14)/12</f>
        <v>0</v>
      </c>
      <c r="P267" s="0" t="n">
        <f aca="false">H267*N('Debt Payoff'!D15)/12</f>
        <v>0</v>
      </c>
      <c r="Q267" s="0" t="n">
        <f aca="false">I267*N('Debt Payoff'!D16)/12</f>
        <v>0</v>
      </c>
      <c r="R267" s="0" t="n">
        <f aca="false">B267+J267</f>
        <v>0</v>
      </c>
      <c r="S267" s="0" t="n">
        <f aca="false">C267+K267</f>
        <v>0</v>
      </c>
      <c r="T267" s="0" t="n">
        <f aca="false">D267+L267</f>
        <v>0</v>
      </c>
      <c r="U267" s="0" t="n">
        <f aca="false">E267+M267</f>
        <v>0</v>
      </c>
      <c r="V267" s="0" t="n">
        <f aca="false">F267+N267</f>
        <v>0</v>
      </c>
      <c r="W267" s="0" t="n">
        <f aca="false">G267+O267</f>
        <v>0</v>
      </c>
      <c r="X267" s="0" t="n">
        <f aca="false">H267+P267</f>
        <v>0</v>
      </c>
      <c r="Y267" s="0" t="n">
        <f aca="false">I267+Q267</f>
        <v>0</v>
      </c>
      <c r="Z267" s="0" t="n">
        <f aca="false">MIN(R267,N('Debt Payoff'!E9))</f>
        <v>0</v>
      </c>
      <c r="AA267" s="0" t="n">
        <f aca="false">MIN(S267,N('Debt Payoff'!E10))</f>
        <v>0</v>
      </c>
      <c r="AB267" s="0" t="n">
        <f aca="false">MIN(T267,N('Debt Payoff'!E11))</f>
        <v>0</v>
      </c>
      <c r="AC267" s="0" t="n">
        <f aca="false">MIN(U267,N('Debt Payoff'!E12))</f>
        <v>0</v>
      </c>
      <c r="AD267" s="0" t="n">
        <f aca="false">MIN(V267,N('Debt Payoff'!E13))</f>
        <v>0</v>
      </c>
      <c r="AE267" s="0" t="n">
        <f aca="false">MIN(W267,N('Debt Payoff'!E14))</f>
        <v>0</v>
      </c>
      <c r="AF267" s="0" t="n">
        <f aca="false">MIN(X267,N('Debt Payoff'!E15))</f>
        <v>0</v>
      </c>
      <c r="AG267" s="0" t="n">
        <f aca="false">MIN(Y267,N('Debt Payoff'!E16))</f>
        <v>0</v>
      </c>
      <c r="AH267" s="0" t="n">
        <f aca="false">R267-Z267</f>
        <v>0</v>
      </c>
      <c r="AI267" s="0" t="n">
        <f aca="false">S267-AA267</f>
        <v>0</v>
      </c>
      <c r="AJ267" s="0" t="n">
        <f aca="false">T267-AB267</f>
        <v>0</v>
      </c>
      <c r="AK267" s="0" t="n">
        <f aca="false">U267-AC267</f>
        <v>0</v>
      </c>
      <c r="AL267" s="0" t="n">
        <f aca="false">V267-AD267</f>
        <v>0</v>
      </c>
      <c r="AM267" s="0" t="n">
        <f aca="false">W267-AE267</f>
        <v>0</v>
      </c>
      <c r="AN267" s="0" t="n">
        <f aca="false">X267-AF267</f>
        <v>0</v>
      </c>
      <c r="AO267" s="0" t="n">
        <f aca="false">Y267-AG267</f>
        <v>0</v>
      </c>
      <c r="AP267" s="0" t="n">
        <f aca="false">MAX(0,'Debt Payoff'!$D$17-SUM(Z267:AG267))</f>
        <v>805</v>
      </c>
      <c r="AQ267" s="0" t="n">
        <f aca="false">MIN(AH267,MAX(0,$AP267-SUMPRODUCT(($AH$1:$AO$1&lt;AH$1)*$AH267:$AO267)))</f>
        <v>0</v>
      </c>
      <c r="AR267" s="0" t="n">
        <f aca="false">MIN(AI267,MAX(0,$AP267-SUMPRODUCT(($AH$1:$AO$1&lt;AI$1)*$AH267:$AO267)))</f>
        <v>0</v>
      </c>
      <c r="AS267" s="0" t="n">
        <f aca="false">MIN(AJ267,MAX(0,$AP267-SUMPRODUCT(($AH$1:$AO$1&lt;AJ$1)*$AH267:$AO267)))</f>
        <v>0</v>
      </c>
      <c r="AT267" s="0" t="n">
        <f aca="false">MIN(AK267,MAX(0,$AP267-SUMPRODUCT(($AH$1:$AO$1&lt;AK$1)*$AH267:$AO267)))</f>
        <v>0</v>
      </c>
      <c r="AU267" s="0" t="n">
        <f aca="false">MIN(AL267,MAX(0,$AP267-SUMPRODUCT(($AH$1:$AO$1&lt;AL$1)*$AH267:$AO267)))</f>
        <v>0</v>
      </c>
      <c r="AV267" s="0" t="n">
        <f aca="false">MIN(AM267,MAX(0,$AP267-SUMPRODUCT(($AH$1:$AO$1&lt;AM$1)*$AH267:$AO267)))</f>
        <v>0</v>
      </c>
      <c r="AW267" s="0" t="n">
        <f aca="false">MIN(AN267,MAX(0,$AP267-SUMPRODUCT(($AH$1:$AO$1&lt;AN$1)*$AH267:$AO267)))</f>
        <v>0</v>
      </c>
      <c r="AX267" s="0" t="n">
        <f aca="false">MIN(AO267,MAX(0,$AP267-SUMPRODUCT(($AH$1:$AO$1&lt;AO$1)*$AH267:$AO267)))</f>
        <v>0</v>
      </c>
      <c r="AY267" s="0" t="n">
        <f aca="false">ROUND(AH267-AQ267,2)</f>
        <v>0</v>
      </c>
      <c r="AZ267" s="0" t="n">
        <f aca="false">ROUND(AI267-AR267,2)</f>
        <v>0</v>
      </c>
      <c r="BA267" s="0" t="n">
        <f aca="false">ROUND(AJ267-AS267,2)</f>
        <v>0</v>
      </c>
      <c r="BB267" s="0" t="n">
        <f aca="false">ROUND(AK267-AT267,2)</f>
        <v>0</v>
      </c>
      <c r="BC267" s="0" t="n">
        <f aca="false">ROUND(AL267-AU267,2)</f>
        <v>0</v>
      </c>
      <c r="BD267" s="0" t="n">
        <f aca="false">ROUND(AM267-AV267,2)</f>
        <v>0</v>
      </c>
      <c r="BE267" s="0" t="n">
        <f aca="false">ROUND(AN267-AW267,2)</f>
        <v>0</v>
      </c>
      <c r="BF267" s="0" t="n">
        <f aca="false">ROUND(AO267-AX267,2)</f>
        <v>0</v>
      </c>
      <c r="BG267" s="0" t="n">
        <f aca="false">SUM(AY267:BF267)</f>
        <v>0</v>
      </c>
    </row>
    <row r="268" customFormat="false" ht="15" hidden="false" customHeight="false" outlineLevel="0" collapsed="false">
      <c r="A268" s="0" t="n">
        <v>266</v>
      </c>
      <c r="B268" s="0" t="n">
        <f aca="false">AY267</f>
        <v>0</v>
      </c>
      <c r="C268" s="0" t="n">
        <f aca="false">AZ267</f>
        <v>0</v>
      </c>
      <c r="D268" s="0" t="n">
        <f aca="false">BA267</f>
        <v>0</v>
      </c>
      <c r="E268" s="0" t="n">
        <f aca="false">BB267</f>
        <v>0</v>
      </c>
      <c r="F268" s="0" t="n">
        <f aca="false">BC267</f>
        <v>0</v>
      </c>
      <c r="G268" s="0" t="n">
        <f aca="false">BD267</f>
        <v>0</v>
      </c>
      <c r="H268" s="0" t="n">
        <f aca="false">BE267</f>
        <v>0</v>
      </c>
      <c r="I268" s="0" t="n">
        <f aca="false">BF267</f>
        <v>0</v>
      </c>
      <c r="J268" s="0" t="n">
        <f aca="false">B268*N('Debt Payoff'!D9)/12</f>
        <v>0</v>
      </c>
      <c r="K268" s="0" t="n">
        <f aca="false">C268*N('Debt Payoff'!D10)/12</f>
        <v>0</v>
      </c>
      <c r="L268" s="0" t="n">
        <f aca="false">D268*N('Debt Payoff'!D11)/12</f>
        <v>0</v>
      </c>
      <c r="M268" s="0" t="n">
        <f aca="false">E268*N('Debt Payoff'!D12)/12</f>
        <v>0</v>
      </c>
      <c r="N268" s="0" t="n">
        <f aca="false">F268*N('Debt Payoff'!D13)/12</f>
        <v>0</v>
      </c>
      <c r="O268" s="0" t="n">
        <f aca="false">G268*N('Debt Payoff'!D14)/12</f>
        <v>0</v>
      </c>
      <c r="P268" s="0" t="n">
        <f aca="false">H268*N('Debt Payoff'!D15)/12</f>
        <v>0</v>
      </c>
      <c r="Q268" s="0" t="n">
        <f aca="false">I268*N('Debt Payoff'!D16)/12</f>
        <v>0</v>
      </c>
      <c r="R268" s="0" t="n">
        <f aca="false">B268+J268</f>
        <v>0</v>
      </c>
      <c r="S268" s="0" t="n">
        <f aca="false">C268+K268</f>
        <v>0</v>
      </c>
      <c r="T268" s="0" t="n">
        <f aca="false">D268+L268</f>
        <v>0</v>
      </c>
      <c r="U268" s="0" t="n">
        <f aca="false">E268+M268</f>
        <v>0</v>
      </c>
      <c r="V268" s="0" t="n">
        <f aca="false">F268+N268</f>
        <v>0</v>
      </c>
      <c r="W268" s="0" t="n">
        <f aca="false">G268+O268</f>
        <v>0</v>
      </c>
      <c r="X268" s="0" t="n">
        <f aca="false">H268+P268</f>
        <v>0</v>
      </c>
      <c r="Y268" s="0" t="n">
        <f aca="false">I268+Q268</f>
        <v>0</v>
      </c>
      <c r="Z268" s="0" t="n">
        <f aca="false">MIN(R268,N('Debt Payoff'!E9))</f>
        <v>0</v>
      </c>
      <c r="AA268" s="0" t="n">
        <f aca="false">MIN(S268,N('Debt Payoff'!E10))</f>
        <v>0</v>
      </c>
      <c r="AB268" s="0" t="n">
        <f aca="false">MIN(T268,N('Debt Payoff'!E11))</f>
        <v>0</v>
      </c>
      <c r="AC268" s="0" t="n">
        <f aca="false">MIN(U268,N('Debt Payoff'!E12))</f>
        <v>0</v>
      </c>
      <c r="AD268" s="0" t="n">
        <f aca="false">MIN(V268,N('Debt Payoff'!E13))</f>
        <v>0</v>
      </c>
      <c r="AE268" s="0" t="n">
        <f aca="false">MIN(W268,N('Debt Payoff'!E14))</f>
        <v>0</v>
      </c>
      <c r="AF268" s="0" t="n">
        <f aca="false">MIN(X268,N('Debt Payoff'!E15))</f>
        <v>0</v>
      </c>
      <c r="AG268" s="0" t="n">
        <f aca="false">MIN(Y268,N('Debt Payoff'!E16))</f>
        <v>0</v>
      </c>
      <c r="AH268" s="0" t="n">
        <f aca="false">R268-Z268</f>
        <v>0</v>
      </c>
      <c r="AI268" s="0" t="n">
        <f aca="false">S268-AA268</f>
        <v>0</v>
      </c>
      <c r="AJ268" s="0" t="n">
        <f aca="false">T268-AB268</f>
        <v>0</v>
      </c>
      <c r="AK268" s="0" t="n">
        <f aca="false">U268-AC268</f>
        <v>0</v>
      </c>
      <c r="AL268" s="0" t="n">
        <f aca="false">V268-AD268</f>
        <v>0</v>
      </c>
      <c r="AM268" s="0" t="n">
        <f aca="false">W268-AE268</f>
        <v>0</v>
      </c>
      <c r="AN268" s="0" t="n">
        <f aca="false">X268-AF268</f>
        <v>0</v>
      </c>
      <c r="AO268" s="0" t="n">
        <f aca="false">Y268-AG268</f>
        <v>0</v>
      </c>
      <c r="AP268" s="0" t="n">
        <f aca="false">MAX(0,'Debt Payoff'!$D$17-SUM(Z268:AG268))</f>
        <v>805</v>
      </c>
      <c r="AQ268" s="0" t="n">
        <f aca="false">MIN(AH268,MAX(0,$AP268-SUMPRODUCT(($AH$1:$AO$1&lt;AH$1)*$AH268:$AO268)))</f>
        <v>0</v>
      </c>
      <c r="AR268" s="0" t="n">
        <f aca="false">MIN(AI268,MAX(0,$AP268-SUMPRODUCT(($AH$1:$AO$1&lt;AI$1)*$AH268:$AO268)))</f>
        <v>0</v>
      </c>
      <c r="AS268" s="0" t="n">
        <f aca="false">MIN(AJ268,MAX(0,$AP268-SUMPRODUCT(($AH$1:$AO$1&lt;AJ$1)*$AH268:$AO268)))</f>
        <v>0</v>
      </c>
      <c r="AT268" s="0" t="n">
        <f aca="false">MIN(AK268,MAX(0,$AP268-SUMPRODUCT(($AH$1:$AO$1&lt;AK$1)*$AH268:$AO268)))</f>
        <v>0</v>
      </c>
      <c r="AU268" s="0" t="n">
        <f aca="false">MIN(AL268,MAX(0,$AP268-SUMPRODUCT(($AH$1:$AO$1&lt;AL$1)*$AH268:$AO268)))</f>
        <v>0</v>
      </c>
      <c r="AV268" s="0" t="n">
        <f aca="false">MIN(AM268,MAX(0,$AP268-SUMPRODUCT(($AH$1:$AO$1&lt;AM$1)*$AH268:$AO268)))</f>
        <v>0</v>
      </c>
      <c r="AW268" s="0" t="n">
        <f aca="false">MIN(AN268,MAX(0,$AP268-SUMPRODUCT(($AH$1:$AO$1&lt;AN$1)*$AH268:$AO268)))</f>
        <v>0</v>
      </c>
      <c r="AX268" s="0" t="n">
        <f aca="false">MIN(AO268,MAX(0,$AP268-SUMPRODUCT(($AH$1:$AO$1&lt;AO$1)*$AH268:$AO268)))</f>
        <v>0</v>
      </c>
      <c r="AY268" s="0" t="n">
        <f aca="false">ROUND(AH268-AQ268,2)</f>
        <v>0</v>
      </c>
      <c r="AZ268" s="0" t="n">
        <f aca="false">ROUND(AI268-AR268,2)</f>
        <v>0</v>
      </c>
      <c r="BA268" s="0" t="n">
        <f aca="false">ROUND(AJ268-AS268,2)</f>
        <v>0</v>
      </c>
      <c r="BB268" s="0" t="n">
        <f aca="false">ROUND(AK268-AT268,2)</f>
        <v>0</v>
      </c>
      <c r="BC268" s="0" t="n">
        <f aca="false">ROUND(AL268-AU268,2)</f>
        <v>0</v>
      </c>
      <c r="BD268" s="0" t="n">
        <f aca="false">ROUND(AM268-AV268,2)</f>
        <v>0</v>
      </c>
      <c r="BE268" s="0" t="n">
        <f aca="false">ROUND(AN268-AW268,2)</f>
        <v>0</v>
      </c>
      <c r="BF268" s="0" t="n">
        <f aca="false">ROUND(AO268-AX268,2)</f>
        <v>0</v>
      </c>
      <c r="BG268" s="0" t="n">
        <f aca="false">SUM(AY268:BF268)</f>
        <v>0</v>
      </c>
    </row>
    <row r="269" customFormat="false" ht="15" hidden="false" customHeight="false" outlineLevel="0" collapsed="false">
      <c r="A269" s="0" t="n">
        <v>267</v>
      </c>
      <c r="B269" s="0" t="n">
        <f aca="false">AY268</f>
        <v>0</v>
      </c>
      <c r="C269" s="0" t="n">
        <f aca="false">AZ268</f>
        <v>0</v>
      </c>
      <c r="D269" s="0" t="n">
        <f aca="false">BA268</f>
        <v>0</v>
      </c>
      <c r="E269" s="0" t="n">
        <f aca="false">BB268</f>
        <v>0</v>
      </c>
      <c r="F269" s="0" t="n">
        <f aca="false">BC268</f>
        <v>0</v>
      </c>
      <c r="G269" s="0" t="n">
        <f aca="false">BD268</f>
        <v>0</v>
      </c>
      <c r="H269" s="0" t="n">
        <f aca="false">BE268</f>
        <v>0</v>
      </c>
      <c r="I269" s="0" t="n">
        <f aca="false">BF268</f>
        <v>0</v>
      </c>
      <c r="J269" s="0" t="n">
        <f aca="false">B269*N('Debt Payoff'!D9)/12</f>
        <v>0</v>
      </c>
      <c r="K269" s="0" t="n">
        <f aca="false">C269*N('Debt Payoff'!D10)/12</f>
        <v>0</v>
      </c>
      <c r="L269" s="0" t="n">
        <f aca="false">D269*N('Debt Payoff'!D11)/12</f>
        <v>0</v>
      </c>
      <c r="M269" s="0" t="n">
        <f aca="false">E269*N('Debt Payoff'!D12)/12</f>
        <v>0</v>
      </c>
      <c r="N269" s="0" t="n">
        <f aca="false">F269*N('Debt Payoff'!D13)/12</f>
        <v>0</v>
      </c>
      <c r="O269" s="0" t="n">
        <f aca="false">G269*N('Debt Payoff'!D14)/12</f>
        <v>0</v>
      </c>
      <c r="P269" s="0" t="n">
        <f aca="false">H269*N('Debt Payoff'!D15)/12</f>
        <v>0</v>
      </c>
      <c r="Q269" s="0" t="n">
        <f aca="false">I269*N('Debt Payoff'!D16)/12</f>
        <v>0</v>
      </c>
      <c r="R269" s="0" t="n">
        <f aca="false">B269+J269</f>
        <v>0</v>
      </c>
      <c r="S269" s="0" t="n">
        <f aca="false">C269+K269</f>
        <v>0</v>
      </c>
      <c r="T269" s="0" t="n">
        <f aca="false">D269+L269</f>
        <v>0</v>
      </c>
      <c r="U269" s="0" t="n">
        <f aca="false">E269+M269</f>
        <v>0</v>
      </c>
      <c r="V269" s="0" t="n">
        <f aca="false">F269+N269</f>
        <v>0</v>
      </c>
      <c r="W269" s="0" t="n">
        <f aca="false">G269+O269</f>
        <v>0</v>
      </c>
      <c r="X269" s="0" t="n">
        <f aca="false">H269+P269</f>
        <v>0</v>
      </c>
      <c r="Y269" s="0" t="n">
        <f aca="false">I269+Q269</f>
        <v>0</v>
      </c>
      <c r="Z269" s="0" t="n">
        <f aca="false">MIN(R269,N('Debt Payoff'!E9))</f>
        <v>0</v>
      </c>
      <c r="AA269" s="0" t="n">
        <f aca="false">MIN(S269,N('Debt Payoff'!E10))</f>
        <v>0</v>
      </c>
      <c r="AB269" s="0" t="n">
        <f aca="false">MIN(T269,N('Debt Payoff'!E11))</f>
        <v>0</v>
      </c>
      <c r="AC269" s="0" t="n">
        <f aca="false">MIN(U269,N('Debt Payoff'!E12))</f>
        <v>0</v>
      </c>
      <c r="AD269" s="0" t="n">
        <f aca="false">MIN(V269,N('Debt Payoff'!E13))</f>
        <v>0</v>
      </c>
      <c r="AE269" s="0" t="n">
        <f aca="false">MIN(W269,N('Debt Payoff'!E14))</f>
        <v>0</v>
      </c>
      <c r="AF269" s="0" t="n">
        <f aca="false">MIN(X269,N('Debt Payoff'!E15))</f>
        <v>0</v>
      </c>
      <c r="AG269" s="0" t="n">
        <f aca="false">MIN(Y269,N('Debt Payoff'!E16))</f>
        <v>0</v>
      </c>
      <c r="AH269" s="0" t="n">
        <f aca="false">R269-Z269</f>
        <v>0</v>
      </c>
      <c r="AI269" s="0" t="n">
        <f aca="false">S269-AA269</f>
        <v>0</v>
      </c>
      <c r="AJ269" s="0" t="n">
        <f aca="false">T269-AB269</f>
        <v>0</v>
      </c>
      <c r="AK269" s="0" t="n">
        <f aca="false">U269-AC269</f>
        <v>0</v>
      </c>
      <c r="AL269" s="0" t="n">
        <f aca="false">V269-AD269</f>
        <v>0</v>
      </c>
      <c r="AM269" s="0" t="n">
        <f aca="false">W269-AE269</f>
        <v>0</v>
      </c>
      <c r="AN269" s="0" t="n">
        <f aca="false">X269-AF269</f>
        <v>0</v>
      </c>
      <c r="AO269" s="0" t="n">
        <f aca="false">Y269-AG269</f>
        <v>0</v>
      </c>
      <c r="AP269" s="0" t="n">
        <f aca="false">MAX(0,'Debt Payoff'!$D$17-SUM(Z269:AG269))</f>
        <v>805</v>
      </c>
      <c r="AQ269" s="0" t="n">
        <f aca="false">MIN(AH269,MAX(0,$AP269-SUMPRODUCT(($AH$1:$AO$1&lt;AH$1)*$AH269:$AO269)))</f>
        <v>0</v>
      </c>
      <c r="AR269" s="0" t="n">
        <f aca="false">MIN(AI269,MAX(0,$AP269-SUMPRODUCT(($AH$1:$AO$1&lt;AI$1)*$AH269:$AO269)))</f>
        <v>0</v>
      </c>
      <c r="AS269" s="0" t="n">
        <f aca="false">MIN(AJ269,MAX(0,$AP269-SUMPRODUCT(($AH$1:$AO$1&lt;AJ$1)*$AH269:$AO269)))</f>
        <v>0</v>
      </c>
      <c r="AT269" s="0" t="n">
        <f aca="false">MIN(AK269,MAX(0,$AP269-SUMPRODUCT(($AH$1:$AO$1&lt;AK$1)*$AH269:$AO269)))</f>
        <v>0</v>
      </c>
      <c r="AU269" s="0" t="n">
        <f aca="false">MIN(AL269,MAX(0,$AP269-SUMPRODUCT(($AH$1:$AO$1&lt;AL$1)*$AH269:$AO269)))</f>
        <v>0</v>
      </c>
      <c r="AV269" s="0" t="n">
        <f aca="false">MIN(AM269,MAX(0,$AP269-SUMPRODUCT(($AH$1:$AO$1&lt;AM$1)*$AH269:$AO269)))</f>
        <v>0</v>
      </c>
      <c r="AW269" s="0" t="n">
        <f aca="false">MIN(AN269,MAX(0,$AP269-SUMPRODUCT(($AH$1:$AO$1&lt;AN$1)*$AH269:$AO269)))</f>
        <v>0</v>
      </c>
      <c r="AX269" s="0" t="n">
        <f aca="false">MIN(AO269,MAX(0,$AP269-SUMPRODUCT(($AH$1:$AO$1&lt;AO$1)*$AH269:$AO269)))</f>
        <v>0</v>
      </c>
      <c r="AY269" s="0" t="n">
        <f aca="false">ROUND(AH269-AQ269,2)</f>
        <v>0</v>
      </c>
      <c r="AZ269" s="0" t="n">
        <f aca="false">ROUND(AI269-AR269,2)</f>
        <v>0</v>
      </c>
      <c r="BA269" s="0" t="n">
        <f aca="false">ROUND(AJ269-AS269,2)</f>
        <v>0</v>
      </c>
      <c r="BB269" s="0" t="n">
        <f aca="false">ROUND(AK269-AT269,2)</f>
        <v>0</v>
      </c>
      <c r="BC269" s="0" t="n">
        <f aca="false">ROUND(AL269-AU269,2)</f>
        <v>0</v>
      </c>
      <c r="BD269" s="0" t="n">
        <f aca="false">ROUND(AM269-AV269,2)</f>
        <v>0</v>
      </c>
      <c r="BE269" s="0" t="n">
        <f aca="false">ROUND(AN269-AW269,2)</f>
        <v>0</v>
      </c>
      <c r="BF269" s="0" t="n">
        <f aca="false">ROUND(AO269-AX269,2)</f>
        <v>0</v>
      </c>
      <c r="BG269" s="0" t="n">
        <f aca="false">SUM(AY269:BF269)</f>
        <v>0</v>
      </c>
    </row>
    <row r="270" customFormat="false" ht="15" hidden="false" customHeight="false" outlineLevel="0" collapsed="false">
      <c r="A270" s="0" t="n">
        <v>268</v>
      </c>
      <c r="B270" s="0" t="n">
        <f aca="false">AY269</f>
        <v>0</v>
      </c>
      <c r="C270" s="0" t="n">
        <f aca="false">AZ269</f>
        <v>0</v>
      </c>
      <c r="D270" s="0" t="n">
        <f aca="false">BA269</f>
        <v>0</v>
      </c>
      <c r="E270" s="0" t="n">
        <f aca="false">BB269</f>
        <v>0</v>
      </c>
      <c r="F270" s="0" t="n">
        <f aca="false">BC269</f>
        <v>0</v>
      </c>
      <c r="G270" s="0" t="n">
        <f aca="false">BD269</f>
        <v>0</v>
      </c>
      <c r="H270" s="0" t="n">
        <f aca="false">BE269</f>
        <v>0</v>
      </c>
      <c r="I270" s="0" t="n">
        <f aca="false">BF269</f>
        <v>0</v>
      </c>
      <c r="J270" s="0" t="n">
        <f aca="false">B270*N('Debt Payoff'!D9)/12</f>
        <v>0</v>
      </c>
      <c r="K270" s="0" t="n">
        <f aca="false">C270*N('Debt Payoff'!D10)/12</f>
        <v>0</v>
      </c>
      <c r="L270" s="0" t="n">
        <f aca="false">D270*N('Debt Payoff'!D11)/12</f>
        <v>0</v>
      </c>
      <c r="M270" s="0" t="n">
        <f aca="false">E270*N('Debt Payoff'!D12)/12</f>
        <v>0</v>
      </c>
      <c r="N270" s="0" t="n">
        <f aca="false">F270*N('Debt Payoff'!D13)/12</f>
        <v>0</v>
      </c>
      <c r="O270" s="0" t="n">
        <f aca="false">G270*N('Debt Payoff'!D14)/12</f>
        <v>0</v>
      </c>
      <c r="P270" s="0" t="n">
        <f aca="false">H270*N('Debt Payoff'!D15)/12</f>
        <v>0</v>
      </c>
      <c r="Q270" s="0" t="n">
        <f aca="false">I270*N('Debt Payoff'!D16)/12</f>
        <v>0</v>
      </c>
      <c r="R270" s="0" t="n">
        <f aca="false">B270+J270</f>
        <v>0</v>
      </c>
      <c r="S270" s="0" t="n">
        <f aca="false">C270+K270</f>
        <v>0</v>
      </c>
      <c r="T270" s="0" t="n">
        <f aca="false">D270+L270</f>
        <v>0</v>
      </c>
      <c r="U270" s="0" t="n">
        <f aca="false">E270+M270</f>
        <v>0</v>
      </c>
      <c r="V270" s="0" t="n">
        <f aca="false">F270+N270</f>
        <v>0</v>
      </c>
      <c r="W270" s="0" t="n">
        <f aca="false">G270+O270</f>
        <v>0</v>
      </c>
      <c r="X270" s="0" t="n">
        <f aca="false">H270+P270</f>
        <v>0</v>
      </c>
      <c r="Y270" s="0" t="n">
        <f aca="false">I270+Q270</f>
        <v>0</v>
      </c>
      <c r="Z270" s="0" t="n">
        <f aca="false">MIN(R270,N('Debt Payoff'!E9))</f>
        <v>0</v>
      </c>
      <c r="AA270" s="0" t="n">
        <f aca="false">MIN(S270,N('Debt Payoff'!E10))</f>
        <v>0</v>
      </c>
      <c r="AB270" s="0" t="n">
        <f aca="false">MIN(T270,N('Debt Payoff'!E11))</f>
        <v>0</v>
      </c>
      <c r="AC270" s="0" t="n">
        <f aca="false">MIN(U270,N('Debt Payoff'!E12))</f>
        <v>0</v>
      </c>
      <c r="AD270" s="0" t="n">
        <f aca="false">MIN(V270,N('Debt Payoff'!E13))</f>
        <v>0</v>
      </c>
      <c r="AE270" s="0" t="n">
        <f aca="false">MIN(W270,N('Debt Payoff'!E14))</f>
        <v>0</v>
      </c>
      <c r="AF270" s="0" t="n">
        <f aca="false">MIN(X270,N('Debt Payoff'!E15))</f>
        <v>0</v>
      </c>
      <c r="AG270" s="0" t="n">
        <f aca="false">MIN(Y270,N('Debt Payoff'!E16))</f>
        <v>0</v>
      </c>
      <c r="AH270" s="0" t="n">
        <f aca="false">R270-Z270</f>
        <v>0</v>
      </c>
      <c r="AI270" s="0" t="n">
        <f aca="false">S270-AA270</f>
        <v>0</v>
      </c>
      <c r="AJ270" s="0" t="n">
        <f aca="false">T270-AB270</f>
        <v>0</v>
      </c>
      <c r="AK270" s="0" t="n">
        <f aca="false">U270-AC270</f>
        <v>0</v>
      </c>
      <c r="AL270" s="0" t="n">
        <f aca="false">V270-AD270</f>
        <v>0</v>
      </c>
      <c r="AM270" s="0" t="n">
        <f aca="false">W270-AE270</f>
        <v>0</v>
      </c>
      <c r="AN270" s="0" t="n">
        <f aca="false">X270-AF270</f>
        <v>0</v>
      </c>
      <c r="AO270" s="0" t="n">
        <f aca="false">Y270-AG270</f>
        <v>0</v>
      </c>
      <c r="AP270" s="0" t="n">
        <f aca="false">MAX(0,'Debt Payoff'!$D$17-SUM(Z270:AG270))</f>
        <v>805</v>
      </c>
      <c r="AQ270" s="0" t="n">
        <f aca="false">MIN(AH270,MAX(0,$AP270-SUMPRODUCT(($AH$1:$AO$1&lt;AH$1)*$AH270:$AO270)))</f>
        <v>0</v>
      </c>
      <c r="AR270" s="0" t="n">
        <f aca="false">MIN(AI270,MAX(0,$AP270-SUMPRODUCT(($AH$1:$AO$1&lt;AI$1)*$AH270:$AO270)))</f>
        <v>0</v>
      </c>
      <c r="AS270" s="0" t="n">
        <f aca="false">MIN(AJ270,MAX(0,$AP270-SUMPRODUCT(($AH$1:$AO$1&lt;AJ$1)*$AH270:$AO270)))</f>
        <v>0</v>
      </c>
      <c r="AT270" s="0" t="n">
        <f aca="false">MIN(AK270,MAX(0,$AP270-SUMPRODUCT(($AH$1:$AO$1&lt;AK$1)*$AH270:$AO270)))</f>
        <v>0</v>
      </c>
      <c r="AU270" s="0" t="n">
        <f aca="false">MIN(AL270,MAX(0,$AP270-SUMPRODUCT(($AH$1:$AO$1&lt;AL$1)*$AH270:$AO270)))</f>
        <v>0</v>
      </c>
      <c r="AV270" s="0" t="n">
        <f aca="false">MIN(AM270,MAX(0,$AP270-SUMPRODUCT(($AH$1:$AO$1&lt;AM$1)*$AH270:$AO270)))</f>
        <v>0</v>
      </c>
      <c r="AW270" s="0" t="n">
        <f aca="false">MIN(AN270,MAX(0,$AP270-SUMPRODUCT(($AH$1:$AO$1&lt;AN$1)*$AH270:$AO270)))</f>
        <v>0</v>
      </c>
      <c r="AX270" s="0" t="n">
        <f aca="false">MIN(AO270,MAX(0,$AP270-SUMPRODUCT(($AH$1:$AO$1&lt;AO$1)*$AH270:$AO270)))</f>
        <v>0</v>
      </c>
      <c r="AY270" s="0" t="n">
        <f aca="false">ROUND(AH270-AQ270,2)</f>
        <v>0</v>
      </c>
      <c r="AZ270" s="0" t="n">
        <f aca="false">ROUND(AI270-AR270,2)</f>
        <v>0</v>
      </c>
      <c r="BA270" s="0" t="n">
        <f aca="false">ROUND(AJ270-AS270,2)</f>
        <v>0</v>
      </c>
      <c r="BB270" s="0" t="n">
        <f aca="false">ROUND(AK270-AT270,2)</f>
        <v>0</v>
      </c>
      <c r="BC270" s="0" t="n">
        <f aca="false">ROUND(AL270-AU270,2)</f>
        <v>0</v>
      </c>
      <c r="BD270" s="0" t="n">
        <f aca="false">ROUND(AM270-AV270,2)</f>
        <v>0</v>
      </c>
      <c r="BE270" s="0" t="n">
        <f aca="false">ROUND(AN270-AW270,2)</f>
        <v>0</v>
      </c>
      <c r="BF270" s="0" t="n">
        <f aca="false">ROUND(AO270-AX270,2)</f>
        <v>0</v>
      </c>
      <c r="BG270" s="0" t="n">
        <f aca="false">SUM(AY270:BF270)</f>
        <v>0</v>
      </c>
    </row>
    <row r="271" customFormat="false" ht="15" hidden="false" customHeight="false" outlineLevel="0" collapsed="false">
      <c r="A271" s="0" t="n">
        <v>269</v>
      </c>
      <c r="B271" s="0" t="n">
        <f aca="false">AY270</f>
        <v>0</v>
      </c>
      <c r="C271" s="0" t="n">
        <f aca="false">AZ270</f>
        <v>0</v>
      </c>
      <c r="D271" s="0" t="n">
        <f aca="false">BA270</f>
        <v>0</v>
      </c>
      <c r="E271" s="0" t="n">
        <f aca="false">BB270</f>
        <v>0</v>
      </c>
      <c r="F271" s="0" t="n">
        <f aca="false">BC270</f>
        <v>0</v>
      </c>
      <c r="G271" s="0" t="n">
        <f aca="false">BD270</f>
        <v>0</v>
      </c>
      <c r="H271" s="0" t="n">
        <f aca="false">BE270</f>
        <v>0</v>
      </c>
      <c r="I271" s="0" t="n">
        <f aca="false">BF270</f>
        <v>0</v>
      </c>
      <c r="J271" s="0" t="n">
        <f aca="false">B271*N('Debt Payoff'!D9)/12</f>
        <v>0</v>
      </c>
      <c r="K271" s="0" t="n">
        <f aca="false">C271*N('Debt Payoff'!D10)/12</f>
        <v>0</v>
      </c>
      <c r="L271" s="0" t="n">
        <f aca="false">D271*N('Debt Payoff'!D11)/12</f>
        <v>0</v>
      </c>
      <c r="M271" s="0" t="n">
        <f aca="false">E271*N('Debt Payoff'!D12)/12</f>
        <v>0</v>
      </c>
      <c r="N271" s="0" t="n">
        <f aca="false">F271*N('Debt Payoff'!D13)/12</f>
        <v>0</v>
      </c>
      <c r="O271" s="0" t="n">
        <f aca="false">G271*N('Debt Payoff'!D14)/12</f>
        <v>0</v>
      </c>
      <c r="P271" s="0" t="n">
        <f aca="false">H271*N('Debt Payoff'!D15)/12</f>
        <v>0</v>
      </c>
      <c r="Q271" s="0" t="n">
        <f aca="false">I271*N('Debt Payoff'!D16)/12</f>
        <v>0</v>
      </c>
      <c r="R271" s="0" t="n">
        <f aca="false">B271+J271</f>
        <v>0</v>
      </c>
      <c r="S271" s="0" t="n">
        <f aca="false">C271+K271</f>
        <v>0</v>
      </c>
      <c r="T271" s="0" t="n">
        <f aca="false">D271+L271</f>
        <v>0</v>
      </c>
      <c r="U271" s="0" t="n">
        <f aca="false">E271+M271</f>
        <v>0</v>
      </c>
      <c r="V271" s="0" t="n">
        <f aca="false">F271+N271</f>
        <v>0</v>
      </c>
      <c r="W271" s="0" t="n">
        <f aca="false">G271+O271</f>
        <v>0</v>
      </c>
      <c r="X271" s="0" t="n">
        <f aca="false">H271+P271</f>
        <v>0</v>
      </c>
      <c r="Y271" s="0" t="n">
        <f aca="false">I271+Q271</f>
        <v>0</v>
      </c>
      <c r="Z271" s="0" t="n">
        <f aca="false">MIN(R271,N('Debt Payoff'!E9))</f>
        <v>0</v>
      </c>
      <c r="AA271" s="0" t="n">
        <f aca="false">MIN(S271,N('Debt Payoff'!E10))</f>
        <v>0</v>
      </c>
      <c r="AB271" s="0" t="n">
        <f aca="false">MIN(T271,N('Debt Payoff'!E11))</f>
        <v>0</v>
      </c>
      <c r="AC271" s="0" t="n">
        <f aca="false">MIN(U271,N('Debt Payoff'!E12))</f>
        <v>0</v>
      </c>
      <c r="AD271" s="0" t="n">
        <f aca="false">MIN(V271,N('Debt Payoff'!E13))</f>
        <v>0</v>
      </c>
      <c r="AE271" s="0" t="n">
        <f aca="false">MIN(W271,N('Debt Payoff'!E14))</f>
        <v>0</v>
      </c>
      <c r="AF271" s="0" t="n">
        <f aca="false">MIN(X271,N('Debt Payoff'!E15))</f>
        <v>0</v>
      </c>
      <c r="AG271" s="0" t="n">
        <f aca="false">MIN(Y271,N('Debt Payoff'!E16))</f>
        <v>0</v>
      </c>
      <c r="AH271" s="0" t="n">
        <f aca="false">R271-Z271</f>
        <v>0</v>
      </c>
      <c r="AI271" s="0" t="n">
        <f aca="false">S271-AA271</f>
        <v>0</v>
      </c>
      <c r="AJ271" s="0" t="n">
        <f aca="false">T271-AB271</f>
        <v>0</v>
      </c>
      <c r="AK271" s="0" t="n">
        <f aca="false">U271-AC271</f>
        <v>0</v>
      </c>
      <c r="AL271" s="0" t="n">
        <f aca="false">V271-AD271</f>
        <v>0</v>
      </c>
      <c r="AM271" s="0" t="n">
        <f aca="false">W271-AE271</f>
        <v>0</v>
      </c>
      <c r="AN271" s="0" t="n">
        <f aca="false">X271-AF271</f>
        <v>0</v>
      </c>
      <c r="AO271" s="0" t="n">
        <f aca="false">Y271-AG271</f>
        <v>0</v>
      </c>
      <c r="AP271" s="0" t="n">
        <f aca="false">MAX(0,'Debt Payoff'!$D$17-SUM(Z271:AG271))</f>
        <v>805</v>
      </c>
      <c r="AQ271" s="0" t="n">
        <f aca="false">MIN(AH271,MAX(0,$AP271-SUMPRODUCT(($AH$1:$AO$1&lt;AH$1)*$AH271:$AO271)))</f>
        <v>0</v>
      </c>
      <c r="AR271" s="0" t="n">
        <f aca="false">MIN(AI271,MAX(0,$AP271-SUMPRODUCT(($AH$1:$AO$1&lt;AI$1)*$AH271:$AO271)))</f>
        <v>0</v>
      </c>
      <c r="AS271" s="0" t="n">
        <f aca="false">MIN(AJ271,MAX(0,$AP271-SUMPRODUCT(($AH$1:$AO$1&lt;AJ$1)*$AH271:$AO271)))</f>
        <v>0</v>
      </c>
      <c r="AT271" s="0" t="n">
        <f aca="false">MIN(AK271,MAX(0,$AP271-SUMPRODUCT(($AH$1:$AO$1&lt;AK$1)*$AH271:$AO271)))</f>
        <v>0</v>
      </c>
      <c r="AU271" s="0" t="n">
        <f aca="false">MIN(AL271,MAX(0,$AP271-SUMPRODUCT(($AH$1:$AO$1&lt;AL$1)*$AH271:$AO271)))</f>
        <v>0</v>
      </c>
      <c r="AV271" s="0" t="n">
        <f aca="false">MIN(AM271,MAX(0,$AP271-SUMPRODUCT(($AH$1:$AO$1&lt;AM$1)*$AH271:$AO271)))</f>
        <v>0</v>
      </c>
      <c r="AW271" s="0" t="n">
        <f aca="false">MIN(AN271,MAX(0,$AP271-SUMPRODUCT(($AH$1:$AO$1&lt;AN$1)*$AH271:$AO271)))</f>
        <v>0</v>
      </c>
      <c r="AX271" s="0" t="n">
        <f aca="false">MIN(AO271,MAX(0,$AP271-SUMPRODUCT(($AH$1:$AO$1&lt;AO$1)*$AH271:$AO271)))</f>
        <v>0</v>
      </c>
      <c r="AY271" s="0" t="n">
        <f aca="false">ROUND(AH271-AQ271,2)</f>
        <v>0</v>
      </c>
      <c r="AZ271" s="0" t="n">
        <f aca="false">ROUND(AI271-AR271,2)</f>
        <v>0</v>
      </c>
      <c r="BA271" s="0" t="n">
        <f aca="false">ROUND(AJ271-AS271,2)</f>
        <v>0</v>
      </c>
      <c r="BB271" s="0" t="n">
        <f aca="false">ROUND(AK271-AT271,2)</f>
        <v>0</v>
      </c>
      <c r="BC271" s="0" t="n">
        <f aca="false">ROUND(AL271-AU271,2)</f>
        <v>0</v>
      </c>
      <c r="BD271" s="0" t="n">
        <f aca="false">ROUND(AM271-AV271,2)</f>
        <v>0</v>
      </c>
      <c r="BE271" s="0" t="n">
        <f aca="false">ROUND(AN271-AW271,2)</f>
        <v>0</v>
      </c>
      <c r="BF271" s="0" t="n">
        <f aca="false">ROUND(AO271-AX271,2)</f>
        <v>0</v>
      </c>
      <c r="BG271" s="0" t="n">
        <f aca="false">SUM(AY271:BF271)</f>
        <v>0</v>
      </c>
    </row>
    <row r="272" customFormat="false" ht="15" hidden="false" customHeight="false" outlineLevel="0" collapsed="false">
      <c r="A272" s="0" t="n">
        <v>270</v>
      </c>
      <c r="B272" s="0" t="n">
        <f aca="false">AY271</f>
        <v>0</v>
      </c>
      <c r="C272" s="0" t="n">
        <f aca="false">AZ271</f>
        <v>0</v>
      </c>
      <c r="D272" s="0" t="n">
        <f aca="false">BA271</f>
        <v>0</v>
      </c>
      <c r="E272" s="0" t="n">
        <f aca="false">BB271</f>
        <v>0</v>
      </c>
      <c r="F272" s="0" t="n">
        <f aca="false">BC271</f>
        <v>0</v>
      </c>
      <c r="G272" s="0" t="n">
        <f aca="false">BD271</f>
        <v>0</v>
      </c>
      <c r="H272" s="0" t="n">
        <f aca="false">BE271</f>
        <v>0</v>
      </c>
      <c r="I272" s="0" t="n">
        <f aca="false">BF271</f>
        <v>0</v>
      </c>
      <c r="J272" s="0" t="n">
        <f aca="false">B272*N('Debt Payoff'!D9)/12</f>
        <v>0</v>
      </c>
      <c r="K272" s="0" t="n">
        <f aca="false">C272*N('Debt Payoff'!D10)/12</f>
        <v>0</v>
      </c>
      <c r="L272" s="0" t="n">
        <f aca="false">D272*N('Debt Payoff'!D11)/12</f>
        <v>0</v>
      </c>
      <c r="M272" s="0" t="n">
        <f aca="false">E272*N('Debt Payoff'!D12)/12</f>
        <v>0</v>
      </c>
      <c r="N272" s="0" t="n">
        <f aca="false">F272*N('Debt Payoff'!D13)/12</f>
        <v>0</v>
      </c>
      <c r="O272" s="0" t="n">
        <f aca="false">G272*N('Debt Payoff'!D14)/12</f>
        <v>0</v>
      </c>
      <c r="P272" s="0" t="n">
        <f aca="false">H272*N('Debt Payoff'!D15)/12</f>
        <v>0</v>
      </c>
      <c r="Q272" s="0" t="n">
        <f aca="false">I272*N('Debt Payoff'!D16)/12</f>
        <v>0</v>
      </c>
      <c r="R272" s="0" t="n">
        <f aca="false">B272+J272</f>
        <v>0</v>
      </c>
      <c r="S272" s="0" t="n">
        <f aca="false">C272+K272</f>
        <v>0</v>
      </c>
      <c r="T272" s="0" t="n">
        <f aca="false">D272+L272</f>
        <v>0</v>
      </c>
      <c r="U272" s="0" t="n">
        <f aca="false">E272+M272</f>
        <v>0</v>
      </c>
      <c r="V272" s="0" t="n">
        <f aca="false">F272+N272</f>
        <v>0</v>
      </c>
      <c r="W272" s="0" t="n">
        <f aca="false">G272+O272</f>
        <v>0</v>
      </c>
      <c r="X272" s="0" t="n">
        <f aca="false">H272+P272</f>
        <v>0</v>
      </c>
      <c r="Y272" s="0" t="n">
        <f aca="false">I272+Q272</f>
        <v>0</v>
      </c>
      <c r="Z272" s="0" t="n">
        <f aca="false">MIN(R272,N('Debt Payoff'!E9))</f>
        <v>0</v>
      </c>
      <c r="AA272" s="0" t="n">
        <f aca="false">MIN(S272,N('Debt Payoff'!E10))</f>
        <v>0</v>
      </c>
      <c r="AB272" s="0" t="n">
        <f aca="false">MIN(T272,N('Debt Payoff'!E11))</f>
        <v>0</v>
      </c>
      <c r="AC272" s="0" t="n">
        <f aca="false">MIN(U272,N('Debt Payoff'!E12))</f>
        <v>0</v>
      </c>
      <c r="AD272" s="0" t="n">
        <f aca="false">MIN(V272,N('Debt Payoff'!E13))</f>
        <v>0</v>
      </c>
      <c r="AE272" s="0" t="n">
        <f aca="false">MIN(W272,N('Debt Payoff'!E14))</f>
        <v>0</v>
      </c>
      <c r="AF272" s="0" t="n">
        <f aca="false">MIN(X272,N('Debt Payoff'!E15))</f>
        <v>0</v>
      </c>
      <c r="AG272" s="0" t="n">
        <f aca="false">MIN(Y272,N('Debt Payoff'!E16))</f>
        <v>0</v>
      </c>
      <c r="AH272" s="0" t="n">
        <f aca="false">R272-Z272</f>
        <v>0</v>
      </c>
      <c r="AI272" s="0" t="n">
        <f aca="false">S272-AA272</f>
        <v>0</v>
      </c>
      <c r="AJ272" s="0" t="n">
        <f aca="false">T272-AB272</f>
        <v>0</v>
      </c>
      <c r="AK272" s="0" t="n">
        <f aca="false">U272-AC272</f>
        <v>0</v>
      </c>
      <c r="AL272" s="0" t="n">
        <f aca="false">V272-AD272</f>
        <v>0</v>
      </c>
      <c r="AM272" s="0" t="n">
        <f aca="false">W272-AE272</f>
        <v>0</v>
      </c>
      <c r="AN272" s="0" t="n">
        <f aca="false">X272-AF272</f>
        <v>0</v>
      </c>
      <c r="AO272" s="0" t="n">
        <f aca="false">Y272-AG272</f>
        <v>0</v>
      </c>
      <c r="AP272" s="0" t="n">
        <f aca="false">MAX(0,'Debt Payoff'!$D$17-SUM(Z272:AG272))</f>
        <v>805</v>
      </c>
      <c r="AQ272" s="0" t="n">
        <f aca="false">MIN(AH272,MAX(0,$AP272-SUMPRODUCT(($AH$1:$AO$1&lt;AH$1)*$AH272:$AO272)))</f>
        <v>0</v>
      </c>
      <c r="AR272" s="0" t="n">
        <f aca="false">MIN(AI272,MAX(0,$AP272-SUMPRODUCT(($AH$1:$AO$1&lt;AI$1)*$AH272:$AO272)))</f>
        <v>0</v>
      </c>
      <c r="AS272" s="0" t="n">
        <f aca="false">MIN(AJ272,MAX(0,$AP272-SUMPRODUCT(($AH$1:$AO$1&lt;AJ$1)*$AH272:$AO272)))</f>
        <v>0</v>
      </c>
      <c r="AT272" s="0" t="n">
        <f aca="false">MIN(AK272,MAX(0,$AP272-SUMPRODUCT(($AH$1:$AO$1&lt;AK$1)*$AH272:$AO272)))</f>
        <v>0</v>
      </c>
      <c r="AU272" s="0" t="n">
        <f aca="false">MIN(AL272,MAX(0,$AP272-SUMPRODUCT(($AH$1:$AO$1&lt;AL$1)*$AH272:$AO272)))</f>
        <v>0</v>
      </c>
      <c r="AV272" s="0" t="n">
        <f aca="false">MIN(AM272,MAX(0,$AP272-SUMPRODUCT(($AH$1:$AO$1&lt;AM$1)*$AH272:$AO272)))</f>
        <v>0</v>
      </c>
      <c r="AW272" s="0" t="n">
        <f aca="false">MIN(AN272,MAX(0,$AP272-SUMPRODUCT(($AH$1:$AO$1&lt;AN$1)*$AH272:$AO272)))</f>
        <v>0</v>
      </c>
      <c r="AX272" s="0" t="n">
        <f aca="false">MIN(AO272,MAX(0,$AP272-SUMPRODUCT(($AH$1:$AO$1&lt;AO$1)*$AH272:$AO272)))</f>
        <v>0</v>
      </c>
      <c r="AY272" s="0" t="n">
        <f aca="false">ROUND(AH272-AQ272,2)</f>
        <v>0</v>
      </c>
      <c r="AZ272" s="0" t="n">
        <f aca="false">ROUND(AI272-AR272,2)</f>
        <v>0</v>
      </c>
      <c r="BA272" s="0" t="n">
        <f aca="false">ROUND(AJ272-AS272,2)</f>
        <v>0</v>
      </c>
      <c r="BB272" s="0" t="n">
        <f aca="false">ROUND(AK272-AT272,2)</f>
        <v>0</v>
      </c>
      <c r="BC272" s="0" t="n">
        <f aca="false">ROUND(AL272-AU272,2)</f>
        <v>0</v>
      </c>
      <c r="BD272" s="0" t="n">
        <f aca="false">ROUND(AM272-AV272,2)</f>
        <v>0</v>
      </c>
      <c r="BE272" s="0" t="n">
        <f aca="false">ROUND(AN272-AW272,2)</f>
        <v>0</v>
      </c>
      <c r="BF272" s="0" t="n">
        <f aca="false">ROUND(AO272-AX272,2)</f>
        <v>0</v>
      </c>
      <c r="BG272" s="0" t="n">
        <f aca="false">SUM(AY272:BF272)</f>
        <v>0</v>
      </c>
    </row>
    <row r="273" customFormat="false" ht="15" hidden="false" customHeight="false" outlineLevel="0" collapsed="false">
      <c r="A273" s="0" t="n">
        <v>271</v>
      </c>
      <c r="B273" s="0" t="n">
        <f aca="false">AY272</f>
        <v>0</v>
      </c>
      <c r="C273" s="0" t="n">
        <f aca="false">AZ272</f>
        <v>0</v>
      </c>
      <c r="D273" s="0" t="n">
        <f aca="false">BA272</f>
        <v>0</v>
      </c>
      <c r="E273" s="0" t="n">
        <f aca="false">BB272</f>
        <v>0</v>
      </c>
      <c r="F273" s="0" t="n">
        <f aca="false">BC272</f>
        <v>0</v>
      </c>
      <c r="G273" s="0" t="n">
        <f aca="false">BD272</f>
        <v>0</v>
      </c>
      <c r="H273" s="0" t="n">
        <f aca="false">BE272</f>
        <v>0</v>
      </c>
      <c r="I273" s="0" t="n">
        <f aca="false">BF272</f>
        <v>0</v>
      </c>
      <c r="J273" s="0" t="n">
        <f aca="false">B273*N('Debt Payoff'!D9)/12</f>
        <v>0</v>
      </c>
      <c r="K273" s="0" t="n">
        <f aca="false">C273*N('Debt Payoff'!D10)/12</f>
        <v>0</v>
      </c>
      <c r="L273" s="0" t="n">
        <f aca="false">D273*N('Debt Payoff'!D11)/12</f>
        <v>0</v>
      </c>
      <c r="M273" s="0" t="n">
        <f aca="false">E273*N('Debt Payoff'!D12)/12</f>
        <v>0</v>
      </c>
      <c r="N273" s="0" t="n">
        <f aca="false">F273*N('Debt Payoff'!D13)/12</f>
        <v>0</v>
      </c>
      <c r="O273" s="0" t="n">
        <f aca="false">G273*N('Debt Payoff'!D14)/12</f>
        <v>0</v>
      </c>
      <c r="P273" s="0" t="n">
        <f aca="false">H273*N('Debt Payoff'!D15)/12</f>
        <v>0</v>
      </c>
      <c r="Q273" s="0" t="n">
        <f aca="false">I273*N('Debt Payoff'!D16)/12</f>
        <v>0</v>
      </c>
      <c r="R273" s="0" t="n">
        <f aca="false">B273+J273</f>
        <v>0</v>
      </c>
      <c r="S273" s="0" t="n">
        <f aca="false">C273+K273</f>
        <v>0</v>
      </c>
      <c r="T273" s="0" t="n">
        <f aca="false">D273+L273</f>
        <v>0</v>
      </c>
      <c r="U273" s="0" t="n">
        <f aca="false">E273+M273</f>
        <v>0</v>
      </c>
      <c r="V273" s="0" t="n">
        <f aca="false">F273+N273</f>
        <v>0</v>
      </c>
      <c r="W273" s="0" t="n">
        <f aca="false">G273+O273</f>
        <v>0</v>
      </c>
      <c r="X273" s="0" t="n">
        <f aca="false">H273+P273</f>
        <v>0</v>
      </c>
      <c r="Y273" s="0" t="n">
        <f aca="false">I273+Q273</f>
        <v>0</v>
      </c>
      <c r="Z273" s="0" t="n">
        <f aca="false">MIN(R273,N('Debt Payoff'!E9))</f>
        <v>0</v>
      </c>
      <c r="AA273" s="0" t="n">
        <f aca="false">MIN(S273,N('Debt Payoff'!E10))</f>
        <v>0</v>
      </c>
      <c r="AB273" s="0" t="n">
        <f aca="false">MIN(T273,N('Debt Payoff'!E11))</f>
        <v>0</v>
      </c>
      <c r="AC273" s="0" t="n">
        <f aca="false">MIN(U273,N('Debt Payoff'!E12))</f>
        <v>0</v>
      </c>
      <c r="AD273" s="0" t="n">
        <f aca="false">MIN(V273,N('Debt Payoff'!E13))</f>
        <v>0</v>
      </c>
      <c r="AE273" s="0" t="n">
        <f aca="false">MIN(W273,N('Debt Payoff'!E14))</f>
        <v>0</v>
      </c>
      <c r="AF273" s="0" t="n">
        <f aca="false">MIN(X273,N('Debt Payoff'!E15))</f>
        <v>0</v>
      </c>
      <c r="AG273" s="0" t="n">
        <f aca="false">MIN(Y273,N('Debt Payoff'!E16))</f>
        <v>0</v>
      </c>
      <c r="AH273" s="0" t="n">
        <f aca="false">R273-Z273</f>
        <v>0</v>
      </c>
      <c r="AI273" s="0" t="n">
        <f aca="false">S273-AA273</f>
        <v>0</v>
      </c>
      <c r="AJ273" s="0" t="n">
        <f aca="false">T273-AB273</f>
        <v>0</v>
      </c>
      <c r="AK273" s="0" t="n">
        <f aca="false">U273-AC273</f>
        <v>0</v>
      </c>
      <c r="AL273" s="0" t="n">
        <f aca="false">V273-AD273</f>
        <v>0</v>
      </c>
      <c r="AM273" s="0" t="n">
        <f aca="false">W273-AE273</f>
        <v>0</v>
      </c>
      <c r="AN273" s="0" t="n">
        <f aca="false">X273-AF273</f>
        <v>0</v>
      </c>
      <c r="AO273" s="0" t="n">
        <f aca="false">Y273-AG273</f>
        <v>0</v>
      </c>
      <c r="AP273" s="0" t="n">
        <f aca="false">MAX(0,'Debt Payoff'!$D$17-SUM(Z273:AG273))</f>
        <v>805</v>
      </c>
      <c r="AQ273" s="0" t="n">
        <f aca="false">MIN(AH273,MAX(0,$AP273-SUMPRODUCT(($AH$1:$AO$1&lt;AH$1)*$AH273:$AO273)))</f>
        <v>0</v>
      </c>
      <c r="AR273" s="0" t="n">
        <f aca="false">MIN(AI273,MAX(0,$AP273-SUMPRODUCT(($AH$1:$AO$1&lt;AI$1)*$AH273:$AO273)))</f>
        <v>0</v>
      </c>
      <c r="AS273" s="0" t="n">
        <f aca="false">MIN(AJ273,MAX(0,$AP273-SUMPRODUCT(($AH$1:$AO$1&lt;AJ$1)*$AH273:$AO273)))</f>
        <v>0</v>
      </c>
      <c r="AT273" s="0" t="n">
        <f aca="false">MIN(AK273,MAX(0,$AP273-SUMPRODUCT(($AH$1:$AO$1&lt;AK$1)*$AH273:$AO273)))</f>
        <v>0</v>
      </c>
      <c r="AU273" s="0" t="n">
        <f aca="false">MIN(AL273,MAX(0,$AP273-SUMPRODUCT(($AH$1:$AO$1&lt;AL$1)*$AH273:$AO273)))</f>
        <v>0</v>
      </c>
      <c r="AV273" s="0" t="n">
        <f aca="false">MIN(AM273,MAX(0,$AP273-SUMPRODUCT(($AH$1:$AO$1&lt;AM$1)*$AH273:$AO273)))</f>
        <v>0</v>
      </c>
      <c r="AW273" s="0" t="n">
        <f aca="false">MIN(AN273,MAX(0,$AP273-SUMPRODUCT(($AH$1:$AO$1&lt;AN$1)*$AH273:$AO273)))</f>
        <v>0</v>
      </c>
      <c r="AX273" s="0" t="n">
        <f aca="false">MIN(AO273,MAX(0,$AP273-SUMPRODUCT(($AH$1:$AO$1&lt;AO$1)*$AH273:$AO273)))</f>
        <v>0</v>
      </c>
      <c r="AY273" s="0" t="n">
        <f aca="false">ROUND(AH273-AQ273,2)</f>
        <v>0</v>
      </c>
      <c r="AZ273" s="0" t="n">
        <f aca="false">ROUND(AI273-AR273,2)</f>
        <v>0</v>
      </c>
      <c r="BA273" s="0" t="n">
        <f aca="false">ROUND(AJ273-AS273,2)</f>
        <v>0</v>
      </c>
      <c r="BB273" s="0" t="n">
        <f aca="false">ROUND(AK273-AT273,2)</f>
        <v>0</v>
      </c>
      <c r="BC273" s="0" t="n">
        <f aca="false">ROUND(AL273-AU273,2)</f>
        <v>0</v>
      </c>
      <c r="BD273" s="0" t="n">
        <f aca="false">ROUND(AM273-AV273,2)</f>
        <v>0</v>
      </c>
      <c r="BE273" s="0" t="n">
        <f aca="false">ROUND(AN273-AW273,2)</f>
        <v>0</v>
      </c>
      <c r="BF273" s="0" t="n">
        <f aca="false">ROUND(AO273-AX273,2)</f>
        <v>0</v>
      </c>
      <c r="BG273" s="0" t="n">
        <f aca="false">SUM(AY273:BF273)</f>
        <v>0</v>
      </c>
    </row>
    <row r="274" customFormat="false" ht="15" hidden="false" customHeight="false" outlineLevel="0" collapsed="false">
      <c r="A274" s="0" t="n">
        <v>272</v>
      </c>
      <c r="B274" s="0" t="n">
        <f aca="false">AY273</f>
        <v>0</v>
      </c>
      <c r="C274" s="0" t="n">
        <f aca="false">AZ273</f>
        <v>0</v>
      </c>
      <c r="D274" s="0" t="n">
        <f aca="false">BA273</f>
        <v>0</v>
      </c>
      <c r="E274" s="0" t="n">
        <f aca="false">BB273</f>
        <v>0</v>
      </c>
      <c r="F274" s="0" t="n">
        <f aca="false">BC273</f>
        <v>0</v>
      </c>
      <c r="G274" s="0" t="n">
        <f aca="false">BD273</f>
        <v>0</v>
      </c>
      <c r="H274" s="0" t="n">
        <f aca="false">BE273</f>
        <v>0</v>
      </c>
      <c r="I274" s="0" t="n">
        <f aca="false">BF273</f>
        <v>0</v>
      </c>
      <c r="J274" s="0" t="n">
        <f aca="false">B274*N('Debt Payoff'!D9)/12</f>
        <v>0</v>
      </c>
      <c r="K274" s="0" t="n">
        <f aca="false">C274*N('Debt Payoff'!D10)/12</f>
        <v>0</v>
      </c>
      <c r="L274" s="0" t="n">
        <f aca="false">D274*N('Debt Payoff'!D11)/12</f>
        <v>0</v>
      </c>
      <c r="M274" s="0" t="n">
        <f aca="false">E274*N('Debt Payoff'!D12)/12</f>
        <v>0</v>
      </c>
      <c r="N274" s="0" t="n">
        <f aca="false">F274*N('Debt Payoff'!D13)/12</f>
        <v>0</v>
      </c>
      <c r="O274" s="0" t="n">
        <f aca="false">G274*N('Debt Payoff'!D14)/12</f>
        <v>0</v>
      </c>
      <c r="P274" s="0" t="n">
        <f aca="false">H274*N('Debt Payoff'!D15)/12</f>
        <v>0</v>
      </c>
      <c r="Q274" s="0" t="n">
        <f aca="false">I274*N('Debt Payoff'!D16)/12</f>
        <v>0</v>
      </c>
      <c r="R274" s="0" t="n">
        <f aca="false">B274+J274</f>
        <v>0</v>
      </c>
      <c r="S274" s="0" t="n">
        <f aca="false">C274+K274</f>
        <v>0</v>
      </c>
      <c r="T274" s="0" t="n">
        <f aca="false">D274+L274</f>
        <v>0</v>
      </c>
      <c r="U274" s="0" t="n">
        <f aca="false">E274+M274</f>
        <v>0</v>
      </c>
      <c r="V274" s="0" t="n">
        <f aca="false">F274+N274</f>
        <v>0</v>
      </c>
      <c r="W274" s="0" t="n">
        <f aca="false">G274+O274</f>
        <v>0</v>
      </c>
      <c r="X274" s="0" t="n">
        <f aca="false">H274+P274</f>
        <v>0</v>
      </c>
      <c r="Y274" s="0" t="n">
        <f aca="false">I274+Q274</f>
        <v>0</v>
      </c>
      <c r="Z274" s="0" t="n">
        <f aca="false">MIN(R274,N('Debt Payoff'!E9))</f>
        <v>0</v>
      </c>
      <c r="AA274" s="0" t="n">
        <f aca="false">MIN(S274,N('Debt Payoff'!E10))</f>
        <v>0</v>
      </c>
      <c r="AB274" s="0" t="n">
        <f aca="false">MIN(T274,N('Debt Payoff'!E11))</f>
        <v>0</v>
      </c>
      <c r="AC274" s="0" t="n">
        <f aca="false">MIN(U274,N('Debt Payoff'!E12))</f>
        <v>0</v>
      </c>
      <c r="AD274" s="0" t="n">
        <f aca="false">MIN(V274,N('Debt Payoff'!E13))</f>
        <v>0</v>
      </c>
      <c r="AE274" s="0" t="n">
        <f aca="false">MIN(W274,N('Debt Payoff'!E14))</f>
        <v>0</v>
      </c>
      <c r="AF274" s="0" t="n">
        <f aca="false">MIN(X274,N('Debt Payoff'!E15))</f>
        <v>0</v>
      </c>
      <c r="AG274" s="0" t="n">
        <f aca="false">MIN(Y274,N('Debt Payoff'!E16))</f>
        <v>0</v>
      </c>
      <c r="AH274" s="0" t="n">
        <f aca="false">R274-Z274</f>
        <v>0</v>
      </c>
      <c r="AI274" s="0" t="n">
        <f aca="false">S274-AA274</f>
        <v>0</v>
      </c>
      <c r="AJ274" s="0" t="n">
        <f aca="false">T274-AB274</f>
        <v>0</v>
      </c>
      <c r="AK274" s="0" t="n">
        <f aca="false">U274-AC274</f>
        <v>0</v>
      </c>
      <c r="AL274" s="0" t="n">
        <f aca="false">V274-AD274</f>
        <v>0</v>
      </c>
      <c r="AM274" s="0" t="n">
        <f aca="false">W274-AE274</f>
        <v>0</v>
      </c>
      <c r="AN274" s="0" t="n">
        <f aca="false">X274-AF274</f>
        <v>0</v>
      </c>
      <c r="AO274" s="0" t="n">
        <f aca="false">Y274-AG274</f>
        <v>0</v>
      </c>
      <c r="AP274" s="0" t="n">
        <f aca="false">MAX(0,'Debt Payoff'!$D$17-SUM(Z274:AG274))</f>
        <v>805</v>
      </c>
      <c r="AQ274" s="0" t="n">
        <f aca="false">MIN(AH274,MAX(0,$AP274-SUMPRODUCT(($AH$1:$AO$1&lt;AH$1)*$AH274:$AO274)))</f>
        <v>0</v>
      </c>
      <c r="AR274" s="0" t="n">
        <f aca="false">MIN(AI274,MAX(0,$AP274-SUMPRODUCT(($AH$1:$AO$1&lt;AI$1)*$AH274:$AO274)))</f>
        <v>0</v>
      </c>
      <c r="AS274" s="0" t="n">
        <f aca="false">MIN(AJ274,MAX(0,$AP274-SUMPRODUCT(($AH$1:$AO$1&lt;AJ$1)*$AH274:$AO274)))</f>
        <v>0</v>
      </c>
      <c r="AT274" s="0" t="n">
        <f aca="false">MIN(AK274,MAX(0,$AP274-SUMPRODUCT(($AH$1:$AO$1&lt;AK$1)*$AH274:$AO274)))</f>
        <v>0</v>
      </c>
      <c r="AU274" s="0" t="n">
        <f aca="false">MIN(AL274,MAX(0,$AP274-SUMPRODUCT(($AH$1:$AO$1&lt;AL$1)*$AH274:$AO274)))</f>
        <v>0</v>
      </c>
      <c r="AV274" s="0" t="n">
        <f aca="false">MIN(AM274,MAX(0,$AP274-SUMPRODUCT(($AH$1:$AO$1&lt;AM$1)*$AH274:$AO274)))</f>
        <v>0</v>
      </c>
      <c r="AW274" s="0" t="n">
        <f aca="false">MIN(AN274,MAX(0,$AP274-SUMPRODUCT(($AH$1:$AO$1&lt;AN$1)*$AH274:$AO274)))</f>
        <v>0</v>
      </c>
      <c r="AX274" s="0" t="n">
        <f aca="false">MIN(AO274,MAX(0,$AP274-SUMPRODUCT(($AH$1:$AO$1&lt;AO$1)*$AH274:$AO274)))</f>
        <v>0</v>
      </c>
      <c r="AY274" s="0" t="n">
        <f aca="false">ROUND(AH274-AQ274,2)</f>
        <v>0</v>
      </c>
      <c r="AZ274" s="0" t="n">
        <f aca="false">ROUND(AI274-AR274,2)</f>
        <v>0</v>
      </c>
      <c r="BA274" s="0" t="n">
        <f aca="false">ROUND(AJ274-AS274,2)</f>
        <v>0</v>
      </c>
      <c r="BB274" s="0" t="n">
        <f aca="false">ROUND(AK274-AT274,2)</f>
        <v>0</v>
      </c>
      <c r="BC274" s="0" t="n">
        <f aca="false">ROUND(AL274-AU274,2)</f>
        <v>0</v>
      </c>
      <c r="BD274" s="0" t="n">
        <f aca="false">ROUND(AM274-AV274,2)</f>
        <v>0</v>
      </c>
      <c r="BE274" s="0" t="n">
        <f aca="false">ROUND(AN274-AW274,2)</f>
        <v>0</v>
      </c>
      <c r="BF274" s="0" t="n">
        <f aca="false">ROUND(AO274-AX274,2)</f>
        <v>0</v>
      </c>
      <c r="BG274" s="0" t="n">
        <f aca="false">SUM(AY274:BF274)</f>
        <v>0</v>
      </c>
    </row>
    <row r="275" customFormat="false" ht="15" hidden="false" customHeight="false" outlineLevel="0" collapsed="false">
      <c r="A275" s="0" t="n">
        <v>273</v>
      </c>
      <c r="B275" s="0" t="n">
        <f aca="false">AY274</f>
        <v>0</v>
      </c>
      <c r="C275" s="0" t="n">
        <f aca="false">AZ274</f>
        <v>0</v>
      </c>
      <c r="D275" s="0" t="n">
        <f aca="false">BA274</f>
        <v>0</v>
      </c>
      <c r="E275" s="0" t="n">
        <f aca="false">BB274</f>
        <v>0</v>
      </c>
      <c r="F275" s="0" t="n">
        <f aca="false">BC274</f>
        <v>0</v>
      </c>
      <c r="G275" s="0" t="n">
        <f aca="false">BD274</f>
        <v>0</v>
      </c>
      <c r="H275" s="0" t="n">
        <f aca="false">BE274</f>
        <v>0</v>
      </c>
      <c r="I275" s="0" t="n">
        <f aca="false">BF274</f>
        <v>0</v>
      </c>
      <c r="J275" s="0" t="n">
        <f aca="false">B275*N('Debt Payoff'!D9)/12</f>
        <v>0</v>
      </c>
      <c r="K275" s="0" t="n">
        <f aca="false">C275*N('Debt Payoff'!D10)/12</f>
        <v>0</v>
      </c>
      <c r="L275" s="0" t="n">
        <f aca="false">D275*N('Debt Payoff'!D11)/12</f>
        <v>0</v>
      </c>
      <c r="M275" s="0" t="n">
        <f aca="false">E275*N('Debt Payoff'!D12)/12</f>
        <v>0</v>
      </c>
      <c r="N275" s="0" t="n">
        <f aca="false">F275*N('Debt Payoff'!D13)/12</f>
        <v>0</v>
      </c>
      <c r="O275" s="0" t="n">
        <f aca="false">G275*N('Debt Payoff'!D14)/12</f>
        <v>0</v>
      </c>
      <c r="P275" s="0" t="n">
        <f aca="false">H275*N('Debt Payoff'!D15)/12</f>
        <v>0</v>
      </c>
      <c r="Q275" s="0" t="n">
        <f aca="false">I275*N('Debt Payoff'!D16)/12</f>
        <v>0</v>
      </c>
      <c r="R275" s="0" t="n">
        <f aca="false">B275+J275</f>
        <v>0</v>
      </c>
      <c r="S275" s="0" t="n">
        <f aca="false">C275+K275</f>
        <v>0</v>
      </c>
      <c r="T275" s="0" t="n">
        <f aca="false">D275+L275</f>
        <v>0</v>
      </c>
      <c r="U275" s="0" t="n">
        <f aca="false">E275+M275</f>
        <v>0</v>
      </c>
      <c r="V275" s="0" t="n">
        <f aca="false">F275+N275</f>
        <v>0</v>
      </c>
      <c r="W275" s="0" t="n">
        <f aca="false">G275+O275</f>
        <v>0</v>
      </c>
      <c r="X275" s="0" t="n">
        <f aca="false">H275+P275</f>
        <v>0</v>
      </c>
      <c r="Y275" s="0" t="n">
        <f aca="false">I275+Q275</f>
        <v>0</v>
      </c>
      <c r="Z275" s="0" t="n">
        <f aca="false">MIN(R275,N('Debt Payoff'!E9))</f>
        <v>0</v>
      </c>
      <c r="AA275" s="0" t="n">
        <f aca="false">MIN(S275,N('Debt Payoff'!E10))</f>
        <v>0</v>
      </c>
      <c r="AB275" s="0" t="n">
        <f aca="false">MIN(T275,N('Debt Payoff'!E11))</f>
        <v>0</v>
      </c>
      <c r="AC275" s="0" t="n">
        <f aca="false">MIN(U275,N('Debt Payoff'!E12))</f>
        <v>0</v>
      </c>
      <c r="AD275" s="0" t="n">
        <f aca="false">MIN(V275,N('Debt Payoff'!E13))</f>
        <v>0</v>
      </c>
      <c r="AE275" s="0" t="n">
        <f aca="false">MIN(W275,N('Debt Payoff'!E14))</f>
        <v>0</v>
      </c>
      <c r="AF275" s="0" t="n">
        <f aca="false">MIN(X275,N('Debt Payoff'!E15))</f>
        <v>0</v>
      </c>
      <c r="AG275" s="0" t="n">
        <f aca="false">MIN(Y275,N('Debt Payoff'!E16))</f>
        <v>0</v>
      </c>
      <c r="AH275" s="0" t="n">
        <f aca="false">R275-Z275</f>
        <v>0</v>
      </c>
      <c r="AI275" s="0" t="n">
        <f aca="false">S275-AA275</f>
        <v>0</v>
      </c>
      <c r="AJ275" s="0" t="n">
        <f aca="false">T275-AB275</f>
        <v>0</v>
      </c>
      <c r="AK275" s="0" t="n">
        <f aca="false">U275-AC275</f>
        <v>0</v>
      </c>
      <c r="AL275" s="0" t="n">
        <f aca="false">V275-AD275</f>
        <v>0</v>
      </c>
      <c r="AM275" s="0" t="n">
        <f aca="false">W275-AE275</f>
        <v>0</v>
      </c>
      <c r="AN275" s="0" t="n">
        <f aca="false">X275-AF275</f>
        <v>0</v>
      </c>
      <c r="AO275" s="0" t="n">
        <f aca="false">Y275-AG275</f>
        <v>0</v>
      </c>
      <c r="AP275" s="0" t="n">
        <f aca="false">MAX(0,'Debt Payoff'!$D$17-SUM(Z275:AG275))</f>
        <v>805</v>
      </c>
      <c r="AQ275" s="0" t="n">
        <f aca="false">MIN(AH275,MAX(0,$AP275-SUMPRODUCT(($AH$1:$AO$1&lt;AH$1)*$AH275:$AO275)))</f>
        <v>0</v>
      </c>
      <c r="AR275" s="0" t="n">
        <f aca="false">MIN(AI275,MAX(0,$AP275-SUMPRODUCT(($AH$1:$AO$1&lt;AI$1)*$AH275:$AO275)))</f>
        <v>0</v>
      </c>
      <c r="AS275" s="0" t="n">
        <f aca="false">MIN(AJ275,MAX(0,$AP275-SUMPRODUCT(($AH$1:$AO$1&lt;AJ$1)*$AH275:$AO275)))</f>
        <v>0</v>
      </c>
      <c r="AT275" s="0" t="n">
        <f aca="false">MIN(AK275,MAX(0,$AP275-SUMPRODUCT(($AH$1:$AO$1&lt;AK$1)*$AH275:$AO275)))</f>
        <v>0</v>
      </c>
      <c r="AU275" s="0" t="n">
        <f aca="false">MIN(AL275,MAX(0,$AP275-SUMPRODUCT(($AH$1:$AO$1&lt;AL$1)*$AH275:$AO275)))</f>
        <v>0</v>
      </c>
      <c r="AV275" s="0" t="n">
        <f aca="false">MIN(AM275,MAX(0,$AP275-SUMPRODUCT(($AH$1:$AO$1&lt;AM$1)*$AH275:$AO275)))</f>
        <v>0</v>
      </c>
      <c r="AW275" s="0" t="n">
        <f aca="false">MIN(AN275,MAX(0,$AP275-SUMPRODUCT(($AH$1:$AO$1&lt;AN$1)*$AH275:$AO275)))</f>
        <v>0</v>
      </c>
      <c r="AX275" s="0" t="n">
        <f aca="false">MIN(AO275,MAX(0,$AP275-SUMPRODUCT(($AH$1:$AO$1&lt;AO$1)*$AH275:$AO275)))</f>
        <v>0</v>
      </c>
      <c r="AY275" s="0" t="n">
        <f aca="false">ROUND(AH275-AQ275,2)</f>
        <v>0</v>
      </c>
      <c r="AZ275" s="0" t="n">
        <f aca="false">ROUND(AI275-AR275,2)</f>
        <v>0</v>
      </c>
      <c r="BA275" s="0" t="n">
        <f aca="false">ROUND(AJ275-AS275,2)</f>
        <v>0</v>
      </c>
      <c r="BB275" s="0" t="n">
        <f aca="false">ROUND(AK275-AT275,2)</f>
        <v>0</v>
      </c>
      <c r="BC275" s="0" t="n">
        <f aca="false">ROUND(AL275-AU275,2)</f>
        <v>0</v>
      </c>
      <c r="BD275" s="0" t="n">
        <f aca="false">ROUND(AM275-AV275,2)</f>
        <v>0</v>
      </c>
      <c r="BE275" s="0" t="n">
        <f aca="false">ROUND(AN275-AW275,2)</f>
        <v>0</v>
      </c>
      <c r="BF275" s="0" t="n">
        <f aca="false">ROUND(AO275-AX275,2)</f>
        <v>0</v>
      </c>
      <c r="BG275" s="0" t="n">
        <f aca="false">SUM(AY275:BF275)</f>
        <v>0</v>
      </c>
    </row>
    <row r="276" customFormat="false" ht="15" hidden="false" customHeight="false" outlineLevel="0" collapsed="false">
      <c r="A276" s="0" t="n">
        <v>274</v>
      </c>
      <c r="B276" s="0" t="n">
        <f aca="false">AY275</f>
        <v>0</v>
      </c>
      <c r="C276" s="0" t="n">
        <f aca="false">AZ275</f>
        <v>0</v>
      </c>
      <c r="D276" s="0" t="n">
        <f aca="false">BA275</f>
        <v>0</v>
      </c>
      <c r="E276" s="0" t="n">
        <f aca="false">BB275</f>
        <v>0</v>
      </c>
      <c r="F276" s="0" t="n">
        <f aca="false">BC275</f>
        <v>0</v>
      </c>
      <c r="G276" s="0" t="n">
        <f aca="false">BD275</f>
        <v>0</v>
      </c>
      <c r="H276" s="0" t="n">
        <f aca="false">BE275</f>
        <v>0</v>
      </c>
      <c r="I276" s="0" t="n">
        <f aca="false">BF275</f>
        <v>0</v>
      </c>
      <c r="J276" s="0" t="n">
        <f aca="false">B276*N('Debt Payoff'!D9)/12</f>
        <v>0</v>
      </c>
      <c r="K276" s="0" t="n">
        <f aca="false">C276*N('Debt Payoff'!D10)/12</f>
        <v>0</v>
      </c>
      <c r="L276" s="0" t="n">
        <f aca="false">D276*N('Debt Payoff'!D11)/12</f>
        <v>0</v>
      </c>
      <c r="M276" s="0" t="n">
        <f aca="false">E276*N('Debt Payoff'!D12)/12</f>
        <v>0</v>
      </c>
      <c r="N276" s="0" t="n">
        <f aca="false">F276*N('Debt Payoff'!D13)/12</f>
        <v>0</v>
      </c>
      <c r="O276" s="0" t="n">
        <f aca="false">G276*N('Debt Payoff'!D14)/12</f>
        <v>0</v>
      </c>
      <c r="P276" s="0" t="n">
        <f aca="false">H276*N('Debt Payoff'!D15)/12</f>
        <v>0</v>
      </c>
      <c r="Q276" s="0" t="n">
        <f aca="false">I276*N('Debt Payoff'!D16)/12</f>
        <v>0</v>
      </c>
      <c r="R276" s="0" t="n">
        <f aca="false">B276+J276</f>
        <v>0</v>
      </c>
      <c r="S276" s="0" t="n">
        <f aca="false">C276+K276</f>
        <v>0</v>
      </c>
      <c r="T276" s="0" t="n">
        <f aca="false">D276+L276</f>
        <v>0</v>
      </c>
      <c r="U276" s="0" t="n">
        <f aca="false">E276+M276</f>
        <v>0</v>
      </c>
      <c r="V276" s="0" t="n">
        <f aca="false">F276+N276</f>
        <v>0</v>
      </c>
      <c r="W276" s="0" t="n">
        <f aca="false">G276+O276</f>
        <v>0</v>
      </c>
      <c r="X276" s="0" t="n">
        <f aca="false">H276+P276</f>
        <v>0</v>
      </c>
      <c r="Y276" s="0" t="n">
        <f aca="false">I276+Q276</f>
        <v>0</v>
      </c>
      <c r="Z276" s="0" t="n">
        <f aca="false">MIN(R276,N('Debt Payoff'!E9))</f>
        <v>0</v>
      </c>
      <c r="AA276" s="0" t="n">
        <f aca="false">MIN(S276,N('Debt Payoff'!E10))</f>
        <v>0</v>
      </c>
      <c r="AB276" s="0" t="n">
        <f aca="false">MIN(T276,N('Debt Payoff'!E11))</f>
        <v>0</v>
      </c>
      <c r="AC276" s="0" t="n">
        <f aca="false">MIN(U276,N('Debt Payoff'!E12))</f>
        <v>0</v>
      </c>
      <c r="AD276" s="0" t="n">
        <f aca="false">MIN(V276,N('Debt Payoff'!E13))</f>
        <v>0</v>
      </c>
      <c r="AE276" s="0" t="n">
        <f aca="false">MIN(W276,N('Debt Payoff'!E14))</f>
        <v>0</v>
      </c>
      <c r="AF276" s="0" t="n">
        <f aca="false">MIN(X276,N('Debt Payoff'!E15))</f>
        <v>0</v>
      </c>
      <c r="AG276" s="0" t="n">
        <f aca="false">MIN(Y276,N('Debt Payoff'!E16))</f>
        <v>0</v>
      </c>
      <c r="AH276" s="0" t="n">
        <f aca="false">R276-Z276</f>
        <v>0</v>
      </c>
      <c r="AI276" s="0" t="n">
        <f aca="false">S276-AA276</f>
        <v>0</v>
      </c>
      <c r="AJ276" s="0" t="n">
        <f aca="false">T276-AB276</f>
        <v>0</v>
      </c>
      <c r="AK276" s="0" t="n">
        <f aca="false">U276-AC276</f>
        <v>0</v>
      </c>
      <c r="AL276" s="0" t="n">
        <f aca="false">V276-AD276</f>
        <v>0</v>
      </c>
      <c r="AM276" s="0" t="n">
        <f aca="false">W276-AE276</f>
        <v>0</v>
      </c>
      <c r="AN276" s="0" t="n">
        <f aca="false">X276-AF276</f>
        <v>0</v>
      </c>
      <c r="AO276" s="0" t="n">
        <f aca="false">Y276-AG276</f>
        <v>0</v>
      </c>
      <c r="AP276" s="0" t="n">
        <f aca="false">MAX(0,'Debt Payoff'!$D$17-SUM(Z276:AG276))</f>
        <v>805</v>
      </c>
      <c r="AQ276" s="0" t="n">
        <f aca="false">MIN(AH276,MAX(0,$AP276-SUMPRODUCT(($AH$1:$AO$1&lt;AH$1)*$AH276:$AO276)))</f>
        <v>0</v>
      </c>
      <c r="AR276" s="0" t="n">
        <f aca="false">MIN(AI276,MAX(0,$AP276-SUMPRODUCT(($AH$1:$AO$1&lt;AI$1)*$AH276:$AO276)))</f>
        <v>0</v>
      </c>
      <c r="AS276" s="0" t="n">
        <f aca="false">MIN(AJ276,MAX(0,$AP276-SUMPRODUCT(($AH$1:$AO$1&lt;AJ$1)*$AH276:$AO276)))</f>
        <v>0</v>
      </c>
      <c r="AT276" s="0" t="n">
        <f aca="false">MIN(AK276,MAX(0,$AP276-SUMPRODUCT(($AH$1:$AO$1&lt;AK$1)*$AH276:$AO276)))</f>
        <v>0</v>
      </c>
      <c r="AU276" s="0" t="n">
        <f aca="false">MIN(AL276,MAX(0,$AP276-SUMPRODUCT(($AH$1:$AO$1&lt;AL$1)*$AH276:$AO276)))</f>
        <v>0</v>
      </c>
      <c r="AV276" s="0" t="n">
        <f aca="false">MIN(AM276,MAX(0,$AP276-SUMPRODUCT(($AH$1:$AO$1&lt;AM$1)*$AH276:$AO276)))</f>
        <v>0</v>
      </c>
      <c r="AW276" s="0" t="n">
        <f aca="false">MIN(AN276,MAX(0,$AP276-SUMPRODUCT(($AH$1:$AO$1&lt;AN$1)*$AH276:$AO276)))</f>
        <v>0</v>
      </c>
      <c r="AX276" s="0" t="n">
        <f aca="false">MIN(AO276,MAX(0,$AP276-SUMPRODUCT(($AH$1:$AO$1&lt;AO$1)*$AH276:$AO276)))</f>
        <v>0</v>
      </c>
      <c r="AY276" s="0" t="n">
        <f aca="false">ROUND(AH276-AQ276,2)</f>
        <v>0</v>
      </c>
      <c r="AZ276" s="0" t="n">
        <f aca="false">ROUND(AI276-AR276,2)</f>
        <v>0</v>
      </c>
      <c r="BA276" s="0" t="n">
        <f aca="false">ROUND(AJ276-AS276,2)</f>
        <v>0</v>
      </c>
      <c r="BB276" s="0" t="n">
        <f aca="false">ROUND(AK276-AT276,2)</f>
        <v>0</v>
      </c>
      <c r="BC276" s="0" t="n">
        <f aca="false">ROUND(AL276-AU276,2)</f>
        <v>0</v>
      </c>
      <c r="BD276" s="0" t="n">
        <f aca="false">ROUND(AM276-AV276,2)</f>
        <v>0</v>
      </c>
      <c r="BE276" s="0" t="n">
        <f aca="false">ROUND(AN276-AW276,2)</f>
        <v>0</v>
      </c>
      <c r="BF276" s="0" t="n">
        <f aca="false">ROUND(AO276-AX276,2)</f>
        <v>0</v>
      </c>
      <c r="BG276" s="0" t="n">
        <f aca="false">SUM(AY276:BF276)</f>
        <v>0</v>
      </c>
    </row>
    <row r="277" customFormat="false" ht="15" hidden="false" customHeight="false" outlineLevel="0" collapsed="false">
      <c r="A277" s="0" t="n">
        <v>275</v>
      </c>
      <c r="B277" s="0" t="n">
        <f aca="false">AY276</f>
        <v>0</v>
      </c>
      <c r="C277" s="0" t="n">
        <f aca="false">AZ276</f>
        <v>0</v>
      </c>
      <c r="D277" s="0" t="n">
        <f aca="false">BA276</f>
        <v>0</v>
      </c>
      <c r="E277" s="0" t="n">
        <f aca="false">BB276</f>
        <v>0</v>
      </c>
      <c r="F277" s="0" t="n">
        <f aca="false">BC276</f>
        <v>0</v>
      </c>
      <c r="G277" s="0" t="n">
        <f aca="false">BD276</f>
        <v>0</v>
      </c>
      <c r="H277" s="0" t="n">
        <f aca="false">BE276</f>
        <v>0</v>
      </c>
      <c r="I277" s="0" t="n">
        <f aca="false">BF276</f>
        <v>0</v>
      </c>
      <c r="J277" s="0" t="n">
        <f aca="false">B277*N('Debt Payoff'!D9)/12</f>
        <v>0</v>
      </c>
      <c r="K277" s="0" t="n">
        <f aca="false">C277*N('Debt Payoff'!D10)/12</f>
        <v>0</v>
      </c>
      <c r="L277" s="0" t="n">
        <f aca="false">D277*N('Debt Payoff'!D11)/12</f>
        <v>0</v>
      </c>
      <c r="M277" s="0" t="n">
        <f aca="false">E277*N('Debt Payoff'!D12)/12</f>
        <v>0</v>
      </c>
      <c r="N277" s="0" t="n">
        <f aca="false">F277*N('Debt Payoff'!D13)/12</f>
        <v>0</v>
      </c>
      <c r="O277" s="0" t="n">
        <f aca="false">G277*N('Debt Payoff'!D14)/12</f>
        <v>0</v>
      </c>
      <c r="P277" s="0" t="n">
        <f aca="false">H277*N('Debt Payoff'!D15)/12</f>
        <v>0</v>
      </c>
      <c r="Q277" s="0" t="n">
        <f aca="false">I277*N('Debt Payoff'!D16)/12</f>
        <v>0</v>
      </c>
      <c r="R277" s="0" t="n">
        <f aca="false">B277+J277</f>
        <v>0</v>
      </c>
      <c r="S277" s="0" t="n">
        <f aca="false">C277+K277</f>
        <v>0</v>
      </c>
      <c r="T277" s="0" t="n">
        <f aca="false">D277+L277</f>
        <v>0</v>
      </c>
      <c r="U277" s="0" t="n">
        <f aca="false">E277+M277</f>
        <v>0</v>
      </c>
      <c r="V277" s="0" t="n">
        <f aca="false">F277+N277</f>
        <v>0</v>
      </c>
      <c r="W277" s="0" t="n">
        <f aca="false">G277+O277</f>
        <v>0</v>
      </c>
      <c r="X277" s="0" t="n">
        <f aca="false">H277+P277</f>
        <v>0</v>
      </c>
      <c r="Y277" s="0" t="n">
        <f aca="false">I277+Q277</f>
        <v>0</v>
      </c>
      <c r="Z277" s="0" t="n">
        <f aca="false">MIN(R277,N('Debt Payoff'!E9))</f>
        <v>0</v>
      </c>
      <c r="AA277" s="0" t="n">
        <f aca="false">MIN(S277,N('Debt Payoff'!E10))</f>
        <v>0</v>
      </c>
      <c r="AB277" s="0" t="n">
        <f aca="false">MIN(T277,N('Debt Payoff'!E11))</f>
        <v>0</v>
      </c>
      <c r="AC277" s="0" t="n">
        <f aca="false">MIN(U277,N('Debt Payoff'!E12))</f>
        <v>0</v>
      </c>
      <c r="AD277" s="0" t="n">
        <f aca="false">MIN(V277,N('Debt Payoff'!E13))</f>
        <v>0</v>
      </c>
      <c r="AE277" s="0" t="n">
        <f aca="false">MIN(W277,N('Debt Payoff'!E14))</f>
        <v>0</v>
      </c>
      <c r="AF277" s="0" t="n">
        <f aca="false">MIN(X277,N('Debt Payoff'!E15))</f>
        <v>0</v>
      </c>
      <c r="AG277" s="0" t="n">
        <f aca="false">MIN(Y277,N('Debt Payoff'!E16))</f>
        <v>0</v>
      </c>
      <c r="AH277" s="0" t="n">
        <f aca="false">R277-Z277</f>
        <v>0</v>
      </c>
      <c r="AI277" s="0" t="n">
        <f aca="false">S277-AA277</f>
        <v>0</v>
      </c>
      <c r="AJ277" s="0" t="n">
        <f aca="false">T277-AB277</f>
        <v>0</v>
      </c>
      <c r="AK277" s="0" t="n">
        <f aca="false">U277-AC277</f>
        <v>0</v>
      </c>
      <c r="AL277" s="0" t="n">
        <f aca="false">V277-AD277</f>
        <v>0</v>
      </c>
      <c r="AM277" s="0" t="n">
        <f aca="false">W277-AE277</f>
        <v>0</v>
      </c>
      <c r="AN277" s="0" t="n">
        <f aca="false">X277-AF277</f>
        <v>0</v>
      </c>
      <c r="AO277" s="0" t="n">
        <f aca="false">Y277-AG277</f>
        <v>0</v>
      </c>
      <c r="AP277" s="0" t="n">
        <f aca="false">MAX(0,'Debt Payoff'!$D$17-SUM(Z277:AG277))</f>
        <v>805</v>
      </c>
      <c r="AQ277" s="0" t="n">
        <f aca="false">MIN(AH277,MAX(0,$AP277-SUMPRODUCT(($AH$1:$AO$1&lt;AH$1)*$AH277:$AO277)))</f>
        <v>0</v>
      </c>
      <c r="AR277" s="0" t="n">
        <f aca="false">MIN(AI277,MAX(0,$AP277-SUMPRODUCT(($AH$1:$AO$1&lt;AI$1)*$AH277:$AO277)))</f>
        <v>0</v>
      </c>
      <c r="AS277" s="0" t="n">
        <f aca="false">MIN(AJ277,MAX(0,$AP277-SUMPRODUCT(($AH$1:$AO$1&lt;AJ$1)*$AH277:$AO277)))</f>
        <v>0</v>
      </c>
      <c r="AT277" s="0" t="n">
        <f aca="false">MIN(AK277,MAX(0,$AP277-SUMPRODUCT(($AH$1:$AO$1&lt;AK$1)*$AH277:$AO277)))</f>
        <v>0</v>
      </c>
      <c r="AU277" s="0" t="n">
        <f aca="false">MIN(AL277,MAX(0,$AP277-SUMPRODUCT(($AH$1:$AO$1&lt;AL$1)*$AH277:$AO277)))</f>
        <v>0</v>
      </c>
      <c r="AV277" s="0" t="n">
        <f aca="false">MIN(AM277,MAX(0,$AP277-SUMPRODUCT(($AH$1:$AO$1&lt;AM$1)*$AH277:$AO277)))</f>
        <v>0</v>
      </c>
      <c r="AW277" s="0" t="n">
        <f aca="false">MIN(AN277,MAX(0,$AP277-SUMPRODUCT(($AH$1:$AO$1&lt;AN$1)*$AH277:$AO277)))</f>
        <v>0</v>
      </c>
      <c r="AX277" s="0" t="n">
        <f aca="false">MIN(AO277,MAX(0,$AP277-SUMPRODUCT(($AH$1:$AO$1&lt;AO$1)*$AH277:$AO277)))</f>
        <v>0</v>
      </c>
      <c r="AY277" s="0" t="n">
        <f aca="false">ROUND(AH277-AQ277,2)</f>
        <v>0</v>
      </c>
      <c r="AZ277" s="0" t="n">
        <f aca="false">ROUND(AI277-AR277,2)</f>
        <v>0</v>
      </c>
      <c r="BA277" s="0" t="n">
        <f aca="false">ROUND(AJ277-AS277,2)</f>
        <v>0</v>
      </c>
      <c r="BB277" s="0" t="n">
        <f aca="false">ROUND(AK277-AT277,2)</f>
        <v>0</v>
      </c>
      <c r="BC277" s="0" t="n">
        <f aca="false">ROUND(AL277-AU277,2)</f>
        <v>0</v>
      </c>
      <c r="BD277" s="0" t="n">
        <f aca="false">ROUND(AM277-AV277,2)</f>
        <v>0</v>
      </c>
      <c r="BE277" s="0" t="n">
        <f aca="false">ROUND(AN277-AW277,2)</f>
        <v>0</v>
      </c>
      <c r="BF277" s="0" t="n">
        <f aca="false">ROUND(AO277-AX277,2)</f>
        <v>0</v>
      </c>
      <c r="BG277" s="0" t="n">
        <f aca="false">SUM(AY277:BF277)</f>
        <v>0</v>
      </c>
    </row>
    <row r="278" customFormat="false" ht="15" hidden="false" customHeight="false" outlineLevel="0" collapsed="false">
      <c r="A278" s="0" t="n">
        <v>276</v>
      </c>
      <c r="B278" s="0" t="n">
        <f aca="false">AY277</f>
        <v>0</v>
      </c>
      <c r="C278" s="0" t="n">
        <f aca="false">AZ277</f>
        <v>0</v>
      </c>
      <c r="D278" s="0" t="n">
        <f aca="false">BA277</f>
        <v>0</v>
      </c>
      <c r="E278" s="0" t="n">
        <f aca="false">BB277</f>
        <v>0</v>
      </c>
      <c r="F278" s="0" t="n">
        <f aca="false">BC277</f>
        <v>0</v>
      </c>
      <c r="G278" s="0" t="n">
        <f aca="false">BD277</f>
        <v>0</v>
      </c>
      <c r="H278" s="0" t="n">
        <f aca="false">BE277</f>
        <v>0</v>
      </c>
      <c r="I278" s="0" t="n">
        <f aca="false">BF277</f>
        <v>0</v>
      </c>
      <c r="J278" s="0" t="n">
        <f aca="false">B278*N('Debt Payoff'!D9)/12</f>
        <v>0</v>
      </c>
      <c r="K278" s="0" t="n">
        <f aca="false">C278*N('Debt Payoff'!D10)/12</f>
        <v>0</v>
      </c>
      <c r="L278" s="0" t="n">
        <f aca="false">D278*N('Debt Payoff'!D11)/12</f>
        <v>0</v>
      </c>
      <c r="M278" s="0" t="n">
        <f aca="false">E278*N('Debt Payoff'!D12)/12</f>
        <v>0</v>
      </c>
      <c r="N278" s="0" t="n">
        <f aca="false">F278*N('Debt Payoff'!D13)/12</f>
        <v>0</v>
      </c>
      <c r="O278" s="0" t="n">
        <f aca="false">G278*N('Debt Payoff'!D14)/12</f>
        <v>0</v>
      </c>
      <c r="P278" s="0" t="n">
        <f aca="false">H278*N('Debt Payoff'!D15)/12</f>
        <v>0</v>
      </c>
      <c r="Q278" s="0" t="n">
        <f aca="false">I278*N('Debt Payoff'!D16)/12</f>
        <v>0</v>
      </c>
      <c r="R278" s="0" t="n">
        <f aca="false">B278+J278</f>
        <v>0</v>
      </c>
      <c r="S278" s="0" t="n">
        <f aca="false">C278+K278</f>
        <v>0</v>
      </c>
      <c r="T278" s="0" t="n">
        <f aca="false">D278+L278</f>
        <v>0</v>
      </c>
      <c r="U278" s="0" t="n">
        <f aca="false">E278+M278</f>
        <v>0</v>
      </c>
      <c r="V278" s="0" t="n">
        <f aca="false">F278+N278</f>
        <v>0</v>
      </c>
      <c r="W278" s="0" t="n">
        <f aca="false">G278+O278</f>
        <v>0</v>
      </c>
      <c r="X278" s="0" t="n">
        <f aca="false">H278+P278</f>
        <v>0</v>
      </c>
      <c r="Y278" s="0" t="n">
        <f aca="false">I278+Q278</f>
        <v>0</v>
      </c>
      <c r="Z278" s="0" t="n">
        <f aca="false">MIN(R278,N('Debt Payoff'!E9))</f>
        <v>0</v>
      </c>
      <c r="AA278" s="0" t="n">
        <f aca="false">MIN(S278,N('Debt Payoff'!E10))</f>
        <v>0</v>
      </c>
      <c r="AB278" s="0" t="n">
        <f aca="false">MIN(T278,N('Debt Payoff'!E11))</f>
        <v>0</v>
      </c>
      <c r="AC278" s="0" t="n">
        <f aca="false">MIN(U278,N('Debt Payoff'!E12))</f>
        <v>0</v>
      </c>
      <c r="AD278" s="0" t="n">
        <f aca="false">MIN(V278,N('Debt Payoff'!E13))</f>
        <v>0</v>
      </c>
      <c r="AE278" s="0" t="n">
        <f aca="false">MIN(W278,N('Debt Payoff'!E14))</f>
        <v>0</v>
      </c>
      <c r="AF278" s="0" t="n">
        <f aca="false">MIN(X278,N('Debt Payoff'!E15))</f>
        <v>0</v>
      </c>
      <c r="AG278" s="0" t="n">
        <f aca="false">MIN(Y278,N('Debt Payoff'!E16))</f>
        <v>0</v>
      </c>
      <c r="AH278" s="0" t="n">
        <f aca="false">R278-Z278</f>
        <v>0</v>
      </c>
      <c r="AI278" s="0" t="n">
        <f aca="false">S278-AA278</f>
        <v>0</v>
      </c>
      <c r="AJ278" s="0" t="n">
        <f aca="false">T278-AB278</f>
        <v>0</v>
      </c>
      <c r="AK278" s="0" t="n">
        <f aca="false">U278-AC278</f>
        <v>0</v>
      </c>
      <c r="AL278" s="0" t="n">
        <f aca="false">V278-AD278</f>
        <v>0</v>
      </c>
      <c r="AM278" s="0" t="n">
        <f aca="false">W278-AE278</f>
        <v>0</v>
      </c>
      <c r="AN278" s="0" t="n">
        <f aca="false">X278-AF278</f>
        <v>0</v>
      </c>
      <c r="AO278" s="0" t="n">
        <f aca="false">Y278-AG278</f>
        <v>0</v>
      </c>
      <c r="AP278" s="0" t="n">
        <f aca="false">MAX(0,'Debt Payoff'!$D$17-SUM(Z278:AG278))</f>
        <v>805</v>
      </c>
      <c r="AQ278" s="0" t="n">
        <f aca="false">MIN(AH278,MAX(0,$AP278-SUMPRODUCT(($AH$1:$AO$1&lt;AH$1)*$AH278:$AO278)))</f>
        <v>0</v>
      </c>
      <c r="AR278" s="0" t="n">
        <f aca="false">MIN(AI278,MAX(0,$AP278-SUMPRODUCT(($AH$1:$AO$1&lt;AI$1)*$AH278:$AO278)))</f>
        <v>0</v>
      </c>
      <c r="AS278" s="0" t="n">
        <f aca="false">MIN(AJ278,MAX(0,$AP278-SUMPRODUCT(($AH$1:$AO$1&lt;AJ$1)*$AH278:$AO278)))</f>
        <v>0</v>
      </c>
      <c r="AT278" s="0" t="n">
        <f aca="false">MIN(AK278,MAX(0,$AP278-SUMPRODUCT(($AH$1:$AO$1&lt;AK$1)*$AH278:$AO278)))</f>
        <v>0</v>
      </c>
      <c r="AU278" s="0" t="n">
        <f aca="false">MIN(AL278,MAX(0,$AP278-SUMPRODUCT(($AH$1:$AO$1&lt;AL$1)*$AH278:$AO278)))</f>
        <v>0</v>
      </c>
      <c r="AV278" s="0" t="n">
        <f aca="false">MIN(AM278,MAX(0,$AP278-SUMPRODUCT(($AH$1:$AO$1&lt;AM$1)*$AH278:$AO278)))</f>
        <v>0</v>
      </c>
      <c r="AW278" s="0" t="n">
        <f aca="false">MIN(AN278,MAX(0,$AP278-SUMPRODUCT(($AH$1:$AO$1&lt;AN$1)*$AH278:$AO278)))</f>
        <v>0</v>
      </c>
      <c r="AX278" s="0" t="n">
        <f aca="false">MIN(AO278,MAX(0,$AP278-SUMPRODUCT(($AH$1:$AO$1&lt;AO$1)*$AH278:$AO278)))</f>
        <v>0</v>
      </c>
      <c r="AY278" s="0" t="n">
        <f aca="false">ROUND(AH278-AQ278,2)</f>
        <v>0</v>
      </c>
      <c r="AZ278" s="0" t="n">
        <f aca="false">ROUND(AI278-AR278,2)</f>
        <v>0</v>
      </c>
      <c r="BA278" s="0" t="n">
        <f aca="false">ROUND(AJ278-AS278,2)</f>
        <v>0</v>
      </c>
      <c r="BB278" s="0" t="n">
        <f aca="false">ROUND(AK278-AT278,2)</f>
        <v>0</v>
      </c>
      <c r="BC278" s="0" t="n">
        <f aca="false">ROUND(AL278-AU278,2)</f>
        <v>0</v>
      </c>
      <c r="BD278" s="0" t="n">
        <f aca="false">ROUND(AM278-AV278,2)</f>
        <v>0</v>
      </c>
      <c r="BE278" s="0" t="n">
        <f aca="false">ROUND(AN278-AW278,2)</f>
        <v>0</v>
      </c>
      <c r="BF278" s="0" t="n">
        <f aca="false">ROUND(AO278-AX278,2)</f>
        <v>0</v>
      </c>
      <c r="BG278" s="0" t="n">
        <f aca="false">SUM(AY278:BF278)</f>
        <v>0</v>
      </c>
    </row>
    <row r="279" customFormat="false" ht="15" hidden="false" customHeight="false" outlineLevel="0" collapsed="false">
      <c r="A279" s="0" t="n">
        <v>277</v>
      </c>
      <c r="B279" s="0" t="n">
        <f aca="false">AY278</f>
        <v>0</v>
      </c>
      <c r="C279" s="0" t="n">
        <f aca="false">AZ278</f>
        <v>0</v>
      </c>
      <c r="D279" s="0" t="n">
        <f aca="false">BA278</f>
        <v>0</v>
      </c>
      <c r="E279" s="0" t="n">
        <f aca="false">BB278</f>
        <v>0</v>
      </c>
      <c r="F279" s="0" t="n">
        <f aca="false">BC278</f>
        <v>0</v>
      </c>
      <c r="G279" s="0" t="n">
        <f aca="false">BD278</f>
        <v>0</v>
      </c>
      <c r="H279" s="0" t="n">
        <f aca="false">BE278</f>
        <v>0</v>
      </c>
      <c r="I279" s="0" t="n">
        <f aca="false">BF278</f>
        <v>0</v>
      </c>
      <c r="J279" s="0" t="n">
        <f aca="false">B279*N('Debt Payoff'!D9)/12</f>
        <v>0</v>
      </c>
      <c r="K279" s="0" t="n">
        <f aca="false">C279*N('Debt Payoff'!D10)/12</f>
        <v>0</v>
      </c>
      <c r="L279" s="0" t="n">
        <f aca="false">D279*N('Debt Payoff'!D11)/12</f>
        <v>0</v>
      </c>
      <c r="M279" s="0" t="n">
        <f aca="false">E279*N('Debt Payoff'!D12)/12</f>
        <v>0</v>
      </c>
      <c r="N279" s="0" t="n">
        <f aca="false">F279*N('Debt Payoff'!D13)/12</f>
        <v>0</v>
      </c>
      <c r="O279" s="0" t="n">
        <f aca="false">G279*N('Debt Payoff'!D14)/12</f>
        <v>0</v>
      </c>
      <c r="P279" s="0" t="n">
        <f aca="false">H279*N('Debt Payoff'!D15)/12</f>
        <v>0</v>
      </c>
      <c r="Q279" s="0" t="n">
        <f aca="false">I279*N('Debt Payoff'!D16)/12</f>
        <v>0</v>
      </c>
      <c r="R279" s="0" t="n">
        <f aca="false">B279+J279</f>
        <v>0</v>
      </c>
      <c r="S279" s="0" t="n">
        <f aca="false">C279+K279</f>
        <v>0</v>
      </c>
      <c r="T279" s="0" t="n">
        <f aca="false">D279+L279</f>
        <v>0</v>
      </c>
      <c r="U279" s="0" t="n">
        <f aca="false">E279+M279</f>
        <v>0</v>
      </c>
      <c r="V279" s="0" t="n">
        <f aca="false">F279+N279</f>
        <v>0</v>
      </c>
      <c r="W279" s="0" t="n">
        <f aca="false">G279+O279</f>
        <v>0</v>
      </c>
      <c r="X279" s="0" t="n">
        <f aca="false">H279+P279</f>
        <v>0</v>
      </c>
      <c r="Y279" s="0" t="n">
        <f aca="false">I279+Q279</f>
        <v>0</v>
      </c>
      <c r="Z279" s="0" t="n">
        <f aca="false">MIN(R279,N('Debt Payoff'!E9))</f>
        <v>0</v>
      </c>
      <c r="AA279" s="0" t="n">
        <f aca="false">MIN(S279,N('Debt Payoff'!E10))</f>
        <v>0</v>
      </c>
      <c r="AB279" s="0" t="n">
        <f aca="false">MIN(T279,N('Debt Payoff'!E11))</f>
        <v>0</v>
      </c>
      <c r="AC279" s="0" t="n">
        <f aca="false">MIN(U279,N('Debt Payoff'!E12))</f>
        <v>0</v>
      </c>
      <c r="AD279" s="0" t="n">
        <f aca="false">MIN(V279,N('Debt Payoff'!E13))</f>
        <v>0</v>
      </c>
      <c r="AE279" s="0" t="n">
        <f aca="false">MIN(W279,N('Debt Payoff'!E14))</f>
        <v>0</v>
      </c>
      <c r="AF279" s="0" t="n">
        <f aca="false">MIN(X279,N('Debt Payoff'!E15))</f>
        <v>0</v>
      </c>
      <c r="AG279" s="0" t="n">
        <f aca="false">MIN(Y279,N('Debt Payoff'!E16))</f>
        <v>0</v>
      </c>
      <c r="AH279" s="0" t="n">
        <f aca="false">R279-Z279</f>
        <v>0</v>
      </c>
      <c r="AI279" s="0" t="n">
        <f aca="false">S279-AA279</f>
        <v>0</v>
      </c>
      <c r="AJ279" s="0" t="n">
        <f aca="false">T279-AB279</f>
        <v>0</v>
      </c>
      <c r="AK279" s="0" t="n">
        <f aca="false">U279-AC279</f>
        <v>0</v>
      </c>
      <c r="AL279" s="0" t="n">
        <f aca="false">V279-AD279</f>
        <v>0</v>
      </c>
      <c r="AM279" s="0" t="n">
        <f aca="false">W279-AE279</f>
        <v>0</v>
      </c>
      <c r="AN279" s="0" t="n">
        <f aca="false">X279-AF279</f>
        <v>0</v>
      </c>
      <c r="AO279" s="0" t="n">
        <f aca="false">Y279-AG279</f>
        <v>0</v>
      </c>
      <c r="AP279" s="0" t="n">
        <f aca="false">MAX(0,'Debt Payoff'!$D$17-SUM(Z279:AG279))</f>
        <v>805</v>
      </c>
      <c r="AQ279" s="0" t="n">
        <f aca="false">MIN(AH279,MAX(0,$AP279-SUMPRODUCT(($AH$1:$AO$1&lt;AH$1)*$AH279:$AO279)))</f>
        <v>0</v>
      </c>
      <c r="AR279" s="0" t="n">
        <f aca="false">MIN(AI279,MAX(0,$AP279-SUMPRODUCT(($AH$1:$AO$1&lt;AI$1)*$AH279:$AO279)))</f>
        <v>0</v>
      </c>
      <c r="AS279" s="0" t="n">
        <f aca="false">MIN(AJ279,MAX(0,$AP279-SUMPRODUCT(($AH$1:$AO$1&lt;AJ$1)*$AH279:$AO279)))</f>
        <v>0</v>
      </c>
      <c r="AT279" s="0" t="n">
        <f aca="false">MIN(AK279,MAX(0,$AP279-SUMPRODUCT(($AH$1:$AO$1&lt;AK$1)*$AH279:$AO279)))</f>
        <v>0</v>
      </c>
      <c r="AU279" s="0" t="n">
        <f aca="false">MIN(AL279,MAX(0,$AP279-SUMPRODUCT(($AH$1:$AO$1&lt;AL$1)*$AH279:$AO279)))</f>
        <v>0</v>
      </c>
      <c r="AV279" s="0" t="n">
        <f aca="false">MIN(AM279,MAX(0,$AP279-SUMPRODUCT(($AH$1:$AO$1&lt;AM$1)*$AH279:$AO279)))</f>
        <v>0</v>
      </c>
      <c r="AW279" s="0" t="n">
        <f aca="false">MIN(AN279,MAX(0,$AP279-SUMPRODUCT(($AH$1:$AO$1&lt;AN$1)*$AH279:$AO279)))</f>
        <v>0</v>
      </c>
      <c r="AX279" s="0" t="n">
        <f aca="false">MIN(AO279,MAX(0,$AP279-SUMPRODUCT(($AH$1:$AO$1&lt;AO$1)*$AH279:$AO279)))</f>
        <v>0</v>
      </c>
      <c r="AY279" s="0" t="n">
        <f aca="false">ROUND(AH279-AQ279,2)</f>
        <v>0</v>
      </c>
      <c r="AZ279" s="0" t="n">
        <f aca="false">ROUND(AI279-AR279,2)</f>
        <v>0</v>
      </c>
      <c r="BA279" s="0" t="n">
        <f aca="false">ROUND(AJ279-AS279,2)</f>
        <v>0</v>
      </c>
      <c r="BB279" s="0" t="n">
        <f aca="false">ROUND(AK279-AT279,2)</f>
        <v>0</v>
      </c>
      <c r="BC279" s="0" t="n">
        <f aca="false">ROUND(AL279-AU279,2)</f>
        <v>0</v>
      </c>
      <c r="BD279" s="0" t="n">
        <f aca="false">ROUND(AM279-AV279,2)</f>
        <v>0</v>
      </c>
      <c r="BE279" s="0" t="n">
        <f aca="false">ROUND(AN279-AW279,2)</f>
        <v>0</v>
      </c>
      <c r="BF279" s="0" t="n">
        <f aca="false">ROUND(AO279-AX279,2)</f>
        <v>0</v>
      </c>
      <c r="BG279" s="0" t="n">
        <f aca="false">SUM(AY279:BF279)</f>
        <v>0</v>
      </c>
    </row>
    <row r="280" customFormat="false" ht="15" hidden="false" customHeight="false" outlineLevel="0" collapsed="false">
      <c r="A280" s="0" t="n">
        <v>278</v>
      </c>
      <c r="B280" s="0" t="n">
        <f aca="false">AY279</f>
        <v>0</v>
      </c>
      <c r="C280" s="0" t="n">
        <f aca="false">AZ279</f>
        <v>0</v>
      </c>
      <c r="D280" s="0" t="n">
        <f aca="false">BA279</f>
        <v>0</v>
      </c>
      <c r="E280" s="0" t="n">
        <f aca="false">BB279</f>
        <v>0</v>
      </c>
      <c r="F280" s="0" t="n">
        <f aca="false">BC279</f>
        <v>0</v>
      </c>
      <c r="G280" s="0" t="n">
        <f aca="false">BD279</f>
        <v>0</v>
      </c>
      <c r="H280" s="0" t="n">
        <f aca="false">BE279</f>
        <v>0</v>
      </c>
      <c r="I280" s="0" t="n">
        <f aca="false">BF279</f>
        <v>0</v>
      </c>
      <c r="J280" s="0" t="n">
        <f aca="false">B280*N('Debt Payoff'!D9)/12</f>
        <v>0</v>
      </c>
      <c r="K280" s="0" t="n">
        <f aca="false">C280*N('Debt Payoff'!D10)/12</f>
        <v>0</v>
      </c>
      <c r="L280" s="0" t="n">
        <f aca="false">D280*N('Debt Payoff'!D11)/12</f>
        <v>0</v>
      </c>
      <c r="M280" s="0" t="n">
        <f aca="false">E280*N('Debt Payoff'!D12)/12</f>
        <v>0</v>
      </c>
      <c r="N280" s="0" t="n">
        <f aca="false">F280*N('Debt Payoff'!D13)/12</f>
        <v>0</v>
      </c>
      <c r="O280" s="0" t="n">
        <f aca="false">G280*N('Debt Payoff'!D14)/12</f>
        <v>0</v>
      </c>
      <c r="P280" s="0" t="n">
        <f aca="false">H280*N('Debt Payoff'!D15)/12</f>
        <v>0</v>
      </c>
      <c r="Q280" s="0" t="n">
        <f aca="false">I280*N('Debt Payoff'!D16)/12</f>
        <v>0</v>
      </c>
      <c r="R280" s="0" t="n">
        <f aca="false">B280+J280</f>
        <v>0</v>
      </c>
      <c r="S280" s="0" t="n">
        <f aca="false">C280+K280</f>
        <v>0</v>
      </c>
      <c r="T280" s="0" t="n">
        <f aca="false">D280+L280</f>
        <v>0</v>
      </c>
      <c r="U280" s="0" t="n">
        <f aca="false">E280+M280</f>
        <v>0</v>
      </c>
      <c r="V280" s="0" t="n">
        <f aca="false">F280+N280</f>
        <v>0</v>
      </c>
      <c r="W280" s="0" t="n">
        <f aca="false">G280+O280</f>
        <v>0</v>
      </c>
      <c r="X280" s="0" t="n">
        <f aca="false">H280+P280</f>
        <v>0</v>
      </c>
      <c r="Y280" s="0" t="n">
        <f aca="false">I280+Q280</f>
        <v>0</v>
      </c>
      <c r="Z280" s="0" t="n">
        <f aca="false">MIN(R280,N('Debt Payoff'!E9))</f>
        <v>0</v>
      </c>
      <c r="AA280" s="0" t="n">
        <f aca="false">MIN(S280,N('Debt Payoff'!E10))</f>
        <v>0</v>
      </c>
      <c r="AB280" s="0" t="n">
        <f aca="false">MIN(T280,N('Debt Payoff'!E11))</f>
        <v>0</v>
      </c>
      <c r="AC280" s="0" t="n">
        <f aca="false">MIN(U280,N('Debt Payoff'!E12))</f>
        <v>0</v>
      </c>
      <c r="AD280" s="0" t="n">
        <f aca="false">MIN(V280,N('Debt Payoff'!E13))</f>
        <v>0</v>
      </c>
      <c r="AE280" s="0" t="n">
        <f aca="false">MIN(W280,N('Debt Payoff'!E14))</f>
        <v>0</v>
      </c>
      <c r="AF280" s="0" t="n">
        <f aca="false">MIN(X280,N('Debt Payoff'!E15))</f>
        <v>0</v>
      </c>
      <c r="AG280" s="0" t="n">
        <f aca="false">MIN(Y280,N('Debt Payoff'!E16))</f>
        <v>0</v>
      </c>
      <c r="AH280" s="0" t="n">
        <f aca="false">R280-Z280</f>
        <v>0</v>
      </c>
      <c r="AI280" s="0" t="n">
        <f aca="false">S280-AA280</f>
        <v>0</v>
      </c>
      <c r="AJ280" s="0" t="n">
        <f aca="false">T280-AB280</f>
        <v>0</v>
      </c>
      <c r="AK280" s="0" t="n">
        <f aca="false">U280-AC280</f>
        <v>0</v>
      </c>
      <c r="AL280" s="0" t="n">
        <f aca="false">V280-AD280</f>
        <v>0</v>
      </c>
      <c r="AM280" s="0" t="n">
        <f aca="false">W280-AE280</f>
        <v>0</v>
      </c>
      <c r="AN280" s="0" t="n">
        <f aca="false">X280-AF280</f>
        <v>0</v>
      </c>
      <c r="AO280" s="0" t="n">
        <f aca="false">Y280-AG280</f>
        <v>0</v>
      </c>
      <c r="AP280" s="0" t="n">
        <f aca="false">MAX(0,'Debt Payoff'!$D$17-SUM(Z280:AG280))</f>
        <v>805</v>
      </c>
      <c r="AQ280" s="0" t="n">
        <f aca="false">MIN(AH280,MAX(0,$AP280-SUMPRODUCT(($AH$1:$AO$1&lt;AH$1)*$AH280:$AO280)))</f>
        <v>0</v>
      </c>
      <c r="AR280" s="0" t="n">
        <f aca="false">MIN(AI280,MAX(0,$AP280-SUMPRODUCT(($AH$1:$AO$1&lt;AI$1)*$AH280:$AO280)))</f>
        <v>0</v>
      </c>
      <c r="AS280" s="0" t="n">
        <f aca="false">MIN(AJ280,MAX(0,$AP280-SUMPRODUCT(($AH$1:$AO$1&lt;AJ$1)*$AH280:$AO280)))</f>
        <v>0</v>
      </c>
      <c r="AT280" s="0" t="n">
        <f aca="false">MIN(AK280,MAX(0,$AP280-SUMPRODUCT(($AH$1:$AO$1&lt;AK$1)*$AH280:$AO280)))</f>
        <v>0</v>
      </c>
      <c r="AU280" s="0" t="n">
        <f aca="false">MIN(AL280,MAX(0,$AP280-SUMPRODUCT(($AH$1:$AO$1&lt;AL$1)*$AH280:$AO280)))</f>
        <v>0</v>
      </c>
      <c r="AV280" s="0" t="n">
        <f aca="false">MIN(AM280,MAX(0,$AP280-SUMPRODUCT(($AH$1:$AO$1&lt;AM$1)*$AH280:$AO280)))</f>
        <v>0</v>
      </c>
      <c r="AW280" s="0" t="n">
        <f aca="false">MIN(AN280,MAX(0,$AP280-SUMPRODUCT(($AH$1:$AO$1&lt;AN$1)*$AH280:$AO280)))</f>
        <v>0</v>
      </c>
      <c r="AX280" s="0" t="n">
        <f aca="false">MIN(AO280,MAX(0,$AP280-SUMPRODUCT(($AH$1:$AO$1&lt;AO$1)*$AH280:$AO280)))</f>
        <v>0</v>
      </c>
      <c r="AY280" s="0" t="n">
        <f aca="false">ROUND(AH280-AQ280,2)</f>
        <v>0</v>
      </c>
      <c r="AZ280" s="0" t="n">
        <f aca="false">ROUND(AI280-AR280,2)</f>
        <v>0</v>
      </c>
      <c r="BA280" s="0" t="n">
        <f aca="false">ROUND(AJ280-AS280,2)</f>
        <v>0</v>
      </c>
      <c r="BB280" s="0" t="n">
        <f aca="false">ROUND(AK280-AT280,2)</f>
        <v>0</v>
      </c>
      <c r="BC280" s="0" t="n">
        <f aca="false">ROUND(AL280-AU280,2)</f>
        <v>0</v>
      </c>
      <c r="BD280" s="0" t="n">
        <f aca="false">ROUND(AM280-AV280,2)</f>
        <v>0</v>
      </c>
      <c r="BE280" s="0" t="n">
        <f aca="false">ROUND(AN280-AW280,2)</f>
        <v>0</v>
      </c>
      <c r="BF280" s="0" t="n">
        <f aca="false">ROUND(AO280-AX280,2)</f>
        <v>0</v>
      </c>
      <c r="BG280" s="0" t="n">
        <f aca="false">SUM(AY280:BF280)</f>
        <v>0</v>
      </c>
    </row>
    <row r="281" customFormat="false" ht="15" hidden="false" customHeight="false" outlineLevel="0" collapsed="false">
      <c r="A281" s="0" t="n">
        <v>279</v>
      </c>
      <c r="B281" s="0" t="n">
        <f aca="false">AY280</f>
        <v>0</v>
      </c>
      <c r="C281" s="0" t="n">
        <f aca="false">AZ280</f>
        <v>0</v>
      </c>
      <c r="D281" s="0" t="n">
        <f aca="false">BA280</f>
        <v>0</v>
      </c>
      <c r="E281" s="0" t="n">
        <f aca="false">BB280</f>
        <v>0</v>
      </c>
      <c r="F281" s="0" t="n">
        <f aca="false">BC280</f>
        <v>0</v>
      </c>
      <c r="G281" s="0" t="n">
        <f aca="false">BD280</f>
        <v>0</v>
      </c>
      <c r="H281" s="0" t="n">
        <f aca="false">BE280</f>
        <v>0</v>
      </c>
      <c r="I281" s="0" t="n">
        <f aca="false">BF280</f>
        <v>0</v>
      </c>
      <c r="J281" s="0" t="n">
        <f aca="false">B281*N('Debt Payoff'!D9)/12</f>
        <v>0</v>
      </c>
      <c r="K281" s="0" t="n">
        <f aca="false">C281*N('Debt Payoff'!D10)/12</f>
        <v>0</v>
      </c>
      <c r="L281" s="0" t="n">
        <f aca="false">D281*N('Debt Payoff'!D11)/12</f>
        <v>0</v>
      </c>
      <c r="M281" s="0" t="n">
        <f aca="false">E281*N('Debt Payoff'!D12)/12</f>
        <v>0</v>
      </c>
      <c r="N281" s="0" t="n">
        <f aca="false">F281*N('Debt Payoff'!D13)/12</f>
        <v>0</v>
      </c>
      <c r="O281" s="0" t="n">
        <f aca="false">G281*N('Debt Payoff'!D14)/12</f>
        <v>0</v>
      </c>
      <c r="P281" s="0" t="n">
        <f aca="false">H281*N('Debt Payoff'!D15)/12</f>
        <v>0</v>
      </c>
      <c r="Q281" s="0" t="n">
        <f aca="false">I281*N('Debt Payoff'!D16)/12</f>
        <v>0</v>
      </c>
      <c r="R281" s="0" t="n">
        <f aca="false">B281+J281</f>
        <v>0</v>
      </c>
      <c r="S281" s="0" t="n">
        <f aca="false">C281+K281</f>
        <v>0</v>
      </c>
      <c r="T281" s="0" t="n">
        <f aca="false">D281+L281</f>
        <v>0</v>
      </c>
      <c r="U281" s="0" t="n">
        <f aca="false">E281+M281</f>
        <v>0</v>
      </c>
      <c r="V281" s="0" t="n">
        <f aca="false">F281+N281</f>
        <v>0</v>
      </c>
      <c r="W281" s="0" t="n">
        <f aca="false">G281+O281</f>
        <v>0</v>
      </c>
      <c r="X281" s="0" t="n">
        <f aca="false">H281+P281</f>
        <v>0</v>
      </c>
      <c r="Y281" s="0" t="n">
        <f aca="false">I281+Q281</f>
        <v>0</v>
      </c>
      <c r="Z281" s="0" t="n">
        <f aca="false">MIN(R281,N('Debt Payoff'!E9))</f>
        <v>0</v>
      </c>
      <c r="AA281" s="0" t="n">
        <f aca="false">MIN(S281,N('Debt Payoff'!E10))</f>
        <v>0</v>
      </c>
      <c r="AB281" s="0" t="n">
        <f aca="false">MIN(T281,N('Debt Payoff'!E11))</f>
        <v>0</v>
      </c>
      <c r="AC281" s="0" t="n">
        <f aca="false">MIN(U281,N('Debt Payoff'!E12))</f>
        <v>0</v>
      </c>
      <c r="AD281" s="0" t="n">
        <f aca="false">MIN(V281,N('Debt Payoff'!E13))</f>
        <v>0</v>
      </c>
      <c r="AE281" s="0" t="n">
        <f aca="false">MIN(W281,N('Debt Payoff'!E14))</f>
        <v>0</v>
      </c>
      <c r="AF281" s="0" t="n">
        <f aca="false">MIN(X281,N('Debt Payoff'!E15))</f>
        <v>0</v>
      </c>
      <c r="AG281" s="0" t="n">
        <f aca="false">MIN(Y281,N('Debt Payoff'!E16))</f>
        <v>0</v>
      </c>
      <c r="AH281" s="0" t="n">
        <f aca="false">R281-Z281</f>
        <v>0</v>
      </c>
      <c r="AI281" s="0" t="n">
        <f aca="false">S281-AA281</f>
        <v>0</v>
      </c>
      <c r="AJ281" s="0" t="n">
        <f aca="false">T281-AB281</f>
        <v>0</v>
      </c>
      <c r="AK281" s="0" t="n">
        <f aca="false">U281-AC281</f>
        <v>0</v>
      </c>
      <c r="AL281" s="0" t="n">
        <f aca="false">V281-AD281</f>
        <v>0</v>
      </c>
      <c r="AM281" s="0" t="n">
        <f aca="false">W281-AE281</f>
        <v>0</v>
      </c>
      <c r="AN281" s="0" t="n">
        <f aca="false">X281-AF281</f>
        <v>0</v>
      </c>
      <c r="AO281" s="0" t="n">
        <f aca="false">Y281-AG281</f>
        <v>0</v>
      </c>
      <c r="AP281" s="0" t="n">
        <f aca="false">MAX(0,'Debt Payoff'!$D$17-SUM(Z281:AG281))</f>
        <v>805</v>
      </c>
      <c r="AQ281" s="0" t="n">
        <f aca="false">MIN(AH281,MAX(0,$AP281-SUMPRODUCT(($AH$1:$AO$1&lt;AH$1)*$AH281:$AO281)))</f>
        <v>0</v>
      </c>
      <c r="AR281" s="0" t="n">
        <f aca="false">MIN(AI281,MAX(0,$AP281-SUMPRODUCT(($AH$1:$AO$1&lt;AI$1)*$AH281:$AO281)))</f>
        <v>0</v>
      </c>
      <c r="AS281" s="0" t="n">
        <f aca="false">MIN(AJ281,MAX(0,$AP281-SUMPRODUCT(($AH$1:$AO$1&lt;AJ$1)*$AH281:$AO281)))</f>
        <v>0</v>
      </c>
      <c r="AT281" s="0" t="n">
        <f aca="false">MIN(AK281,MAX(0,$AP281-SUMPRODUCT(($AH$1:$AO$1&lt;AK$1)*$AH281:$AO281)))</f>
        <v>0</v>
      </c>
      <c r="AU281" s="0" t="n">
        <f aca="false">MIN(AL281,MAX(0,$AP281-SUMPRODUCT(($AH$1:$AO$1&lt;AL$1)*$AH281:$AO281)))</f>
        <v>0</v>
      </c>
      <c r="AV281" s="0" t="n">
        <f aca="false">MIN(AM281,MAX(0,$AP281-SUMPRODUCT(($AH$1:$AO$1&lt;AM$1)*$AH281:$AO281)))</f>
        <v>0</v>
      </c>
      <c r="AW281" s="0" t="n">
        <f aca="false">MIN(AN281,MAX(0,$AP281-SUMPRODUCT(($AH$1:$AO$1&lt;AN$1)*$AH281:$AO281)))</f>
        <v>0</v>
      </c>
      <c r="AX281" s="0" t="n">
        <f aca="false">MIN(AO281,MAX(0,$AP281-SUMPRODUCT(($AH$1:$AO$1&lt;AO$1)*$AH281:$AO281)))</f>
        <v>0</v>
      </c>
      <c r="AY281" s="0" t="n">
        <f aca="false">ROUND(AH281-AQ281,2)</f>
        <v>0</v>
      </c>
      <c r="AZ281" s="0" t="n">
        <f aca="false">ROUND(AI281-AR281,2)</f>
        <v>0</v>
      </c>
      <c r="BA281" s="0" t="n">
        <f aca="false">ROUND(AJ281-AS281,2)</f>
        <v>0</v>
      </c>
      <c r="BB281" s="0" t="n">
        <f aca="false">ROUND(AK281-AT281,2)</f>
        <v>0</v>
      </c>
      <c r="BC281" s="0" t="n">
        <f aca="false">ROUND(AL281-AU281,2)</f>
        <v>0</v>
      </c>
      <c r="BD281" s="0" t="n">
        <f aca="false">ROUND(AM281-AV281,2)</f>
        <v>0</v>
      </c>
      <c r="BE281" s="0" t="n">
        <f aca="false">ROUND(AN281-AW281,2)</f>
        <v>0</v>
      </c>
      <c r="BF281" s="0" t="n">
        <f aca="false">ROUND(AO281-AX281,2)</f>
        <v>0</v>
      </c>
      <c r="BG281" s="0" t="n">
        <f aca="false">SUM(AY281:BF281)</f>
        <v>0</v>
      </c>
    </row>
    <row r="282" customFormat="false" ht="15" hidden="false" customHeight="false" outlineLevel="0" collapsed="false">
      <c r="A282" s="0" t="n">
        <v>280</v>
      </c>
      <c r="B282" s="0" t="n">
        <f aca="false">AY281</f>
        <v>0</v>
      </c>
      <c r="C282" s="0" t="n">
        <f aca="false">AZ281</f>
        <v>0</v>
      </c>
      <c r="D282" s="0" t="n">
        <f aca="false">BA281</f>
        <v>0</v>
      </c>
      <c r="E282" s="0" t="n">
        <f aca="false">BB281</f>
        <v>0</v>
      </c>
      <c r="F282" s="0" t="n">
        <f aca="false">BC281</f>
        <v>0</v>
      </c>
      <c r="G282" s="0" t="n">
        <f aca="false">BD281</f>
        <v>0</v>
      </c>
      <c r="H282" s="0" t="n">
        <f aca="false">BE281</f>
        <v>0</v>
      </c>
      <c r="I282" s="0" t="n">
        <f aca="false">BF281</f>
        <v>0</v>
      </c>
      <c r="J282" s="0" t="n">
        <f aca="false">B282*N('Debt Payoff'!D9)/12</f>
        <v>0</v>
      </c>
      <c r="K282" s="0" t="n">
        <f aca="false">C282*N('Debt Payoff'!D10)/12</f>
        <v>0</v>
      </c>
      <c r="L282" s="0" t="n">
        <f aca="false">D282*N('Debt Payoff'!D11)/12</f>
        <v>0</v>
      </c>
      <c r="M282" s="0" t="n">
        <f aca="false">E282*N('Debt Payoff'!D12)/12</f>
        <v>0</v>
      </c>
      <c r="N282" s="0" t="n">
        <f aca="false">F282*N('Debt Payoff'!D13)/12</f>
        <v>0</v>
      </c>
      <c r="O282" s="0" t="n">
        <f aca="false">G282*N('Debt Payoff'!D14)/12</f>
        <v>0</v>
      </c>
      <c r="P282" s="0" t="n">
        <f aca="false">H282*N('Debt Payoff'!D15)/12</f>
        <v>0</v>
      </c>
      <c r="Q282" s="0" t="n">
        <f aca="false">I282*N('Debt Payoff'!D16)/12</f>
        <v>0</v>
      </c>
      <c r="R282" s="0" t="n">
        <f aca="false">B282+J282</f>
        <v>0</v>
      </c>
      <c r="S282" s="0" t="n">
        <f aca="false">C282+K282</f>
        <v>0</v>
      </c>
      <c r="T282" s="0" t="n">
        <f aca="false">D282+L282</f>
        <v>0</v>
      </c>
      <c r="U282" s="0" t="n">
        <f aca="false">E282+M282</f>
        <v>0</v>
      </c>
      <c r="V282" s="0" t="n">
        <f aca="false">F282+N282</f>
        <v>0</v>
      </c>
      <c r="W282" s="0" t="n">
        <f aca="false">G282+O282</f>
        <v>0</v>
      </c>
      <c r="X282" s="0" t="n">
        <f aca="false">H282+P282</f>
        <v>0</v>
      </c>
      <c r="Y282" s="0" t="n">
        <f aca="false">I282+Q282</f>
        <v>0</v>
      </c>
      <c r="Z282" s="0" t="n">
        <f aca="false">MIN(R282,N('Debt Payoff'!E9))</f>
        <v>0</v>
      </c>
      <c r="AA282" s="0" t="n">
        <f aca="false">MIN(S282,N('Debt Payoff'!E10))</f>
        <v>0</v>
      </c>
      <c r="AB282" s="0" t="n">
        <f aca="false">MIN(T282,N('Debt Payoff'!E11))</f>
        <v>0</v>
      </c>
      <c r="AC282" s="0" t="n">
        <f aca="false">MIN(U282,N('Debt Payoff'!E12))</f>
        <v>0</v>
      </c>
      <c r="AD282" s="0" t="n">
        <f aca="false">MIN(V282,N('Debt Payoff'!E13))</f>
        <v>0</v>
      </c>
      <c r="AE282" s="0" t="n">
        <f aca="false">MIN(W282,N('Debt Payoff'!E14))</f>
        <v>0</v>
      </c>
      <c r="AF282" s="0" t="n">
        <f aca="false">MIN(X282,N('Debt Payoff'!E15))</f>
        <v>0</v>
      </c>
      <c r="AG282" s="0" t="n">
        <f aca="false">MIN(Y282,N('Debt Payoff'!E16))</f>
        <v>0</v>
      </c>
      <c r="AH282" s="0" t="n">
        <f aca="false">R282-Z282</f>
        <v>0</v>
      </c>
      <c r="AI282" s="0" t="n">
        <f aca="false">S282-AA282</f>
        <v>0</v>
      </c>
      <c r="AJ282" s="0" t="n">
        <f aca="false">T282-AB282</f>
        <v>0</v>
      </c>
      <c r="AK282" s="0" t="n">
        <f aca="false">U282-AC282</f>
        <v>0</v>
      </c>
      <c r="AL282" s="0" t="n">
        <f aca="false">V282-AD282</f>
        <v>0</v>
      </c>
      <c r="AM282" s="0" t="n">
        <f aca="false">W282-AE282</f>
        <v>0</v>
      </c>
      <c r="AN282" s="0" t="n">
        <f aca="false">X282-AF282</f>
        <v>0</v>
      </c>
      <c r="AO282" s="0" t="n">
        <f aca="false">Y282-AG282</f>
        <v>0</v>
      </c>
      <c r="AP282" s="0" t="n">
        <f aca="false">MAX(0,'Debt Payoff'!$D$17-SUM(Z282:AG282))</f>
        <v>805</v>
      </c>
      <c r="AQ282" s="0" t="n">
        <f aca="false">MIN(AH282,MAX(0,$AP282-SUMPRODUCT(($AH$1:$AO$1&lt;AH$1)*$AH282:$AO282)))</f>
        <v>0</v>
      </c>
      <c r="AR282" s="0" t="n">
        <f aca="false">MIN(AI282,MAX(0,$AP282-SUMPRODUCT(($AH$1:$AO$1&lt;AI$1)*$AH282:$AO282)))</f>
        <v>0</v>
      </c>
      <c r="AS282" s="0" t="n">
        <f aca="false">MIN(AJ282,MAX(0,$AP282-SUMPRODUCT(($AH$1:$AO$1&lt;AJ$1)*$AH282:$AO282)))</f>
        <v>0</v>
      </c>
      <c r="AT282" s="0" t="n">
        <f aca="false">MIN(AK282,MAX(0,$AP282-SUMPRODUCT(($AH$1:$AO$1&lt;AK$1)*$AH282:$AO282)))</f>
        <v>0</v>
      </c>
      <c r="AU282" s="0" t="n">
        <f aca="false">MIN(AL282,MAX(0,$AP282-SUMPRODUCT(($AH$1:$AO$1&lt;AL$1)*$AH282:$AO282)))</f>
        <v>0</v>
      </c>
      <c r="AV282" s="0" t="n">
        <f aca="false">MIN(AM282,MAX(0,$AP282-SUMPRODUCT(($AH$1:$AO$1&lt;AM$1)*$AH282:$AO282)))</f>
        <v>0</v>
      </c>
      <c r="AW282" s="0" t="n">
        <f aca="false">MIN(AN282,MAX(0,$AP282-SUMPRODUCT(($AH$1:$AO$1&lt;AN$1)*$AH282:$AO282)))</f>
        <v>0</v>
      </c>
      <c r="AX282" s="0" t="n">
        <f aca="false">MIN(AO282,MAX(0,$AP282-SUMPRODUCT(($AH$1:$AO$1&lt;AO$1)*$AH282:$AO282)))</f>
        <v>0</v>
      </c>
      <c r="AY282" s="0" t="n">
        <f aca="false">ROUND(AH282-AQ282,2)</f>
        <v>0</v>
      </c>
      <c r="AZ282" s="0" t="n">
        <f aca="false">ROUND(AI282-AR282,2)</f>
        <v>0</v>
      </c>
      <c r="BA282" s="0" t="n">
        <f aca="false">ROUND(AJ282-AS282,2)</f>
        <v>0</v>
      </c>
      <c r="BB282" s="0" t="n">
        <f aca="false">ROUND(AK282-AT282,2)</f>
        <v>0</v>
      </c>
      <c r="BC282" s="0" t="n">
        <f aca="false">ROUND(AL282-AU282,2)</f>
        <v>0</v>
      </c>
      <c r="BD282" s="0" t="n">
        <f aca="false">ROUND(AM282-AV282,2)</f>
        <v>0</v>
      </c>
      <c r="BE282" s="0" t="n">
        <f aca="false">ROUND(AN282-AW282,2)</f>
        <v>0</v>
      </c>
      <c r="BF282" s="0" t="n">
        <f aca="false">ROUND(AO282-AX282,2)</f>
        <v>0</v>
      </c>
      <c r="BG282" s="0" t="n">
        <f aca="false">SUM(AY282:BF282)</f>
        <v>0</v>
      </c>
    </row>
    <row r="283" customFormat="false" ht="15" hidden="false" customHeight="false" outlineLevel="0" collapsed="false">
      <c r="A283" s="0" t="n">
        <v>281</v>
      </c>
      <c r="B283" s="0" t="n">
        <f aca="false">AY282</f>
        <v>0</v>
      </c>
      <c r="C283" s="0" t="n">
        <f aca="false">AZ282</f>
        <v>0</v>
      </c>
      <c r="D283" s="0" t="n">
        <f aca="false">BA282</f>
        <v>0</v>
      </c>
      <c r="E283" s="0" t="n">
        <f aca="false">BB282</f>
        <v>0</v>
      </c>
      <c r="F283" s="0" t="n">
        <f aca="false">BC282</f>
        <v>0</v>
      </c>
      <c r="G283" s="0" t="n">
        <f aca="false">BD282</f>
        <v>0</v>
      </c>
      <c r="H283" s="0" t="n">
        <f aca="false">BE282</f>
        <v>0</v>
      </c>
      <c r="I283" s="0" t="n">
        <f aca="false">BF282</f>
        <v>0</v>
      </c>
      <c r="J283" s="0" t="n">
        <f aca="false">B283*N('Debt Payoff'!D9)/12</f>
        <v>0</v>
      </c>
      <c r="K283" s="0" t="n">
        <f aca="false">C283*N('Debt Payoff'!D10)/12</f>
        <v>0</v>
      </c>
      <c r="L283" s="0" t="n">
        <f aca="false">D283*N('Debt Payoff'!D11)/12</f>
        <v>0</v>
      </c>
      <c r="M283" s="0" t="n">
        <f aca="false">E283*N('Debt Payoff'!D12)/12</f>
        <v>0</v>
      </c>
      <c r="N283" s="0" t="n">
        <f aca="false">F283*N('Debt Payoff'!D13)/12</f>
        <v>0</v>
      </c>
      <c r="O283" s="0" t="n">
        <f aca="false">G283*N('Debt Payoff'!D14)/12</f>
        <v>0</v>
      </c>
      <c r="P283" s="0" t="n">
        <f aca="false">H283*N('Debt Payoff'!D15)/12</f>
        <v>0</v>
      </c>
      <c r="Q283" s="0" t="n">
        <f aca="false">I283*N('Debt Payoff'!D16)/12</f>
        <v>0</v>
      </c>
      <c r="R283" s="0" t="n">
        <f aca="false">B283+J283</f>
        <v>0</v>
      </c>
      <c r="S283" s="0" t="n">
        <f aca="false">C283+K283</f>
        <v>0</v>
      </c>
      <c r="T283" s="0" t="n">
        <f aca="false">D283+L283</f>
        <v>0</v>
      </c>
      <c r="U283" s="0" t="n">
        <f aca="false">E283+M283</f>
        <v>0</v>
      </c>
      <c r="V283" s="0" t="n">
        <f aca="false">F283+N283</f>
        <v>0</v>
      </c>
      <c r="W283" s="0" t="n">
        <f aca="false">G283+O283</f>
        <v>0</v>
      </c>
      <c r="X283" s="0" t="n">
        <f aca="false">H283+P283</f>
        <v>0</v>
      </c>
      <c r="Y283" s="0" t="n">
        <f aca="false">I283+Q283</f>
        <v>0</v>
      </c>
      <c r="Z283" s="0" t="n">
        <f aca="false">MIN(R283,N('Debt Payoff'!E9))</f>
        <v>0</v>
      </c>
      <c r="AA283" s="0" t="n">
        <f aca="false">MIN(S283,N('Debt Payoff'!E10))</f>
        <v>0</v>
      </c>
      <c r="AB283" s="0" t="n">
        <f aca="false">MIN(T283,N('Debt Payoff'!E11))</f>
        <v>0</v>
      </c>
      <c r="AC283" s="0" t="n">
        <f aca="false">MIN(U283,N('Debt Payoff'!E12))</f>
        <v>0</v>
      </c>
      <c r="AD283" s="0" t="n">
        <f aca="false">MIN(V283,N('Debt Payoff'!E13))</f>
        <v>0</v>
      </c>
      <c r="AE283" s="0" t="n">
        <f aca="false">MIN(W283,N('Debt Payoff'!E14))</f>
        <v>0</v>
      </c>
      <c r="AF283" s="0" t="n">
        <f aca="false">MIN(X283,N('Debt Payoff'!E15))</f>
        <v>0</v>
      </c>
      <c r="AG283" s="0" t="n">
        <f aca="false">MIN(Y283,N('Debt Payoff'!E16))</f>
        <v>0</v>
      </c>
      <c r="AH283" s="0" t="n">
        <f aca="false">R283-Z283</f>
        <v>0</v>
      </c>
      <c r="AI283" s="0" t="n">
        <f aca="false">S283-AA283</f>
        <v>0</v>
      </c>
      <c r="AJ283" s="0" t="n">
        <f aca="false">T283-AB283</f>
        <v>0</v>
      </c>
      <c r="AK283" s="0" t="n">
        <f aca="false">U283-AC283</f>
        <v>0</v>
      </c>
      <c r="AL283" s="0" t="n">
        <f aca="false">V283-AD283</f>
        <v>0</v>
      </c>
      <c r="AM283" s="0" t="n">
        <f aca="false">W283-AE283</f>
        <v>0</v>
      </c>
      <c r="AN283" s="0" t="n">
        <f aca="false">X283-AF283</f>
        <v>0</v>
      </c>
      <c r="AO283" s="0" t="n">
        <f aca="false">Y283-AG283</f>
        <v>0</v>
      </c>
      <c r="AP283" s="0" t="n">
        <f aca="false">MAX(0,'Debt Payoff'!$D$17-SUM(Z283:AG283))</f>
        <v>805</v>
      </c>
      <c r="AQ283" s="0" t="n">
        <f aca="false">MIN(AH283,MAX(0,$AP283-SUMPRODUCT(($AH$1:$AO$1&lt;AH$1)*$AH283:$AO283)))</f>
        <v>0</v>
      </c>
      <c r="AR283" s="0" t="n">
        <f aca="false">MIN(AI283,MAX(0,$AP283-SUMPRODUCT(($AH$1:$AO$1&lt;AI$1)*$AH283:$AO283)))</f>
        <v>0</v>
      </c>
      <c r="AS283" s="0" t="n">
        <f aca="false">MIN(AJ283,MAX(0,$AP283-SUMPRODUCT(($AH$1:$AO$1&lt;AJ$1)*$AH283:$AO283)))</f>
        <v>0</v>
      </c>
      <c r="AT283" s="0" t="n">
        <f aca="false">MIN(AK283,MAX(0,$AP283-SUMPRODUCT(($AH$1:$AO$1&lt;AK$1)*$AH283:$AO283)))</f>
        <v>0</v>
      </c>
      <c r="AU283" s="0" t="n">
        <f aca="false">MIN(AL283,MAX(0,$AP283-SUMPRODUCT(($AH$1:$AO$1&lt;AL$1)*$AH283:$AO283)))</f>
        <v>0</v>
      </c>
      <c r="AV283" s="0" t="n">
        <f aca="false">MIN(AM283,MAX(0,$AP283-SUMPRODUCT(($AH$1:$AO$1&lt;AM$1)*$AH283:$AO283)))</f>
        <v>0</v>
      </c>
      <c r="AW283" s="0" t="n">
        <f aca="false">MIN(AN283,MAX(0,$AP283-SUMPRODUCT(($AH$1:$AO$1&lt;AN$1)*$AH283:$AO283)))</f>
        <v>0</v>
      </c>
      <c r="AX283" s="0" t="n">
        <f aca="false">MIN(AO283,MAX(0,$AP283-SUMPRODUCT(($AH$1:$AO$1&lt;AO$1)*$AH283:$AO283)))</f>
        <v>0</v>
      </c>
      <c r="AY283" s="0" t="n">
        <f aca="false">ROUND(AH283-AQ283,2)</f>
        <v>0</v>
      </c>
      <c r="AZ283" s="0" t="n">
        <f aca="false">ROUND(AI283-AR283,2)</f>
        <v>0</v>
      </c>
      <c r="BA283" s="0" t="n">
        <f aca="false">ROUND(AJ283-AS283,2)</f>
        <v>0</v>
      </c>
      <c r="BB283" s="0" t="n">
        <f aca="false">ROUND(AK283-AT283,2)</f>
        <v>0</v>
      </c>
      <c r="BC283" s="0" t="n">
        <f aca="false">ROUND(AL283-AU283,2)</f>
        <v>0</v>
      </c>
      <c r="BD283" s="0" t="n">
        <f aca="false">ROUND(AM283-AV283,2)</f>
        <v>0</v>
      </c>
      <c r="BE283" s="0" t="n">
        <f aca="false">ROUND(AN283-AW283,2)</f>
        <v>0</v>
      </c>
      <c r="BF283" s="0" t="n">
        <f aca="false">ROUND(AO283-AX283,2)</f>
        <v>0</v>
      </c>
      <c r="BG283" s="0" t="n">
        <f aca="false">SUM(AY283:BF283)</f>
        <v>0</v>
      </c>
    </row>
    <row r="284" customFormat="false" ht="15" hidden="false" customHeight="false" outlineLevel="0" collapsed="false">
      <c r="A284" s="0" t="n">
        <v>282</v>
      </c>
      <c r="B284" s="0" t="n">
        <f aca="false">AY283</f>
        <v>0</v>
      </c>
      <c r="C284" s="0" t="n">
        <f aca="false">AZ283</f>
        <v>0</v>
      </c>
      <c r="D284" s="0" t="n">
        <f aca="false">BA283</f>
        <v>0</v>
      </c>
      <c r="E284" s="0" t="n">
        <f aca="false">BB283</f>
        <v>0</v>
      </c>
      <c r="F284" s="0" t="n">
        <f aca="false">BC283</f>
        <v>0</v>
      </c>
      <c r="G284" s="0" t="n">
        <f aca="false">BD283</f>
        <v>0</v>
      </c>
      <c r="H284" s="0" t="n">
        <f aca="false">BE283</f>
        <v>0</v>
      </c>
      <c r="I284" s="0" t="n">
        <f aca="false">BF283</f>
        <v>0</v>
      </c>
      <c r="J284" s="0" t="n">
        <f aca="false">B284*N('Debt Payoff'!D9)/12</f>
        <v>0</v>
      </c>
      <c r="K284" s="0" t="n">
        <f aca="false">C284*N('Debt Payoff'!D10)/12</f>
        <v>0</v>
      </c>
      <c r="L284" s="0" t="n">
        <f aca="false">D284*N('Debt Payoff'!D11)/12</f>
        <v>0</v>
      </c>
      <c r="M284" s="0" t="n">
        <f aca="false">E284*N('Debt Payoff'!D12)/12</f>
        <v>0</v>
      </c>
      <c r="N284" s="0" t="n">
        <f aca="false">F284*N('Debt Payoff'!D13)/12</f>
        <v>0</v>
      </c>
      <c r="O284" s="0" t="n">
        <f aca="false">G284*N('Debt Payoff'!D14)/12</f>
        <v>0</v>
      </c>
      <c r="P284" s="0" t="n">
        <f aca="false">H284*N('Debt Payoff'!D15)/12</f>
        <v>0</v>
      </c>
      <c r="Q284" s="0" t="n">
        <f aca="false">I284*N('Debt Payoff'!D16)/12</f>
        <v>0</v>
      </c>
      <c r="R284" s="0" t="n">
        <f aca="false">B284+J284</f>
        <v>0</v>
      </c>
      <c r="S284" s="0" t="n">
        <f aca="false">C284+K284</f>
        <v>0</v>
      </c>
      <c r="T284" s="0" t="n">
        <f aca="false">D284+L284</f>
        <v>0</v>
      </c>
      <c r="U284" s="0" t="n">
        <f aca="false">E284+M284</f>
        <v>0</v>
      </c>
      <c r="V284" s="0" t="n">
        <f aca="false">F284+N284</f>
        <v>0</v>
      </c>
      <c r="W284" s="0" t="n">
        <f aca="false">G284+O284</f>
        <v>0</v>
      </c>
      <c r="X284" s="0" t="n">
        <f aca="false">H284+P284</f>
        <v>0</v>
      </c>
      <c r="Y284" s="0" t="n">
        <f aca="false">I284+Q284</f>
        <v>0</v>
      </c>
      <c r="Z284" s="0" t="n">
        <f aca="false">MIN(R284,N('Debt Payoff'!E9))</f>
        <v>0</v>
      </c>
      <c r="AA284" s="0" t="n">
        <f aca="false">MIN(S284,N('Debt Payoff'!E10))</f>
        <v>0</v>
      </c>
      <c r="AB284" s="0" t="n">
        <f aca="false">MIN(T284,N('Debt Payoff'!E11))</f>
        <v>0</v>
      </c>
      <c r="AC284" s="0" t="n">
        <f aca="false">MIN(U284,N('Debt Payoff'!E12))</f>
        <v>0</v>
      </c>
      <c r="AD284" s="0" t="n">
        <f aca="false">MIN(V284,N('Debt Payoff'!E13))</f>
        <v>0</v>
      </c>
      <c r="AE284" s="0" t="n">
        <f aca="false">MIN(W284,N('Debt Payoff'!E14))</f>
        <v>0</v>
      </c>
      <c r="AF284" s="0" t="n">
        <f aca="false">MIN(X284,N('Debt Payoff'!E15))</f>
        <v>0</v>
      </c>
      <c r="AG284" s="0" t="n">
        <f aca="false">MIN(Y284,N('Debt Payoff'!E16))</f>
        <v>0</v>
      </c>
      <c r="AH284" s="0" t="n">
        <f aca="false">R284-Z284</f>
        <v>0</v>
      </c>
      <c r="AI284" s="0" t="n">
        <f aca="false">S284-AA284</f>
        <v>0</v>
      </c>
      <c r="AJ284" s="0" t="n">
        <f aca="false">T284-AB284</f>
        <v>0</v>
      </c>
      <c r="AK284" s="0" t="n">
        <f aca="false">U284-AC284</f>
        <v>0</v>
      </c>
      <c r="AL284" s="0" t="n">
        <f aca="false">V284-AD284</f>
        <v>0</v>
      </c>
      <c r="AM284" s="0" t="n">
        <f aca="false">W284-AE284</f>
        <v>0</v>
      </c>
      <c r="AN284" s="0" t="n">
        <f aca="false">X284-AF284</f>
        <v>0</v>
      </c>
      <c r="AO284" s="0" t="n">
        <f aca="false">Y284-AG284</f>
        <v>0</v>
      </c>
      <c r="AP284" s="0" t="n">
        <f aca="false">MAX(0,'Debt Payoff'!$D$17-SUM(Z284:AG284))</f>
        <v>805</v>
      </c>
      <c r="AQ284" s="0" t="n">
        <f aca="false">MIN(AH284,MAX(0,$AP284-SUMPRODUCT(($AH$1:$AO$1&lt;AH$1)*$AH284:$AO284)))</f>
        <v>0</v>
      </c>
      <c r="AR284" s="0" t="n">
        <f aca="false">MIN(AI284,MAX(0,$AP284-SUMPRODUCT(($AH$1:$AO$1&lt;AI$1)*$AH284:$AO284)))</f>
        <v>0</v>
      </c>
      <c r="AS284" s="0" t="n">
        <f aca="false">MIN(AJ284,MAX(0,$AP284-SUMPRODUCT(($AH$1:$AO$1&lt;AJ$1)*$AH284:$AO284)))</f>
        <v>0</v>
      </c>
      <c r="AT284" s="0" t="n">
        <f aca="false">MIN(AK284,MAX(0,$AP284-SUMPRODUCT(($AH$1:$AO$1&lt;AK$1)*$AH284:$AO284)))</f>
        <v>0</v>
      </c>
      <c r="AU284" s="0" t="n">
        <f aca="false">MIN(AL284,MAX(0,$AP284-SUMPRODUCT(($AH$1:$AO$1&lt;AL$1)*$AH284:$AO284)))</f>
        <v>0</v>
      </c>
      <c r="AV284" s="0" t="n">
        <f aca="false">MIN(AM284,MAX(0,$AP284-SUMPRODUCT(($AH$1:$AO$1&lt;AM$1)*$AH284:$AO284)))</f>
        <v>0</v>
      </c>
      <c r="AW284" s="0" t="n">
        <f aca="false">MIN(AN284,MAX(0,$AP284-SUMPRODUCT(($AH$1:$AO$1&lt;AN$1)*$AH284:$AO284)))</f>
        <v>0</v>
      </c>
      <c r="AX284" s="0" t="n">
        <f aca="false">MIN(AO284,MAX(0,$AP284-SUMPRODUCT(($AH$1:$AO$1&lt;AO$1)*$AH284:$AO284)))</f>
        <v>0</v>
      </c>
      <c r="AY284" s="0" t="n">
        <f aca="false">ROUND(AH284-AQ284,2)</f>
        <v>0</v>
      </c>
      <c r="AZ284" s="0" t="n">
        <f aca="false">ROUND(AI284-AR284,2)</f>
        <v>0</v>
      </c>
      <c r="BA284" s="0" t="n">
        <f aca="false">ROUND(AJ284-AS284,2)</f>
        <v>0</v>
      </c>
      <c r="BB284" s="0" t="n">
        <f aca="false">ROUND(AK284-AT284,2)</f>
        <v>0</v>
      </c>
      <c r="BC284" s="0" t="n">
        <f aca="false">ROUND(AL284-AU284,2)</f>
        <v>0</v>
      </c>
      <c r="BD284" s="0" t="n">
        <f aca="false">ROUND(AM284-AV284,2)</f>
        <v>0</v>
      </c>
      <c r="BE284" s="0" t="n">
        <f aca="false">ROUND(AN284-AW284,2)</f>
        <v>0</v>
      </c>
      <c r="BF284" s="0" t="n">
        <f aca="false">ROUND(AO284-AX284,2)</f>
        <v>0</v>
      </c>
      <c r="BG284" s="0" t="n">
        <f aca="false">SUM(AY284:BF284)</f>
        <v>0</v>
      </c>
    </row>
    <row r="285" customFormat="false" ht="15" hidden="false" customHeight="false" outlineLevel="0" collapsed="false">
      <c r="A285" s="0" t="n">
        <v>283</v>
      </c>
      <c r="B285" s="0" t="n">
        <f aca="false">AY284</f>
        <v>0</v>
      </c>
      <c r="C285" s="0" t="n">
        <f aca="false">AZ284</f>
        <v>0</v>
      </c>
      <c r="D285" s="0" t="n">
        <f aca="false">BA284</f>
        <v>0</v>
      </c>
      <c r="E285" s="0" t="n">
        <f aca="false">BB284</f>
        <v>0</v>
      </c>
      <c r="F285" s="0" t="n">
        <f aca="false">BC284</f>
        <v>0</v>
      </c>
      <c r="G285" s="0" t="n">
        <f aca="false">BD284</f>
        <v>0</v>
      </c>
      <c r="H285" s="0" t="n">
        <f aca="false">BE284</f>
        <v>0</v>
      </c>
      <c r="I285" s="0" t="n">
        <f aca="false">BF284</f>
        <v>0</v>
      </c>
      <c r="J285" s="0" t="n">
        <f aca="false">B285*N('Debt Payoff'!D9)/12</f>
        <v>0</v>
      </c>
      <c r="K285" s="0" t="n">
        <f aca="false">C285*N('Debt Payoff'!D10)/12</f>
        <v>0</v>
      </c>
      <c r="L285" s="0" t="n">
        <f aca="false">D285*N('Debt Payoff'!D11)/12</f>
        <v>0</v>
      </c>
      <c r="M285" s="0" t="n">
        <f aca="false">E285*N('Debt Payoff'!D12)/12</f>
        <v>0</v>
      </c>
      <c r="N285" s="0" t="n">
        <f aca="false">F285*N('Debt Payoff'!D13)/12</f>
        <v>0</v>
      </c>
      <c r="O285" s="0" t="n">
        <f aca="false">G285*N('Debt Payoff'!D14)/12</f>
        <v>0</v>
      </c>
      <c r="P285" s="0" t="n">
        <f aca="false">H285*N('Debt Payoff'!D15)/12</f>
        <v>0</v>
      </c>
      <c r="Q285" s="0" t="n">
        <f aca="false">I285*N('Debt Payoff'!D16)/12</f>
        <v>0</v>
      </c>
      <c r="R285" s="0" t="n">
        <f aca="false">B285+J285</f>
        <v>0</v>
      </c>
      <c r="S285" s="0" t="n">
        <f aca="false">C285+K285</f>
        <v>0</v>
      </c>
      <c r="T285" s="0" t="n">
        <f aca="false">D285+L285</f>
        <v>0</v>
      </c>
      <c r="U285" s="0" t="n">
        <f aca="false">E285+M285</f>
        <v>0</v>
      </c>
      <c r="V285" s="0" t="n">
        <f aca="false">F285+N285</f>
        <v>0</v>
      </c>
      <c r="W285" s="0" t="n">
        <f aca="false">G285+O285</f>
        <v>0</v>
      </c>
      <c r="X285" s="0" t="n">
        <f aca="false">H285+P285</f>
        <v>0</v>
      </c>
      <c r="Y285" s="0" t="n">
        <f aca="false">I285+Q285</f>
        <v>0</v>
      </c>
      <c r="Z285" s="0" t="n">
        <f aca="false">MIN(R285,N('Debt Payoff'!E9))</f>
        <v>0</v>
      </c>
      <c r="AA285" s="0" t="n">
        <f aca="false">MIN(S285,N('Debt Payoff'!E10))</f>
        <v>0</v>
      </c>
      <c r="AB285" s="0" t="n">
        <f aca="false">MIN(T285,N('Debt Payoff'!E11))</f>
        <v>0</v>
      </c>
      <c r="AC285" s="0" t="n">
        <f aca="false">MIN(U285,N('Debt Payoff'!E12))</f>
        <v>0</v>
      </c>
      <c r="AD285" s="0" t="n">
        <f aca="false">MIN(V285,N('Debt Payoff'!E13))</f>
        <v>0</v>
      </c>
      <c r="AE285" s="0" t="n">
        <f aca="false">MIN(W285,N('Debt Payoff'!E14))</f>
        <v>0</v>
      </c>
      <c r="AF285" s="0" t="n">
        <f aca="false">MIN(X285,N('Debt Payoff'!E15))</f>
        <v>0</v>
      </c>
      <c r="AG285" s="0" t="n">
        <f aca="false">MIN(Y285,N('Debt Payoff'!E16))</f>
        <v>0</v>
      </c>
      <c r="AH285" s="0" t="n">
        <f aca="false">R285-Z285</f>
        <v>0</v>
      </c>
      <c r="AI285" s="0" t="n">
        <f aca="false">S285-AA285</f>
        <v>0</v>
      </c>
      <c r="AJ285" s="0" t="n">
        <f aca="false">T285-AB285</f>
        <v>0</v>
      </c>
      <c r="AK285" s="0" t="n">
        <f aca="false">U285-AC285</f>
        <v>0</v>
      </c>
      <c r="AL285" s="0" t="n">
        <f aca="false">V285-AD285</f>
        <v>0</v>
      </c>
      <c r="AM285" s="0" t="n">
        <f aca="false">W285-AE285</f>
        <v>0</v>
      </c>
      <c r="AN285" s="0" t="n">
        <f aca="false">X285-AF285</f>
        <v>0</v>
      </c>
      <c r="AO285" s="0" t="n">
        <f aca="false">Y285-AG285</f>
        <v>0</v>
      </c>
      <c r="AP285" s="0" t="n">
        <f aca="false">MAX(0,'Debt Payoff'!$D$17-SUM(Z285:AG285))</f>
        <v>805</v>
      </c>
      <c r="AQ285" s="0" t="n">
        <f aca="false">MIN(AH285,MAX(0,$AP285-SUMPRODUCT(($AH$1:$AO$1&lt;AH$1)*$AH285:$AO285)))</f>
        <v>0</v>
      </c>
      <c r="AR285" s="0" t="n">
        <f aca="false">MIN(AI285,MAX(0,$AP285-SUMPRODUCT(($AH$1:$AO$1&lt;AI$1)*$AH285:$AO285)))</f>
        <v>0</v>
      </c>
      <c r="AS285" s="0" t="n">
        <f aca="false">MIN(AJ285,MAX(0,$AP285-SUMPRODUCT(($AH$1:$AO$1&lt;AJ$1)*$AH285:$AO285)))</f>
        <v>0</v>
      </c>
      <c r="AT285" s="0" t="n">
        <f aca="false">MIN(AK285,MAX(0,$AP285-SUMPRODUCT(($AH$1:$AO$1&lt;AK$1)*$AH285:$AO285)))</f>
        <v>0</v>
      </c>
      <c r="AU285" s="0" t="n">
        <f aca="false">MIN(AL285,MAX(0,$AP285-SUMPRODUCT(($AH$1:$AO$1&lt;AL$1)*$AH285:$AO285)))</f>
        <v>0</v>
      </c>
      <c r="AV285" s="0" t="n">
        <f aca="false">MIN(AM285,MAX(0,$AP285-SUMPRODUCT(($AH$1:$AO$1&lt;AM$1)*$AH285:$AO285)))</f>
        <v>0</v>
      </c>
      <c r="AW285" s="0" t="n">
        <f aca="false">MIN(AN285,MAX(0,$AP285-SUMPRODUCT(($AH$1:$AO$1&lt;AN$1)*$AH285:$AO285)))</f>
        <v>0</v>
      </c>
      <c r="AX285" s="0" t="n">
        <f aca="false">MIN(AO285,MAX(0,$AP285-SUMPRODUCT(($AH$1:$AO$1&lt;AO$1)*$AH285:$AO285)))</f>
        <v>0</v>
      </c>
      <c r="AY285" s="0" t="n">
        <f aca="false">ROUND(AH285-AQ285,2)</f>
        <v>0</v>
      </c>
      <c r="AZ285" s="0" t="n">
        <f aca="false">ROUND(AI285-AR285,2)</f>
        <v>0</v>
      </c>
      <c r="BA285" s="0" t="n">
        <f aca="false">ROUND(AJ285-AS285,2)</f>
        <v>0</v>
      </c>
      <c r="BB285" s="0" t="n">
        <f aca="false">ROUND(AK285-AT285,2)</f>
        <v>0</v>
      </c>
      <c r="BC285" s="0" t="n">
        <f aca="false">ROUND(AL285-AU285,2)</f>
        <v>0</v>
      </c>
      <c r="BD285" s="0" t="n">
        <f aca="false">ROUND(AM285-AV285,2)</f>
        <v>0</v>
      </c>
      <c r="BE285" s="0" t="n">
        <f aca="false">ROUND(AN285-AW285,2)</f>
        <v>0</v>
      </c>
      <c r="BF285" s="0" t="n">
        <f aca="false">ROUND(AO285-AX285,2)</f>
        <v>0</v>
      </c>
      <c r="BG285" s="0" t="n">
        <f aca="false">SUM(AY285:BF285)</f>
        <v>0</v>
      </c>
    </row>
    <row r="286" customFormat="false" ht="15" hidden="false" customHeight="false" outlineLevel="0" collapsed="false">
      <c r="A286" s="0" t="n">
        <v>284</v>
      </c>
      <c r="B286" s="0" t="n">
        <f aca="false">AY285</f>
        <v>0</v>
      </c>
      <c r="C286" s="0" t="n">
        <f aca="false">AZ285</f>
        <v>0</v>
      </c>
      <c r="D286" s="0" t="n">
        <f aca="false">BA285</f>
        <v>0</v>
      </c>
      <c r="E286" s="0" t="n">
        <f aca="false">BB285</f>
        <v>0</v>
      </c>
      <c r="F286" s="0" t="n">
        <f aca="false">BC285</f>
        <v>0</v>
      </c>
      <c r="G286" s="0" t="n">
        <f aca="false">BD285</f>
        <v>0</v>
      </c>
      <c r="H286" s="0" t="n">
        <f aca="false">BE285</f>
        <v>0</v>
      </c>
      <c r="I286" s="0" t="n">
        <f aca="false">BF285</f>
        <v>0</v>
      </c>
      <c r="J286" s="0" t="n">
        <f aca="false">B286*N('Debt Payoff'!D9)/12</f>
        <v>0</v>
      </c>
      <c r="K286" s="0" t="n">
        <f aca="false">C286*N('Debt Payoff'!D10)/12</f>
        <v>0</v>
      </c>
      <c r="L286" s="0" t="n">
        <f aca="false">D286*N('Debt Payoff'!D11)/12</f>
        <v>0</v>
      </c>
      <c r="M286" s="0" t="n">
        <f aca="false">E286*N('Debt Payoff'!D12)/12</f>
        <v>0</v>
      </c>
      <c r="N286" s="0" t="n">
        <f aca="false">F286*N('Debt Payoff'!D13)/12</f>
        <v>0</v>
      </c>
      <c r="O286" s="0" t="n">
        <f aca="false">G286*N('Debt Payoff'!D14)/12</f>
        <v>0</v>
      </c>
      <c r="P286" s="0" t="n">
        <f aca="false">H286*N('Debt Payoff'!D15)/12</f>
        <v>0</v>
      </c>
      <c r="Q286" s="0" t="n">
        <f aca="false">I286*N('Debt Payoff'!D16)/12</f>
        <v>0</v>
      </c>
      <c r="R286" s="0" t="n">
        <f aca="false">B286+J286</f>
        <v>0</v>
      </c>
      <c r="S286" s="0" t="n">
        <f aca="false">C286+K286</f>
        <v>0</v>
      </c>
      <c r="T286" s="0" t="n">
        <f aca="false">D286+L286</f>
        <v>0</v>
      </c>
      <c r="U286" s="0" t="n">
        <f aca="false">E286+M286</f>
        <v>0</v>
      </c>
      <c r="V286" s="0" t="n">
        <f aca="false">F286+N286</f>
        <v>0</v>
      </c>
      <c r="W286" s="0" t="n">
        <f aca="false">G286+O286</f>
        <v>0</v>
      </c>
      <c r="X286" s="0" t="n">
        <f aca="false">H286+P286</f>
        <v>0</v>
      </c>
      <c r="Y286" s="0" t="n">
        <f aca="false">I286+Q286</f>
        <v>0</v>
      </c>
      <c r="Z286" s="0" t="n">
        <f aca="false">MIN(R286,N('Debt Payoff'!E9))</f>
        <v>0</v>
      </c>
      <c r="AA286" s="0" t="n">
        <f aca="false">MIN(S286,N('Debt Payoff'!E10))</f>
        <v>0</v>
      </c>
      <c r="AB286" s="0" t="n">
        <f aca="false">MIN(T286,N('Debt Payoff'!E11))</f>
        <v>0</v>
      </c>
      <c r="AC286" s="0" t="n">
        <f aca="false">MIN(U286,N('Debt Payoff'!E12))</f>
        <v>0</v>
      </c>
      <c r="AD286" s="0" t="n">
        <f aca="false">MIN(V286,N('Debt Payoff'!E13))</f>
        <v>0</v>
      </c>
      <c r="AE286" s="0" t="n">
        <f aca="false">MIN(W286,N('Debt Payoff'!E14))</f>
        <v>0</v>
      </c>
      <c r="AF286" s="0" t="n">
        <f aca="false">MIN(X286,N('Debt Payoff'!E15))</f>
        <v>0</v>
      </c>
      <c r="AG286" s="0" t="n">
        <f aca="false">MIN(Y286,N('Debt Payoff'!E16))</f>
        <v>0</v>
      </c>
      <c r="AH286" s="0" t="n">
        <f aca="false">R286-Z286</f>
        <v>0</v>
      </c>
      <c r="AI286" s="0" t="n">
        <f aca="false">S286-AA286</f>
        <v>0</v>
      </c>
      <c r="AJ286" s="0" t="n">
        <f aca="false">T286-AB286</f>
        <v>0</v>
      </c>
      <c r="AK286" s="0" t="n">
        <f aca="false">U286-AC286</f>
        <v>0</v>
      </c>
      <c r="AL286" s="0" t="n">
        <f aca="false">V286-AD286</f>
        <v>0</v>
      </c>
      <c r="AM286" s="0" t="n">
        <f aca="false">W286-AE286</f>
        <v>0</v>
      </c>
      <c r="AN286" s="0" t="n">
        <f aca="false">X286-AF286</f>
        <v>0</v>
      </c>
      <c r="AO286" s="0" t="n">
        <f aca="false">Y286-AG286</f>
        <v>0</v>
      </c>
      <c r="AP286" s="0" t="n">
        <f aca="false">MAX(0,'Debt Payoff'!$D$17-SUM(Z286:AG286))</f>
        <v>805</v>
      </c>
      <c r="AQ286" s="0" t="n">
        <f aca="false">MIN(AH286,MAX(0,$AP286-SUMPRODUCT(($AH$1:$AO$1&lt;AH$1)*$AH286:$AO286)))</f>
        <v>0</v>
      </c>
      <c r="AR286" s="0" t="n">
        <f aca="false">MIN(AI286,MAX(0,$AP286-SUMPRODUCT(($AH$1:$AO$1&lt;AI$1)*$AH286:$AO286)))</f>
        <v>0</v>
      </c>
      <c r="AS286" s="0" t="n">
        <f aca="false">MIN(AJ286,MAX(0,$AP286-SUMPRODUCT(($AH$1:$AO$1&lt;AJ$1)*$AH286:$AO286)))</f>
        <v>0</v>
      </c>
      <c r="AT286" s="0" t="n">
        <f aca="false">MIN(AK286,MAX(0,$AP286-SUMPRODUCT(($AH$1:$AO$1&lt;AK$1)*$AH286:$AO286)))</f>
        <v>0</v>
      </c>
      <c r="AU286" s="0" t="n">
        <f aca="false">MIN(AL286,MAX(0,$AP286-SUMPRODUCT(($AH$1:$AO$1&lt;AL$1)*$AH286:$AO286)))</f>
        <v>0</v>
      </c>
      <c r="AV286" s="0" t="n">
        <f aca="false">MIN(AM286,MAX(0,$AP286-SUMPRODUCT(($AH$1:$AO$1&lt;AM$1)*$AH286:$AO286)))</f>
        <v>0</v>
      </c>
      <c r="AW286" s="0" t="n">
        <f aca="false">MIN(AN286,MAX(0,$AP286-SUMPRODUCT(($AH$1:$AO$1&lt;AN$1)*$AH286:$AO286)))</f>
        <v>0</v>
      </c>
      <c r="AX286" s="0" t="n">
        <f aca="false">MIN(AO286,MAX(0,$AP286-SUMPRODUCT(($AH$1:$AO$1&lt;AO$1)*$AH286:$AO286)))</f>
        <v>0</v>
      </c>
      <c r="AY286" s="0" t="n">
        <f aca="false">ROUND(AH286-AQ286,2)</f>
        <v>0</v>
      </c>
      <c r="AZ286" s="0" t="n">
        <f aca="false">ROUND(AI286-AR286,2)</f>
        <v>0</v>
      </c>
      <c r="BA286" s="0" t="n">
        <f aca="false">ROUND(AJ286-AS286,2)</f>
        <v>0</v>
      </c>
      <c r="BB286" s="0" t="n">
        <f aca="false">ROUND(AK286-AT286,2)</f>
        <v>0</v>
      </c>
      <c r="BC286" s="0" t="n">
        <f aca="false">ROUND(AL286-AU286,2)</f>
        <v>0</v>
      </c>
      <c r="BD286" s="0" t="n">
        <f aca="false">ROUND(AM286-AV286,2)</f>
        <v>0</v>
      </c>
      <c r="BE286" s="0" t="n">
        <f aca="false">ROUND(AN286-AW286,2)</f>
        <v>0</v>
      </c>
      <c r="BF286" s="0" t="n">
        <f aca="false">ROUND(AO286-AX286,2)</f>
        <v>0</v>
      </c>
      <c r="BG286" s="0" t="n">
        <f aca="false">SUM(AY286:BF286)</f>
        <v>0</v>
      </c>
    </row>
    <row r="287" customFormat="false" ht="15" hidden="false" customHeight="false" outlineLevel="0" collapsed="false">
      <c r="A287" s="0" t="n">
        <v>285</v>
      </c>
      <c r="B287" s="0" t="n">
        <f aca="false">AY286</f>
        <v>0</v>
      </c>
      <c r="C287" s="0" t="n">
        <f aca="false">AZ286</f>
        <v>0</v>
      </c>
      <c r="D287" s="0" t="n">
        <f aca="false">BA286</f>
        <v>0</v>
      </c>
      <c r="E287" s="0" t="n">
        <f aca="false">BB286</f>
        <v>0</v>
      </c>
      <c r="F287" s="0" t="n">
        <f aca="false">BC286</f>
        <v>0</v>
      </c>
      <c r="G287" s="0" t="n">
        <f aca="false">BD286</f>
        <v>0</v>
      </c>
      <c r="H287" s="0" t="n">
        <f aca="false">BE286</f>
        <v>0</v>
      </c>
      <c r="I287" s="0" t="n">
        <f aca="false">BF286</f>
        <v>0</v>
      </c>
      <c r="J287" s="0" t="n">
        <f aca="false">B287*N('Debt Payoff'!D9)/12</f>
        <v>0</v>
      </c>
      <c r="K287" s="0" t="n">
        <f aca="false">C287*N('Debt Payoff'!D10)/12</f>
        <v>0</v>
      </c>
      <c r="L287" s="0" t="n">
        <f aca="false">D287*N('Debt Payoff'!D11)/12</f>
        <v>0</v>
      </c>
      <c r="M287" s="0" t="n">
        <f aca="false">E287*N('Debt Payoff'!D12)/12</f>
        <v>0</v>
      </c>
      <c r="N287" s="0" t="n">
        <f aca="false">F287*N('Debt Payoff'!D13)/12</f>
        <v>0</v>
      </c>
      <c r="O287" s="0" t="n">
        <f aca="false">G287*N('Debt Payoff'!D14)/12</f>
        <v>0</v>
      </c>
      <c r="P287" s="0" t="n">
        <f aca="false">H287*N('Debt Payoff'!D15)/12</f>
        <v>0</v>
      </c>
      <c r="Q287" s="0" t="n">
        <f aca="false">I287*N('Debt Payoff'!D16)/12</f>
        <v>0</v>
      </c>
      <c r="R287" s="0" t="n">
        <f aca="false">B287+J287</f>
        <v>0</v>
      </c>
      <c r="S287" s="0" t="n">
        <f aca="false">C287+K287</f>
        <v>0</v>
      </c>
      <c r="T287" s="0" t="n">
        <f aca="false">D287+L287</f>
        <v>0</v>
      </c>
      <c r="U287" s="0" t="n">
        <f aca="false">E287+M287</f>
        <v>0</v>
      </c>
      <c r="V287" s="0" t="n">
        <f aca="false">F287+N287</f>
        <v>0</v>
      </c>
      <c r="W287" s="0" t="n">
        <f aca="false">G287+O287</f>
        <v>0</v>
      </c>
      <c r="X287" s="0" t="n">
        <f aca="false">H287+P287</f>
        <v>0</v>
      </c>
      <c r="Y287" s="0" t="n">
        <f aca="false">I287+Q287</f>
        <v>0</v>
      </c>
      <c r="Z287" s="0" t="n">
        <f aca="false">MIN(R287,N('Debt Payoff'!E9))</f>
        <v>0</v>
      </c>
      <c r="AA287" s="0" t="n">
        <f aca="false">MIN(S287,N('Debt Payoff'!E10))</f>
        <v>0</v>
      </c>
      <c r="AB287" s="0" t="n">
        <f aca="false">MIN(T287,N('Debt Payoff'!E11))</f>
        <v>0</v>
      </c>
      <c r="AC287" s="0" t="n">
        <f aca="false">MIN(U287,N('Debt Payoff'!E12))</f>
        <v>0</v>
      </c>
      <c r="AD287" s="0" t="n">
        <f aca="false">MIN(V287,N('Debt Payoff'!E13))</f>
        <v>0</v>
      </c>
      <c r="AE287" s="0" t="n">
        <f aca="false">MIN(W287,N('Debt Payoff'!E14))</f>
        <v>0</v>
      </c>
      <c r="AF287" s="0" t="n">
        <f aca="false">MIN(X287,N('Debt Payoff'!E15))</f>
        <v>0</v>
      </c>
      <c r="AG287" s="0" t="n">
        <f aca="false">MIN(Y287,N('Debt Payoff'!E16))</f>
        <v>0</v>
      </c>
      <c r="AH287" s="0" t="n">
        <f aca="false">R287-Z287</f>
        <v>0</v>
      </c>
      <c r="AI287" s="0" t="n">
        <f aca="false">S287-AA287</f>
        <v>0</v>
      </c>
      <c r="AJ287" s="0" t="n">
        <f aca="false">T287-AB287</f>
        <v>0</v>
      </c>
      <c r="AK287" s="0" t="n">
        <f aca="false">U287-AC287</f>
        <v>0</v>
      </c>
      <c r="AL287" s="0" t="n">
        <f aca="false">V287-AD287</f>
        <v>0</v>
      </c>
      <c r="AM287" s="0" t="n">
        <f aca="false">W287-AE287</f>
        <v>0</v>
      </c>
      <c r="AN287" s="0" t="n">
        <f aca="false">X287-AF287</f>
        <v>0</v>
      </c>
      <c r="AO287" s="0" t="n">
        <f aca="false">Y287-AG287</f>
        <v>0</v>
      </c>
      <c r="AP287" s="0" t="n">
        <f aca="false">MAX(0,'Debt Payoff'!$D$17-SUM(Z287:AG287))</f>
        <v>805</v>
      </c>
      <c r="AQ287" s="0" t="n">
        <f aca="false">MIN(AH287,MAX(0,$AP287-SUMPRODUCT(($AH$1:$AO$1&lt;AH$1)*$AH287:$AO287)))</f>
        <v>0</v>
      </c>
      <c r="AR287" s="0" t="n">
        <f aca="false">MIN(AI287,MAX(0,$AP287-SUMPRODUCT(($AH$1:$AO$1&lt;AI$1)*$AH287:$AO287)))</f>
        <v>0</v>
      </c>
      <c r="AS287" s="0" t="n">
        <f aca="false">MIN(AJ287,MAX(0,$AP287-SUMPRODUCT(($AH$1:$AO$1&lt;AJ$1)*$AH287:$AO287)))</f>
        <v>0</v>
      </c>
      <c r="AT287" s="0" t="n">
        <f aca="false">MIN(AK287,MAX(0,$AP287-SUMPRODUCT(($AH$1:$AO$1&lt;AK$1)*$AH287:$AO287)))</f>
        <v>0</v>
      </c>
      <c r="AU287" s="0" t="n">
        <f aca="false">MIN(AL287,MAX(0,$AP287-SUMPRODUCT(($AH$1:$AO$1&lt;AL$1)*$AH287:$AO287)))</f>
        <v>0</v>
      </c>
      <c r="AV287" s="0" t="n">
        <f aca="false">MIN(AM287,MAX(0,$AP287-SUMPRODUCT(($AH$1:$AO$1&lt;AM$1)*$AH287:$AO287)))</f>
        <v>0</v>
      </c>
      <c r="AW287" s="0" t="n">
        <f aca="false">MIN(AN287,MAX(0,$AP287-SUMPRODUCT(($AH$1:$AO$1&lt;AN$1)*$AH287:$AO287)))</f>
        <v>0</v>
      </c>
      <c r="AX287" s="0" t="n">
        <f aca="false">MIN(AO287,MAX(0,$AP287-SUMPRODUCT(($AH$1:$AO$1&lt;AO$1)*$AH287:$AO287)))</f>
        <v>0</v>
      </c>
      <c r="AY287" s="0" t="n">
        <f aca="false">ROUND(AH287-AQ287,2)</f>
        <v>0</v>
      </c>
      <c r="AZ287" s="0" t="n">
        <f aca="false">ROUND(AI287-AR287,2)</f>
        <v>0</v>
      </c>
      <c r="BA287" s="0" t="n">
        <f aca="false">ROUND(AJ287-AS287,2)</f>
        <v>0</v>
      </c>
      <c r="BB287" s="0" t="n">
        <f aca="false">ROUND(AK287-AT287,2)</f>
        <v>0</v>
      </c>
      <c r="BC287" s="0" t="n">
        <f aca="false">ROUND(AL287-AU287,2)</f>
        <v>0</v>
      </c>
      <c r="BD287" s="0" t="n">
        <f aca="false">ROUND(AM287-AV287,2)</f>
        <v>0</v>
      </c>
      <c r="BE287" s="0" t="n">
        <f aca="false">ROUND(AN287-AW287,2)</f>
        <v>0</v>
      </c>
      <c r="BF287" s="0" t="n">
        <f aca="false">ROUND(AO287-AX287,2)</f>
        <v>0</v>
      </c>
      <c r="BG287" s="0" t="n">
        <f aca="false">SUM(AY287:BF287)</f>
        <v>0</v>
      </c>
    </row>
    <row r="288" customFormat="false" ht="15" hidden="false" customHeight="false" outlineLevel="0" collapsed="false">
      <c r="A288" s="0" t="n">
        <v>286</v>
      </c>
      <c r="B288" s="0" t="n">
        <f aca="false">AY287</f>
        <v>0</v>
      </c>
      <c r="C288" s="0" t="n">
        <f aca="false">AZ287</f>
        <v>0</v>
      </c>
      <c r="D288" s="0" t="n">
        <f aca="false">BA287</f>
        <v>0</v>
      </c>
      <c r="E288" s="0" t="n">
        <f aca="false">BB287</f>
        <v>0</v>
      </c>
      <c r="F288" s="0" t="n">
        <f aca="false">BC287</f>
        <v>0</v>
      </c>
      <c r="G288" s="0" t="n">
        <f aca="false">BD287</f>
        <v>0</v>
      </c>
      <c r="H288" s="0" t="n">
        <f aca="false">BE287</f>
        <v>0</v>
      </c>
      <c r="I288" s="0" t="n">
        <f aca="false">BF287</f>
        <v>0</v>
      </c>
      <c r="J288" s="0" t="n">
        <f aca="false">B288*N('Debt Payoff'!D9)/12</f>
        <v>0</v>
      </c>
      <c r="K288" s="0" t="n">
        <f aca="false">C288*N('Debt Payoff'!D10)/12</f>
        <v>0</v>
      </c>
      <c r="L288" s="0" t="n">
        <f aca="false">D288*N('Debt Payoff'!D11)/12</f>
        <v>0</v>
      </c>
      <c r="M288" s="0" t="n">
        <f aca="false">E288*N('Debt Payoff'!D12)/12</f>
        <v>0</v>
      </c>
      <c r="N288" s="0" t="n">
        <f aca="false">F288*N('Debt Payoff'!D13)/12</f>
        <v>0</v>
      </c>
      <c r="O288" s="0" t="n">
        <f aca="false">G288*N('Debt Payoff'!D14)/12</f>
        <v>0</v>
      </c>
      <c r="P288" s="0" t="n">
        <f aca="false">H288*N('Debt Payoff'!D15)/12</f>
        <v>0</v>
      </c>
      <c r="Q288" s="0" t="n">
        <f aca="false">I288*N('Debt Payoff'!D16)/12</f>
        <v>0</v>
      </c>
      <c r="R288" s="0" t="n">
        <f aca="false">B288+J288</f>
        <v>0</v>
      </c>
      <c r="S288" s="0" t="n">
        <f aca="false">C288+K288</f>
        <v>0</v>
      </c>
      <c r="T288" s="0" t="n">
        <f aca="false">D288+L288</f>
        <v>0</v>
      </c>
      <c r="U288" s="0" t="n">
        <f aca="false">E288+M288</f>
        <v>0</v>
      </c>
      <c r="V288" s="0" t="n">
        <f aca="false">F288+N288</f>
        <v>0</v>
      </c>
      <c r="W288" s="0" t="n">
        <f aca="false">G288+O288</f>
        <v>0</v>
      </c>
      <c r="X288" s="0" t="n">
        <f aca="false">H288+P288</f>
        <v>0</v>
      </c>
      <c r="Y288" s="0" t="n">
        <f aca="false">I288+Q288</f>
        <v>0</v>
      </c>
      <c r="Z288" s="0" t="n">
        <f aca="false">MIN(R288,N('Debt Payoff'!E9))</f>
        <v>0</v>
      </c>
      <c r="AA288" s="0" t="n">
        <f aca="false">MIN(S288,N('Debt Payoff'!E10))</f>
        <v>0</v>
      </c>
      <c r="AB288" s="0" t="n">
        <f aca="false">MIN(T288,N('Debt Payoff'!E11))</f>
        <v>0</v>
      </c>
      <c r="AC288" s="0" t="n">
        <f aca="false">MIN(U288,N('Debt Payoff'!E12))</f>
        <v>0</v>
      </c>
      <c r="AD288" s="0" t="n">
        <f aca="false">MIN(V288,N('Debt Payoff'!E13))</f>
        <v>0</v>
      </c>
      <c r="AE288" s="0" t="n">
        <f aca="false">MIN(W288,N('Debt Payoff'!E14))</f>
        <v>0</v>
      </c>
      <c r="AF288" s="0" t="n">
        <f aca="false">MIN(X288,N('Debt Payoff'!E15))</f>
        <v>0</v>
      </c>
      <c r="AG288" s="0" t="n">
        <f aca="false">MIN(Y288,N('Debt Payoff'!E16))</f>
        <v>0</v>
      </c>
      <c r="AH288" s="0" t="n">
        <f aca="false">R288-Z288</f>
        <v>0</v>
      </c>
      <c r="AI288" s="0" t="n">
        <f aca="false">S288-AA288</f>
        <v>0</v>
      </c>
      <c r="AJ288" s="0" t="n">
        <f aca="false">T288-AB288</f>
        <v>0</v>
      </c>
      <c r="AK288" s="0" t="n">
        <f aca="false">U288-AC288</f>
        <v>0</v>
      </c>
      <c r="AL288" s="0" t="n">
        <f aca="false">V288-AD288</f>
        <v>0</v>
      </c>
      <c r="AM288" s="0" t="n">
        <f aca="false">W288-AE288</f>
        <v>0</v>
      </c>
      <c r="AN288" s="0" t="n">
        <f aca="false">X288-AF288</f>
        <v>0</v>
      </c>
      <c r="AO288" s="0" t="n">
        <f aca="false">Y288-AG288</f>
        <v>0</v>
      </c>
      <c r="AP288" s="0" t="n">
        <f aca="false">MAX(0,'Debt Payoff'!$D$17-SUM(Z288:AG288))</f>
        <v>805</v>
      </c>
      <c r="AQ288" s="0" t="n">
        <f aca="false">MIN(AH288,MAX(0,$AP288-SUMPRODUCT(($AH$1:$AO$1&lt;AH$1)*$AH288:$AO288)))</f>
        <v>0</v>
      </c>
      <c r="AR288" s="0" t="n">
        <f aca="false">MIN(AI288,MAX(0,$AP288-SUMPRODUCT(($AH$1:$AO$1&lt;AI$1)*$AH288:$AO288)))</f>
        <v>0</v>
      </c>
      <c r="AS288" s="0" t="n">
        <f aca="false">MIN(AJ288,MAX(0,$AP288-SUMPRODUCT(($AH$1:$AO$1&lt;AJ$1)*$AH288:$AO288)))</f>
        <v>0</v>
      </c>
      <c r="AT288" s="0" t="n">
        <f aca="false">MIN(AK288,MAX(0,$AP288-SUMPRODUCT(($AH$1:$AO$1&lt;AK$1)*$AH288:$AO288)))</f>
        <v>0</v>
      </c>
      <c r="AU288" s="0" t="n">
        <f aca="false">MIN(AL288,MAX(0,$AP288-SUMPRODUCT(($AH$1:$AO$1&lt;AL$1)*$AH288:$AO288)))</f>
        <v>0</v>
      </c>
      <c r="AV288" s="0" t="n">
        <f aca="false">MIN(AM288,MAX(0,$AP288-SUMPRODUCT(($AH$1:$AO$1&lt;AM$1)*$AH288:$AO288)))</f>
        <v>0</v>
      </c>
      <c r="AW288" s="0" t="n">
        <f aca="false">MIN(AN288,MAX(0,$AP288-SUMPRODUCT(($AH$1:$AO$1&lt;AN$1)*$AH288:$AO288)))</f>
        <v>0</v>
      </c>
      <c r="AX288" s="0" t="n">
        <f aca="false">MIN(AO288,MAX(0,$AP288-SUMPRODUCT(($AH$1:$AO$1&lt;AO$1)*$AH288:$AO288)))</f>
        <v>0</v>
      </c>
      <c r="AY288" s="0" t="n">
        <f aca="false">ROUND(AH288-AQ288,2)</f>
        <v>0</v>
      </c>
      <c r="AZ288" s="0" t="n">
        <f aca="false">ROUND(AI288-AR288,2)</f>
        <v>0</v>
      </c>
      <c r="BA288" s="0" t="n">
        <f aca="false">ROUND(AJ288-AS288,2)</f>
        <v>0</v>
      </c>
      <c r="BB288" s="0" t="n">
        <f aca="false">ROUND(AK288-AT288,2)</f>
        <v>0</v>
      </c>
      <c r="BC288" s="0" t="n">
        <f aca="false">ROUND(AL288-AU288,2)</f>
        <v>0</v>
      </c>
      <c r="BD288" s="0" t="n">
        <f aca="false">ROUND(AM288-AV288,2)</f>
        <v>0</v>
      </c>
      <c r="BE288" s="0" t="n">
        <f aca="false">ROUND(AN288-AW288,2)</f>
        <v>0</v>
      </c>
      <c r="BF288" s="0" t="n">
        <f aca="false">ROUND(AO288-AX288,2)</f>
        <v>0</v>
      </c>
      <c r="BG288" s="0" t="n">
        <f aca="false">SUM(AY288:BF288)</f>
        <v>0</v>
      </c>
    </row>
    <row r="289" customFormat="false" ht="15" hidden="false" customHeight="false" outlineLevel="0" collapsed="false">
      <c r="A289" s="0" t="n">
        <v>287</v>
      </c>
      <c r="B289" s="0" t="n">
        <f aca="false">AY288</f>
        <v>0</v>
      </c>
      <c r="C289" s="0" t="n">
        <f aca="false">AZ288</f>
        <v>0</v>
      </c>
      <c r="D289" s="0" t="n">
        <f aca="false">BA288</f>
        <v>0</v>
      </c>
      <c r="E289" s="0" t="n">
        <f aca="false">BB288</f>
        <v>0</v>
      </c>
      <c r="F289" s="0" t="n">
        <f aca="false">BC288</f>
        <v>0</v>
      </c>
      <c r="G289" s="0" t="n">
        <f aca="false">BD288</f>
        <v>0</v>
      </c>
      <c r="H289" s="0" t="n">
        <f aca="false">BE288</f>
        <v>0</v>
      </c>
      <c r="I289" s="0" t="n">
        <f aca="false">BF288</f>
        <v>0</v>
      </c>
      <c r="J289" s="0" t="n">
        <f aca="false">B289*N('Debt Payoff'!D9)/12</f>
        <v>0</v>
      </c>
      <c r="K289" s="0" t="n">
        <f aca="false">C289*N('Debt Payoff'!D10)/12</f>
        <v>0</v>
      </c>
      <c r="L289" s="0" t="n">
        <f aca="false">D289*N('Debt Payoff'!D11)/12</f>
        <v>0</v>
      </c>
      <c r="M289" s="0" t="n">
        <f aca="false">E289*N('Debt Payoff'!D12)/12</f>
        <v>0</v>
      </c>
      <c r="N289" s="0" t="n">
        <f aca="false">F289*N('Debt Payoff'!D13)/12</f>
        <v>0</v>
      </c>
      <c r="O289" s="0" t="n">
        <f aca="false">G289*N('Debt Payoff'!D14)/12</f>
        <v>0</v>
      </c>
      <c r="P289" s="0" t="n">
        <f aca="false">H289*N('Debt Payoff'!D15)/12</f>
        <v>0</v>
      </c>
      <c r="Q289" s="0" t="n">
        <f aca="false">I289*N('Debt Payoff'!D16)/12</f>
        <v>0</v>
      </c>
      <c r="R289" s="0" t="n">
        <f aca="false">B289+J289</f>
        <v>0</v>
      </c>
      <c r="S289" s="0" t="n">
        <f aca="false">C289+K289</f>
        <v>0</v>
      </c>
      <c r="T289" s="0" t="n">
        <f aca="false">D289+L289</f>
        <v>0</v>
      </c>
      <c r="U289" s="0" t="n">
        <f aca="false">E289+M289</f>
        <v>0</v>
      </c>
      <c r="V289" s="0" t="n">
        <f aca="false">F289+N289</f>
        <v>0</v>
      </c>
      <c r="W289" s="0" t="n">
        <f aca="false">G289+O289</f>
        <v>0</v>
      </c>
      <c r="X289" s="0" t="n">
        <f aca="false">H289+P289</f>
        <v>0</v>
      </c>
      <c r="Y289" s="0" t="n">
        <f aca="false">I289+Q289</f>
        <v>0</v>
      </c>
      <c r="Z289" s="0" t="n">
        <f aca="false">MIN(R289,N('Debt Payoff'!E9))</f>
        <v>0</v>
      </c>
      <c r="AA289" s="0" t="n">
        <f aca="false">MIN(S289,N('Debt Payoff'!E10))</f>
        <v>0</v>
      </c>
      <c r="AB289" s="0" t="n">
        <f aca="false">MIN(T289,N('Debt Payoff'!E11))</f>
        <v>0</v>
      </c>
      <c r="AC289" s="0" t="n">
        <f aca="false">MIN(U289,N('Debt Payoff'!E12))</f>
        <v>0</v>
      </c>
      <c r="AD289" s="0" t="n">
        <f aca="false">MIN(V289,N('Debt Payoff'!E13))</f>
        <v>0</v>
      </c>
      <c r="AE289" s="0" t="n">
        <f aca="false">MIN(W289,N('Debt Payoff'!E14))</f>
        <v>0</v>
      </c>
      <c r="AF289" s="0" t="n">
        <f aca="false">MIN(X289,N('Debt Payoff'!E15))</f>
        <v>0</v>
      </c>
      <c r="AG289" s="0" t="n">
        <f aca="false">MIN(Y289,N('Debt Payoff'!E16))</f>
        <v>0</v>
      </c>
      <c r="AH289" s="0" t="n">
        <f aca="false">R289-Z289</f>
        <v>0</v>
      </c>
      <c r="AI289" s="0" t="n">
        <f aca="false">S289-AA289</f>
        <v>0</v>
      </c>
      <c r="AJ289" s="0" t="n">
        <f aca="false">T289-AB289</f>
        <v>0</v>
      </c>
      <c r="AK289" s="0" t="n">
        <f aca="false">U289-AC289</f>
        <v>0</v>
      </c>
      <c r="AL289" s="0" t="n">
        <f aca="false">V289-AD289</f>
        <v>0</v>
      </c>
      <c r="AM289" s="0" t="n">
        <f aca="false">W289-AE289</f>
        <v>0</v>
      </c>
      <c r="AN289" s="0" t="n">
        <f aca="false">X289-AF289</f>
        <v>0</v>
      </c>
      <c r="AO289" s="0" t="n">
        <f aca="false">Y289-AG289</f>
        <v>0</v>
      </c>
      <c r="AP289" s="0" t="n">
        <f aca="false">MAX(0,'Debt Payoff'!$D$17-SUM(Z289:AG289))</f>
        <v>805</v>
      </c>
      <c r="AQ289" s="0" t="n">
        <f aca="false">MIN(AH289,MAX(0,$AP289-SUMPRODUCT(($AH$1:$AO$1&lt;AH$1)*$AH289:$AO289)))</f>
        <v>0</v>
      </c>
      <c r="AR289" s="0" t="n">
        <f aca="false">MIN(AI289,MAX(0,$AP289-SUMPRODUCT(($AH$1:$AO$1&lt;AI$1)*$AH289:$AO289)))</f>
        <v>0</v>
      </c>
      <c r="AS289" s="0" t="n">
        <f aca="false">MIN(AJ289,MAX(0,$AP289-SUMPRODUCT(($AH$1:$AO$1&lt;AJ$1)*$AH289:$AO289)))</f>
        <v>0</v>
      </c>
      <c r="AT289" s="0" t="n">
        <f aca="false">MIN(AK289,MAX(0,$AP289-SUMPRODUCT(($AH$1:$AO$1&lt;AK$1)*$AH289:$AO289)))</f>
        <v>0</v>
      </c>
      <c r="AU289" s="0" t="n">
        <f aca="false">MIN(AL289,MAX(0,$AP289-SUMPRODUCT(($AH$1:$AO$1&lt;AL$1)*$AH289:$AO289)))</f>
        <v>0</v>
      </c>
      <c r="AV289" s="0" t="n">
        <f aca="false">MIN(AM289,MAX(0,$AP289-SUMPRODUCT(($AH$1:$AO$1&lt;AM$1)*$AH289:$AO289)))</f>
        <v>0</v>
      </c>
      <c r="AW289" s="0" t="n">
        <f aca="false">MIN(AN289,MAX(0,$AP289-SUMPRODUCT(($AH$1:$AO$1&lt;AN$1)*$AH289:$AO289)))</f>
        <v>0</v>
      </c>
      <c r="AX289" s="0" t="n">
        <f aca="false">MIN(AO289,MAX(0,$AP289-SUMPRODUCT(($AH$1:$AO$1&lt;AO$1)*$AH289:$AO289)))</f>
        <v>0</v>
      </c>
      <c r="AY289" s="0" t="n">
        <f aca="false">ROUND(AH289-AQ289,2)</f>
        <v>0</v>
      </c>
      <c r="AZ289" s="0" t="n">
        <f aca="false">ROUND(AI289-AR289,2)</f>
        <v>0</v>
      </c>
      <c r="BA289" s="0" t="n">
        <f aca="false">ROUND(AJ289-AS289,2)</f>
        <v>0</v>
      </c>
      <c r="BB289" s="0" t="n">
        <f aca="false">ROUND(AK289-AT289,2)</f>
        <v>0</v>
      </c>
      <c r="BC289" s="0" t="n">
        <f aca="false">ROUND(AL289-AU289,2)</f>
        <v>0</v>
      </c>
      <c r="BD289" s="0" t="n">
        <f aca="false">ROUND(AM289-AV289,2)</f>
        <v>0</v>
      </c>
      <c r="BE289" s="0" t="n">
        <f aca="false">ROUND(AN289-AW289,2)</f>
        <v>0</v>
      </c>
      <c r="BF289" s="0" t="n">
        <f aca="false">ROUND(AO289-AX289,2)</f>
        <v>0</v>
      </c>
      <c r="BG289" s="0" t="n">
        <f aca="false">SUM(AY289:BF289)</f>
        <v>0</v>
      </c>
    </row>
    <row r="290" customFormat="false" ht="15" hidden="false" customHeight="false" outlineLevel="0" collapsed="false">
      <c r="A290" s="0" t="n">
        <v>288</v>
      </c>
      <c r="B290" s="0" t="n">
        <f aca="false">AY289</f>
        <v>0</v>
      </c>
      <c r="C290" s="0" t="n">
        <f aca="false">AZ289</f>
        <v>0</v>
      </c>
      <c r="D290" s="0" t="n">
        <f aca="false">BA289</f>
        <v>0</v>
      </c>
      <c r="E290" s="0" t="n">
        <f aca="false">BB289</f>
        <v>0</v>
      </c>
      <c r="F290" s="0" t="n">
        <f aca="false">BC289</f>
        <v>0</v>
      </c>
      <c r="G290" s="0" t="n">
        <f aca="false">BD289</f>
        <v>0</v>
      </c>
      <c r="H290" s="0" t="n">
        <f aca="false">BE289</f>
        <v>0</v>
      </c>
      <c r="I290" s="0" t="n">
        <f aca="false">BF289</f>
        <v>0</v>
      </c>
      <c r="J290" s="0" t="n">
        <f aca="false">B290*N('Debt Payoff'!D9)/12</f>
        <v>0</v>
      </c>
      <c r="K290" s="0" t="n">
        <f aca="false">C290*N('Debt Payoff'!D10)/12</f>
        <v>0</v>
      </c>
      <c r="L290" s="0" t="n">
        <f aca="false">D290*N('Debt Payoff'!D11)/12</f>
        <v>0</v>
      </c>
      <c r="M290" s="0" t="n">
        <f aca="false">E290*N('Debt Payoff'!D12)/12</f>
        <v>0</v>
      </c>
      <c r="N290" s="0" t="n">
        <f aca="false">F290*N('Debt Payoff'!D13)/12</f>
        <v>0</v>
      </c>
      <c r="O290" s="0" t="n">
        <f aca="false">G290*N('Debt Payoff'!D14)/12</f>
        <v>0</v>
      </c>
      <c r="P290" s="0" t="n">
        <f aca="false">H290*N('Debt Payoff'!D15)/12</f>
        <v>0</v>
      </c>
      <c r="Q290" s="0" t="n">
        <f aca="false">I290*N('Debt Payoff'!D16)/12</f>
        <v>0</v>
      </c>
      <c r="R290" s="0" t="n">
        <f aca="false">B290+J290</f>
        <v>0</v>
      </c>
      <c r="S290" s="0" t="n">
        <f aca="false">C290+K290</f>
        <v>0</v>
      </c>
      <c r="T290" s="0" t="n">
        <f aca="false">D290+L290</f>
        <v>0</v>
      </c>
      <c r="U290" s="0" t="n">
        <f aca="false">E290+M290</f>
        <v>0</v>
      </c>
      <c r="V290" s="0" t="n">
        <f aca="false">F290+N290</f>
        <v>0</v>
      </c>
      <c r="W290" s="0" t="n">
        <f aca="false">G290+O290</f>
        <v>0</v>
      </c>
      <c r="X290" s="0" t="n">
        <f aca="false">H290+P290</f>
        <v>0</v>
      </c>
      <c r="Y290" s="0" t="n">
        <f aca="false">I290+Q290</f>
        <v>0</v>
      </c>
      <c r="Z290" s="0" t="n">
        <f aca="false">MIN(R290,N('Debt Payoff'!E9))</f>
        <v>0</v>
      </c>
      <c r="AA290" s="0" t="n">
        <f aca="false">MIN(S290,N('Debt Payoff'!E10))</f>
        <v>0</v>
      </c>
      <c r="AB290" s="0" t="n">
        <f aca="false">MIN(T290,N('Debt Payoff'!E11))</f>
        <v>0</v>
      </c>
      <c r="AC290" s="0" t="n">
        <f aca="false">MIN(U290,N('Debt Payoff'!E12))</f>
        <v>0</v>
      </c>
      <c r="AD290" s="0" t="n">
        <f aca="false">MIN(V290,N('Debt Payoff'!E13))</f>
        <v>0</v>
      </c>
      <c r="AE290" s="0" t="n">
        <f aca="false">MIN(W290,N('Debt Payoff'!E14))</f>
        <v>0</v>
      </c>
      <c r="AF290" s="0" t="n">
        <f aca="false">MIN(X290,N('Debt Payoff'!E15))</f>
        <v>0</v>
      </c>
      <c r="AG290" s="0" t="n">
        <f aca="false">MIN(Y290,N('Debt Payoff'!E16))</f>
        <v>0</v>
      </c>
      <c r="AH290" s="0" t="n">
        <f aca="false">R290-Z290</f>
        <v>0</v>
      </c>
      <c r="AI290" s="0" t="n">
        <f aca="false">S290-AA290</f>
        <v>0</v>
      </c>
      <c r="AJ290" s="0" t="n">
        <f aca="false">T290-AB290</f>
        <v>0</v>
      </c>
      <c r="AK290" s="0" t="n">
        <f aca="false">U290-AC290</f>
        <v>0</v>
      </c>
      <c r="AL290" s="0" t="n">
        <f aca="false">V290-AD290</f>
        <v>0</v>
      </c>
      <c r="AM290" s="0" t="n">
        <f aca="false">W290-AE290</f>
        <v>0</v>
      </c>
      <c r="AN290" s="0" t="n">
        <f aca="false">X290-AF290</f>
        <v>0</v>
      </c>
      <c r="AO290" s="0" t="n">
        <f aca="false">Y290-AG290</f>
        <v>0</v>
      </c>
      <c r="AP290" s="0" t="n">
        <f aca="false">MAX(0,'Debt Payoff'!$D$17-SUM(Z290:AG290))</f>
        <v>805</v>
      </c>
      <c r="AQ290" s="0" t="n">
        <f aca="false">MIN(AH290,MAX(0,$AP290-SUMPRODUCT(($AH$1:$AO$1&lt;AH$1)*$AH290:$AO290)))</f>
        <v>0</v>
      </c>
      <c r="AR290" s="0" t="n">
        <f aca="false">MIN(AI290,MAX(0,$AP290-SUMPRODUCT(($AH$1:$AO$1&lt;AI$1)*$AH290:$AO290)))</f>
        <v>0</v>
      </c>
      <c r="AS290" s="0" t="n">
        <f aca="false">MIN(AJ290,MAX(0,$AP290-SUMPRODUCT(($AH$1:$AO$1&lt;AJ$1)*$AH290:$AO290)))</f>
        <v>0</v>
      </c>
      <c r="AT290" s="0" t="n">
        <f aca="false">MIN(AK290,MAX(0,$AP290-SUMPRODUCT(($AH$1:$AO$1&lt;AK$1)*$AH290:$AO290)))</f>
        <v>0</v>
      </c>
      <c r="AU290" s="0" t="n">
        <f aca="false">MIN(AL290,MAX(0,$AP290-SUMPRODUCT(($AH$1:$AO$1&lt;AL$1)*$AH290:$AO290)))</f>
        <v>0</v>
      </c>
      <c r="AV290" s="0" t="n">
        <f aca="false">MIN(AM290,MAX(0,$AP290-SUMPRODUCT(($AH$1:$AO$1&lt;AM$1)*$AH290:$AO290)))</f>
        <v>0</v>
      </c>
      <c r="AW290" s="0" t="n">
        <f aca="false">MIN(AN290,MAX(0,$AP290-SUMPRODUCT(($AH$1:$AO$1&lt;AN$1)*$AH290:$AO290)))</f>
        <v>0</v>
      </c>
      <c r="AX290" s="0" t="n">
        <f aca="false">MIN(AO290,MAX(0,$AP290-SUMPRODUCT(($AH$1:$AO$1&lt;AO$1)*$AH290:$AO290)))</f>
        <v>0</v>
      </c>
      <c r="AY290" s="0" t="n">
        <f aca="false">ROUND(AH290-AQ290,2)</f>
        <v>0</v>
      </c>
      <c r="AZ290" s="0" t="n">
        <f aca="false">ROUND(AI290-AR290,2)</f>
        <v>0</v>
      </c>
      <c r="BA290" s="0" t="n">
        <f aca="false">ROUND(AJ290-AS290,2)</f>
        <v>0</v>
      </c>
      <c r="BB290" s="0" t="n">
        <f aca="false">ROUND(AK290-AT290,2)</f>
        <v>0</v>
      </c>
      <c r="BC290" s="0" t="n">
        <f aca="false">ROUND(AL290-AU290,2)</f>
        <v>0</v>
      </c>
      <c r="BD290" s="0" t="n">
        <f aca="false">ROUND(AM290-AV290,2)</f>
        <v>0</v>
      </c>
      <c r="BE290" s="0" t="n">
        <f aca="false">ROUND(AN290-AW290,2)</f>
        <v>0</v>
      </c>
      <c r="BF290" s="0" t="n">
        <f aca="false">ROUND(AO290-AX290,2)</f>
        <v>0</v>
      </c>
      <c r="BG290" s="0" t="n">
        <f aca="false">SUM(AY290:BF290)</f>
        <v>0</v>
      </c>
    </row>
    <row r="291" customFormat="false" ht="15" hidden="false" customHeight="false" outlineLevel="0" collapsed="false">
      <c r="A291" s="0" t="n">
        <v>289</v>
      </c>
      <c r="B291" s="0" t="n">
        <f aca="false">AY290</f>
        <v>0</v>
      </c>
      <c r="C291" s="0" t="n">
        <f aca="false">AZ290</f>
        <v>0</v>
      </c>
      <c r="D291" s="0" t="n">
        <f aca="false">BA290</f>
        <v>0</v>
      </c>
      <c r="E291" s="0" t="n">
        <f aca="false">BB290</f>
        <v>0</v>
      </c>
      <c r="F291" s="0" t="n">
        <f aca="false">BC290</f>
        <v>0</v>
      </c>
      <c r="G291" s="0" t="n">
        <f aca="false">BD290</f>
        <v>0</v>
      </c>
      <c r="H291" s="0" t="n">
        <f aca="false">BE290</f>
        <v>0</v>
      </c>
      <c r="I291" s="0" t="n">
        <f aca="false">BF290</f>
        <v>0</v>
      </c>
      <c r="J291" s="0" t="n">
        <f aca="false">B291*N('Debt Payoff'!D9)/12</f>
        <v>0</v>
      </c>
      <c r="K291" s="0" t="n">
        <f aca="false">C291*N('Debt Payoff'!D10)/12</f>
        <v>0</v>
      </c>
      <c r="L291" s="0" t="n">
        <f aca="false">D291*N('Debt Payoff'!D11)/12</f>
        <v>0</v>
      </c>
      <c r="M291" s="0" t="n">
        <f aca="false">E291*N('Debt Payoff'!D12)/12</f>
        <v>0</v>
      </c>
      <c r="N291" s="0" t="n">
        <f aca="false">F291*N('Debt Payoff'!D13)/12</f>
        <v>0</v>
      </c>
      <c r="O291" s="0" t="n">
        <f aca="false">G291*N('Debt Payoff'!D14)/12</f>
        <v>0</v>
      </c>
      <c r="P291" s="0" t="n">
        <f aca="false">H291*N('Debt Payoff'!D15)/12</f>
        <v>0</v>
      </c>
      <c r="Q291" s="0" t="n">
        <f aca="false">I291*N('Debt Payoff'!D16)/12</f>
        <v>0</v>
      </c>
      <c r="R291" s="0" t="n">
        <f aca="false">B291+J291</f>
        <v>0</v>
      </c>
      <c r="S291" s="0" t="n">
        <f aca="false">C291+K291</f>
        <v>0</v>
      </c>
      <c r="T291" s="0" t="n">
        <f aca="false">D291+L291</f>
        <v>0</v>
      </c>
      <c r="U291" s="0" t="n">
        <f aca="false">E291+M291</f>
        <v>0</v>
      </c>
      <c r="V291" s="0" t="n">
        <f aca="false">F291+N291</f>
        <v>0</v>
      </c>
      <c r="W291" s="0" t="n">
        <f aca="false">G291+O291</f>
        <v>0</v>
      </c>
      <c r="X291" s="0" t="n">
        <f aca="false">H291+P291</f>
        <v>0</v>
      </c>
      <c r="Y291" s="0" t="n">
        <f aca="false">I291+Q291</f>
        <v>0</v>
      </c>
      <c r="Z291" s="0" t="n">
        <f aca="false">MIN(R291,N('Debt Payoff'!E9))</f>
        <v>0</v>
      </c>
      <c r="AA291" s="0" t="n">
        <f aca="false">MIN(S291,N('Debt Payoff'!E10))</f>
        <v>0</v>
      </c>
      <c r="AB291" s="0" t="n">
        <f aca="false">MIN(T291,N('Debt Payoff'!E11))</f>
        <v>0</v>
      </c>
      <c r="AC291" s="0" t="n">
        <f aca="false">MIN(U291,N('Debt Payoff'!E12))</f>
        <v>0</v>
      </c>
      <c r="AD291" s="0" t="n">
        <f aca="false">MIN(V291,N('Debt Payoff'!E13))</f>
        <v>0</v>
      </c>
      <c r="AE291" s="0" t="n">
        <f aca="false">MIN(W291,N('Debt Payoff'!E14))</f>
        <v>0</v>
      </c>
      <c r="AF291" s="0" t="n">
        <f aca="false">MIN(X291,N('Debt Payoff'!E15))</f>
        <v>0</v>
      </c>
      <c r="AG291" s="0" t="n">
        <f aca="false">MIN(Y291,N('Debt Payoff'!E16))</f>
        <v>0</v>
      </c>
      <c r="AH291" s="0" t="n">
        <f aca="false">R291-Z291</f>
        <v>0</v>
      </c>
      <c r="AI291" s="0" t="n">
        <f aca="false">S291-AA291</f>
        <v>0</v>
      </c>
      <c r="AJ291" s="0" t="n">
        <f aca="false">T291-AB291</f>
        <v>0</v>
      </c>
      <c r="AK291" s="0" t="n">
        <f aca="false">U291-AC291</f>
        <v>0</v>
      </c>
      <c r="AL291" s="0" t="n">
        <f aca="false">V291-AD291</f>
        <v>0</v>
      </c>
      <c r="AM291" s="0" t="n">
        <f aca="false">W291-AE291</f>
        <v>0</v>
      </c>
      <c r="AN291" s="0" t="n">
        <f aca="false">X291-AF291</f>
        <v>0</v>
      </c>
      <c r="AO291" s="0" t="n">
        <f aca="false">Y291-AG291</f>
        <v>0</v>
      </c>
      <c r="AP291" s="0" t="n">
        <f aca="false">MAX(0,'Debt Payoff'!$D$17-SUM(Z291:AG291))</f>
        <v>805</v>
      </c>
      <c r="AQ291" s="0" t="n">
        <f aca="false">MIN(AH291,MAX(0,$AP291-SUMPRODUCT(($AH$1:$AO$1&lt;AH$1)*$AH291:$AO291)))</f>
        <v>0</v>
      </c>
      <c r="AR291" s="0" t="n">
        <f aca="false">MIN(AI291,MAX(0,$AP291-SUMPRODUCT(($AH$1:$AO$1&lt;AI$1)*$AH291:$AO291)))</f>
        <v>0</v>
      </c>
      <c r="AS291" s="0" t="n">
        <f aca="false">MIN(AJ291,MAX(0,$AP291-SUMPRODUCT(($AH$1:$AO$1&lt;AJ$1)*$AH291:$AO291)))</f>
        <v>0</v>
      </c>
      <c r="AT291" s="0" t="n">
        <f aca="false">MIN(AK291,MAX(0,$AP291-SUMPRODUCT(($AH$1:$AO$1&lt;AK$1)*$AH291:$AO291)))</f>
        <v>0</v>
      </c>
      <c r="AU291" s="0" t="n">
        <f aca="false">MIN(AL291,MAX(0,$AP291-SUMPRODUCT(($AH$1:$AO$1&lt;AL$1)*$AH291:$AO291)))</f>
        <v>0</v>
      </c>
      <c r="AV291" s="0" t="n">
        <f aca="false">MIN(AM291,MAX(0,$AP291-SUMPRODUCT(($AH$1:$AO$1&lt;AM$1)*$AH291:$AO291)))</f>
        <v>0</v>
      </c>
      <c r="AW291" s="0" t="n">
        <f aca="false">MIN(AN291,MAX(0,$AP291-SUMPRODUCT(($AH$1:$AO$1&lt;AN$1)*$AH291:$AO291)))</f>
        <v>0</v>
      </c>
      <c r="AX291" s="0" t="n">
        <f aca="false">MIN(AO291,MAX(0,$AP291-SUMPRODUCT(($AH$1:$AO$1&lt;AO$1)*$AH291:$AO291)))</f>
        <v>0</v>
      </c>
      <c r="AY291" s="0" t="n">
        <f aca="false">ROUND(AH291-AQ291,2)</f>
        <v>0</v>
      </c>
      <c r="AZ291" s="0" t="n">
        <f aca="false">ROUND(AI291-AR291,2)</f>
        <v>0</v>
      </c>
      <c r="BA291" s="0" t="n">
        <f aca="false">ROUND(AJ291-AS291,2)</f>
        <v>0</v>
      </c>
      <c r="BB291" s="0" t="n">
        <f aca="false">ROUND(AK291-AT291,2)</f>
        <v>0</v>
      </c>
      <c r="BC291" s="0" t="n">
        <f aca="false">ROUND(AL291-AU291,2)</f>
        <v>0</v>
      </c>
      <c r="BD291" s="0" t="n">
        <f aca="false">ROUND(AM291-AV291,2)</f>
        <v>0</v>
      </c>
      <c r="BE291" s="0" t="n">
        <f aca="false">ROUND(AN291-AW291,2)</f>
        <v>0</v>
      </c>
      <c r="BF291" s="0" t="n">
        <f aca="false">ROUND(AO291-AX291,2)</f>
        <v>0</v>
      </c>
      <c r="BG291" s="0" t="n">
        <f aca="false">SUM(AY291:BF291)</f>
        <v>0</v>
      </c>
    </row>
    <row r="292" customFormat="false" ht="15" hidden="false" customHeight="false" outlineLevel="0" collapsed="false">
      <c r="A292" s="0" t="n">
        <v>290</v>
      </c>
      <c r="B292" s="0" t="n">
        <f aca="false">AY291</f>
        <v>0</v>
      </c>
      <c r="C292" s="0" t="n">
        <f aca="false">AZ291</f>
        <v>0</v>
      </c>
      <c r="D292" s="0" t="n">
        <f aca="false">BA291</f>
        <v>0</v>
      </c>
      <c r="E292" s="0" t="n">
        <f aca="false">BB291</f>
        <v>0</v>
      </c>
      <c r="F292" s="0" t="n">
        <f aca="false">BC291</f>
        <v>0</v>
      </c>
      <c r="G292" s="0" t="n">
        <f aca="false">BD291</f>
        <v>0</v>
      </c>
      <c r="H292" s="0" t="n">
        <f aca="false">BE291</f>
        <v>0</v>
      </c>
      <c r="I292" s="0" t="n">
        <f aca="false">BF291</f>
        <v>0</v>
      </c>
      <c r="J292" s="0" t="n">
        <f aca="false">B292*N('Debt Payoff'!D9)/12</f>
        <v>0</v>
      </c>
      <c r="K292" s="0" t="n">
        <f aca="false">C292*N('Debt Payoff'!D10)/12</f>
        <v>0</v>
      </c>
      <c r="L292" s="0" t="n">
        <f aca="false">D292*N('Debt Payoff'!D11)/12</f>
        <v>0</v>
      </c>
      <c r="M292" s="0" t="n">
        <f aca="false">E292*N('Debt Payoff'!D12)/12</f>
        <v>0</v>
      </c>
      <c r="N292" s="0" t="n">
        <f aca="false">F292*N('Debt Payoff'!D13)/12</f>
        <v>0</v>
      </c>
      <c r="O292" s="0" t="n">
        <f aca="false">G292*N('Debt Payoff'!D14)/12</f>
        <v>0</v>
      </c>
      <c r="P292" s="0" t="n">
        <f aca="false">H292*N('Debt Payoff'!D15)/12</f>
        <v>0</v>
      </c>
      <c r="Q292" s="0" t="n">
        <f aca="false">I292*N('Debt Payoff'!D16)/12</f>
        <v>0</v>
      </c>
      <c r="R292" s="0" t="n">
        <f aca="false">B292+J292</f>
        <v>0</v>
      </c>
      <c r="S292" s="0" t="n">
        <f aca="false">C292+K292</f>
        <v>0</v>
      </c>
      <c r="T292" s="0" t="n">
        <f aca="false">D292+L292</f>
        <v>0</v>
      </c>
      <c r="U292" s="0" t="n">
        <f aca="false">E292+M292</f>
        <v>0</v>
      </c>
      <c r="V292" s="0" t="n">
        <f aca="false">F292+N292</f>
        <v>0</v>
      </c>
      <c r="W292" s="0" t="n">
        <f aca="false">G292+O292</f>
        <v>0</v>
      </c>
      <c r="X292" s="0" t="n">
        <f aca="false">H292+P292</f>
        <v>0</v>
      </c>
      <c r="Y292" s="0" t="n">
        <f aca="false">I292+Q292</f>
        <v>0</v>
      </c>
      <c r="Z292" s="0" t="n">
        <f aca="false">MIN(R292,N('Debt Payoff'!E9))</f>
        <v>0</v>
      </c>
      <c r="AA292" s="0" t="n">
        <f aca="false">MIN(S292,N('Debt Payoff'!E10))</f>
        <v>0</v>
      </c>
      <c r="AB292" s="0" t="n">
        <f aca="false">MIN(T292,N('Debt Payoff'!E11))</f>
        <v>0</v>
      </c>
      <c r="AC292" s="0" t="n">
        <f aca="false">MIN(U292,N('Debt Payoff'!E12))</f>
        <v>0</v>
      </c>
      <c r="AD292" s="0" t="n">
        <f aca="false">MIN(V292,N('Debt Payoff'!E13))</f>
        <v>0</v>
      </c>
      <c r="AE292" s="0" t="n">
        <f aca="false">MIN(W292,N('Debt Payoff'!E14))</f>
        <v>0</v>
      </c>
      <c r="AF292" s="0" t="n">
        <f aca="false">MIN(X292,N('Debt Payoff'!E15))</f>
        <v>0</v>
      </c>
      <c r="AG292" s="0" t="n">
        <f aca="false">MIN(Y292,N('Debt Payoff'!E16))</f>
        <v>0</v>
      </c>
      <c r="AH292" s="0" t="n">
        <f aca="false">R292-Z292</f>
        <v>0</v>
      </c>
      <c r="AI292" s="0" t="n">
        <f aca="false">S292-AA292</f>
        <v>0</v>
      </c>
      <c r="AJ292" s="0" t="n">
        <f aca="false">T292-AB292</f>
        <v>0</v>
      </c>
      <c r="AK292" s="0" t="n">
        <f aca="false">U292-AC292</f>
        <v>0</v>
      </c>
      <c r="AL292" s="0" t="n">
        <f aca="false">V292-AD292</f>
        <v>0</v>
      </c>
      <c r="AM292" s="0" t="n">
        <f aca="false">W292-AE292</f>
        <v>0</v>
      </c>
      <c r="AN292" s="0" t="n">
        <f aca="false">X292-AF292</f>
        <v>0</v>
      </c>
      <c r="AO292" s="0" t="n">
        <f aca="false">Y292-AG292</f>
        <v>0</v>
      </c>
      <c r="AP292" s="0" t="n">
        <f aca="false">MAX(0,'Debt Payoff'!$D$17-SUM(Z292:AG292))</f>
        <v>805</v>
      </c>
      <c r="AQ292" s="0" t="n">
        <f aca="false">MIN(AH292,MAX(0,$AP292-SUMPRODUCT(($AH$1:$AO$1&lt;AH$1)*$AH292:$AO292)))</f>
        <v>0</v>
      </c>
      <c r="AR292" s="0" t="n">
        <f aca="false">MIN(AI292,MAX(0,$AP292-SUMPRODUCT(($AH$1:$AO$1&lt;AI$1)*$AH292:$AO292)))</f>
        <v>0</v>
      </c>
      <c r="AS292" s="0" t="n">
        <f aca="false">MIN(AJ292,MAX(0,$AP292-SUMPRODUCT(($AH$1:$AO$1&lt;AJ$1)*$AH292:$AO292)))</f>
        <v>0</v>
      </c>
      <c r="AT292" s="0" t="n">
        <f aca="false">MIN(AK292,MAX(0,$AP292-SUMPRODUCT(($AH$1:$AO$1&lt;AK$1)*$AH292:$AO292)))</f>
        <v>0</v>
      </c>
      <c r="AU292" s="0" t="n">
        <f aca="false">MIN(AL292,MAX(0,$AP292-SUMPRODUCT(($AH$1:$AO$1&lt;AL$1)*$AH292:$AO292)))</f>
        <v>0</v>
      </c>
      <c r="AV292" s="0" t="n">
        <f aca="false">MIN(AM292,MAX(0,$AP292-SUMPRODUCT(($AH$1:$AO$1&lt;AM$1)*$AH292:$AO292)))</f>
        <v>0</v>
      </c>
      <c r="AW292" s="0" t="n">
        <f aca="false">MIN(AN292,MAX(0,$AP292-SUMPRODUCT(($AH$1:$AO$1&lt;AN$1)*$AH292:$AO292)))</f>
        <v>0</v>
      </c>
      <c r="AX292" s="0" t="n">
        <f aca="false">MIN(AO292,MAX(0,$AP292-SUMPRODUCT(($AH$1:$AO$1&lt;AO$1)*$AH292:$AO292)))</f>
        <v>0</v>
      </c>
      <c r="AY292" s="0" t="n">
        <f aca="false">ROUND(AH292-AQ292,2)</f>
        <v>0</v>
      </c>
      <c r="AZ292" s="0" t="n">
        <f aca="false">ROUND(AI292-AR292,2)</f>
        <v>0</v>
      </c>
      <c r="BA292" s="0" t="n">
        <f aca="false">ROUND(AJ292-AS292,2)</f>
        <v>0</v>
      </c>
      <c r="BB292" s="0" t="n">
        <f aca="false">ROUND(AK292-AT292,2)</f>
        <v>0</v>
      </c>
      <c r="BC292" s="0" t="n">
        <f aca="false">ROUND(AL292-AU292,2)</f>
        <v>0</v>
      </c>
      <c r="BD292" s="0" t="n">
        <f aca="false">ROUND(AM292-AV292,2)</f>
        <v>0</v>
      </c>
      <c r="BE292" s="0" t="n">
        <f aca="false">ROUND(AN292-AW292,2)</f>
        <v>0</v>
      </c>
      <c r="BF292" s="0" t="n">
        <f aca="false">ROUND(AO292-AX292,2)</f>
        <v>0</v>
      </c>
      <c r="BG292" s="0" t="n">
        <f aca="false">SUM(AY292:BF292)</f>
        <v>0</v>
      </c>
    </row>
    <row r="293" customFormat="false" ht="15" hidden="false" customHeight="false" outlineLevel="0" collapsed="false">
      <c r="A293" s="0" t="n">
        <v>291</v>
      </c>
      <c r="B293" s="0" t="n">
        <f aca="false">AY292</f>
        <v>0</v>
      </c>
      <c r="C293" s="0" t="n">
        <f aca="false">AZ292</f>
        <v>0</v>
      </c>
      <c r="D293" s="0" t="n">
        <f aca="false">BA292</f>
        <v>0</v>
      </c>
      <c r="E293" s="0" t="n">
        <f aca="false">BB292</f>
        <v>0</v>
      </c>
      <c r="F293" s="0" t="n">
        <f aca="false">BC292</f>
        <v>0</v>
      </c>
      <c r="G293" s="0" t="n">
        <f aca="false">BD292</f>
        <v>0</v>
      </c>
      <c r="H293" s="0" t="n">
        <f aca="false">BE292</f>
        <v>0</v>
      </c>
      <c r="I293" s="0" t="n">
        <f aca="false">BF292</f>
        <v>0</v>
      </c>
      <c r="J293" s="0" t="n">
        <f aca="false">B293*N('Debt Payoff'!D9)/12</f>
        <v>0</v>
      </c>
      <c r="K293" s="0" t="n">
        <f aca="false">C293*N('Debt Payoff'!D10)/12</f>
        <v>0</v>
      </c>
      <c r="L293" s="0" t="n">
        <f aca="false">D293*N('Debt Payoff'!D11)/12</f>
        <v>0</v>
      </c>
      <c r="M293" s="0" t="n">
        <f aca="false">E293*N('Debt Payoff'!D12)/12</f>
        <v>0</v>
      </c>
      <c r="N293" s="0" t="n">
        <f aca="false">F293*N('Debt Payoff'!D13)/12</f>
        <v>0</v>
      </c>
      <c r="O293" s="0" t="n">
        <f aca="false">G293*N('Debt Payoff'!D14)/12</f>
        <v>0</v>
      </c>
      <c r="P293" s="0" t="n">
        <f aca="false">H293*N('Debt Payoff'!D15)/12</f>
        <v>0</v>
      </c>
      <c r="Q293" s="0" t="n">
        <f aca="false">I293*N('Debt Payoff'!D16)/12</f>
        <v>0</v>
      </c>
      <c r="R293" s="0" t="n">
        <f aca="false">B293+J293</f>
        <v>0</v>
      </c>
      <c r="S293" s="0" t="n">
        <f aca="false">C293+K293</f>
        <v>0</v>
      </c>
      <c r="T293" s="0" t="n">
        <f aca="false">D293+L293</f>
        <v>0</v>
      </c>
      <c r="U293" s="0" t="n">
        <f aca="false">E293+M293</f>
        <v>0</v>
      </c>
      <c r="V293" s="0" t="n">
        <f aca="false">F293+N293</f>
        <v>0</v>
      </c>
      <c r="W293" s="0" t="n">
        <f aca="false">G293+O293</f>
        <v>0</v>
      </c>
      <c r="X293" s="0" t="n">
        <f aca="false">H293+P293</f>
        <v>0</v>
      </c>
      <c r="Y293" s="0" t="n">
        <f aca="false">I293+Q293</f>
        <v>0</v>
      </c>
      <c r="Z293" s="0" t="n">
        <f aca="false">MIN(R293,N('Debt Payoff'!E9))</f>
        <v>0</v>
      </c>
      <c r="AA293" s="0" t="n">
        <f aca="false">MIN(S293,N('Debt Payoff'!E10))</f>
        <v>0</v>
      </c>
      <c r="AB293" s="0" t="n">
        <f aca="false">MIN(T293,N('Debt Payoff'!E11))</f>
        <v>0</v>
      </c>
      <c r="AC293" s="0" t="n">
        <f aca="false">MIN(U293,N('Debt Payoff'!E12))</f>
        <v>0</v>
      </c>
      <c r="AD293" s="0" t="n">
        <f aca="false">MIN(V293,N('Debt Payoff'!E13))</f>
        <v>0</v>
      </c>
      <c r="AE293" s="0" t="n">
        <f aca="false">MIN(W293,N('Debt Payoff'!E14))</f>
        <v>0</v>
      </c>
      <c r="AF293" s="0" t="n">
        <f aca="false">MIN(X293,N('Debt Payoff'!E15))</f>
        <v>0</v>
      </c>
      <c r="AG293" s="0" t="n">
        <f aca="false">MIN(Y293,N('Debt Payoff'!E16))</f>
        <v>0</v>
      </c>
      <c r="AH293" s="0" t="n">
        <f aca="false">R293-Z293</f>
        <v>0</v>
      </c>
      <c r="AI293" s="0" t="n">
        <f aca="false">S293-AA293</f>
        <v>0</v>
      </c>
      <c r="AJ293" s="0" t="n">
        <f aca="false">T293-AB293</f>
        <v>0</v>
      </c>
      <c r="AK293" s="0" t="n">
        <f aca="false">U293-AC293</f>
        <v>0</v>
      </c>
      <c r="AL293" s="0" t="n">
        <f aca="false">V293-AD293</f>
        <v>0</v>
      </c>
      <c r="AM293" s="0" t="n">
        <f aca="false">W293-AE293</f>
        <v>0</v>
      </c>
      <c r="AN293" s="0" t="n">
        <f aca="false">X293-AF293</f>
        <v>0</v>
      </c>
      <c r="AO293" s="0" t="n">
        <f aca="false">Y293-AG293</f>
        <v>0</v>
      </c>
      <c r="AP293" s="0" t="n">
        <f aca="false">MAX(0,'Debt Payoff'!$D$17-SUM(Z293:AG293))</f>
        <v>805</v>
      </c>
      <c r="AQ293" s="0" t="n">
        <f aca="false">MIN(AH293,MAX(0,$AP293-SUMPRODUCT(($AH$1:$AO$1&lt;AH$1)*$AH293:$AO293)))</f>
        <v>0</v>
      </c>
      <c r="AR293" s="0" t="n">
        <f aca="false">MIN(AI293,MAX(0,$AP293-SUMPRODUCT(($AH$1:$AO$1&lt;AI$1)*$AH293:$AO293)))</f>
        <v>0</v>
      </c>
      <c r="AS293" s="0" t="n">
        <f aca="false">MIN(AJ293,MAX(0,$AP293-SUMPRODUCT(($AH$1:$AO$1&lt;AJ$1)*$AH293:$AO293)))</f>
        <v>0</v>
      </c>
      <c r="AT293" s="0" t="n">
        <f aca="false">MIN(AK293,MAX(0,$AP293-SUMPRODUCT(($AH$1:$AO$1&lt;AK$1)*$AH293:$AO293)))</f>
        <v>0</v>
      </c>
      <c r="AU293" s="0" t="n">
        <f aca="false">MIN(AL293,MAX(0,$AP293-SUMPRODUCT(($AH$1:$AO$1&lt;AL$1)*$AH293:$AO293)))</f>
        <v>0</v>
      </c>
      <c r="AV293" s="0" t="n">
        <f aca="false">MIN(AM293,MAX(0,$AP293-SUMPRODUCT(($AH$1:$AO$1&lt;AM$1)*$AH293:$AO293)))</f>
        <v>0</v>
      </c>
      <c r="AW293" s="0" t="n">
        <f aca="false">MIN(AN293,MAX(0,$AP293-SUMPRODUCT(($AH$1:$AO$1&lt;AN$1)*$AH293:$AO293)))</f>
        <v>0</v>
      </c>
      <c r="AX293" s="0" t="n">
        <f aca="false">MIN(AO293,MAX(0,$AP293-SUMPRODUCT(($AH$1:$AO$1&lt;AO$1)*$AH293:$AO293)))</f>
        <v>0</v>
      </c>
      <c r="AY293" s="0" t="n">
        <f aca="false">ROUND(AH293-AQ293,2)</f>
        <v>0</v>
      </c>
      <c r="AZ293" s="0" t="n">
        <f aca="false">ROUND(AI293-AR293,2)</f>
        <v>0</v>
      </c>
      <c r="BA293" s="0" t="n">
        <f aca="false">ROUND(AJ293-AS293,2)</f>
        <v>0</v>
      </c>
      <c r="BB293" s="0" t="n">
        <f aca="false">ROUND(AK293-AT293,2)</f>
        <v>0</v>
      </c>
      <c r="BC293" s="0" t="n">
        <f aca="false">ROUND(AL293-AU293,2)</f>
        <v>0</v>
      </c>
      <c r="BD293" s="0" t="n">
        <f aca="false">ROUND(AM293-AV293,2)</f>
        <v>0</v>
      </c>
      <c r="BE293" s="0" t="n">
        <f aca="false">ROUND(AN293-AW293,2)</f>
        <v>0</v>
      </c>
      <c r="BF293" s="0" t="n">
        <f aca="false">ROUND(AO293-AX293,2)</f>
        <v>0</v>
      </c>
      <c r="BG293" s="0" t="n">
        <f aca="false">SUM(AY293:BF293)</f>
        <v>0</v>
      </c>
    </row>
    <row r="294" customFormat="false" ht="15" hidden="false" customHeight="false" outlineLevel="0" collapsed="false">
      <c r="A294" s="0" t="n">
        <v>292</v>
      </c>
      <c r="B294" s="0" t="n">
        <f aca="false">AY293</f>
        <v>0</v>
      </c>
      <c r="C294" s="0" t="n">
        <f aca="false">AZ293</f>
        <v>0</v>
      </c>
      <c r="D294" s="0" t="n">
        <f aca="false">BA293</f>
        <v>0</v>
      </c>
      <c r="E294" s="0" t="n">
        <f aca="false">BB293</f>
        <v>0</v>
      </c>
      <c r="F294" s="0" t="n">
        <f aca="false">BC293</f>
        <v>0</v>
      </c>
      <c r="G294" s="0" t="n">
        <f aca="false">BD293</f>
        <v>0</v>
      </c>
      <c r="H294" s="0" t="n">
        <f aca="false">BE293</f>
        <v>0</v>
      </c>
      <c r="I294" s="0" t="n">
        <f aca="false">BF293</f>
        <v>0</v>
      </c>
      <c r="J294" s="0" t="n">
        <f aca="false">B294*N('Debt Payoff'!D9)/12</f>
        <v>0</v>
      </c>
      <c r="K294" s="0" t="n">
        <f aca="false">C294*N('Debt Payoff'!D10)/12</f>
        <v>0</v>
      </c>
      <c r="L294" s="0" t="n">
        <f aca="false">D294*N('Debt Payoff'!D11)/12</f>
        <v>0</v>
      </c>
      <c r="M294" s="0" t="n">
        <f aca="false">E294*N('Debt Payoff'!D12)/12</f>
        <v>0</v>
      </c>
      <c r="N294" s="0" t="n">
        <f aca="false">F294*N('Debt Payoff'!D13)/12</f>
        <v>0</v>
      </c>
      <c r="O294" s="0" t="n">
        <f aca="false">G294*N('Debt Payoff'!D14)/12</f>
        <v>0</v>
      </c>
      <c r="P294" s="0" t="n">
        <f aca="false">H294*N('Debt Payoff'!D15)/12</f>
        <v>0</v>
      </c>
      <c r="Q294" s="0" t="n">
        <f aca="false">I294*N('Debt Payoff'!D16)/12</f>
        <v>0</v>
      </c>
      <c r="R294" s="0" t="n">
        <f aca="false">B294+J294</f>
        <v>0</v>
      </c>
      <c r="S294" s="0" t="n">
        <f aca="false">C294+K294</f>
        <v>0</v>
      </c>
      <c r="T294" s="0" t="n">
        <f aca="false">D294+L294</f>
        <v>0</v>
      </c>
      <c r="U294" s="0" t="n">
        <f aca="false">E294+M294</f>
        <v>0</v>
      </c>
      <c r="V294" s="0" t="n">
        <f aca="false">F294+N294</f>
        <v>0</v>
      </c>
      <c r="W294" s="0" t="n">
        <f aca="false">G294+O294</f>
        <v>0</v>
      </c>
      <c r="X294" s="0" t="n">
        <f aca="false">H294+P294</f>
        <v>0</v>
      </c>
      <c r="Y294" s="0" t="n">
        <f aca="false">I294+Q294</f>
        <v>0</v>
      </c>
      <c r="Z294" s="0" t="n">
        <f aca="false">MIN(R294,N('Debt Payoff'!E9))</f>
        <v>0</v>
      </c>
      <c r="AA294" s="0" t="n">
        <f aca="false">MIN(S294,N('Debt Payoff'!E10))</f>
        <v>0</v>
      </c>
      <c r="AB294" s="0" t="n">
        <f aca="false">MIN(T294,N('Debt Payoff'!E11))</f>
        <v>0</v>
      </c>
      <c r="AC294" s="0" t="n">
        <f aca="false">MIN(U294,N('Debt Payoff'!E12))</f>
        <v>0</v>
      </c>
      <c r="AD294" s="0" t="n">
        <f aca="false">MIN(V294,N('Debt Payoff'!E13))</f>
        <v>0</v>
      </c>
      <c r="AE294" s="0" t="n">
        <f aca="false">MIN(W294,N('Debt Payoff'!E14))</f>
        <v>0</v>
      </c>
      <c r="AF294" s="0" t="n">
        <f aca="false">MIN(X294,N('Debt Payoff'!E15))</f>
        <v>0</v>
      </c>
      <c r="AG294" s="0" t="n">
        <f aca="false">MIN(Y294,N('Debt Payoff'!E16))</f>
        <v>0</v>
      </c>
      <c r="AH294" s="0" t="n">
        <f aca="false">R294-Z294</f>
        <v>0</v>
      </c>
      <c r="AI294" s="0" t="n">
        <f aca="false">S294-AA294</f>
        <v>0</v>
      </c>
      <c r="AJ294" s="0" t="n">
        <f aca="false">T294-AB294</f>
        <v>0</v>
      </c>
      <c r="AK294" s="0" t="n">
        <f aca="false">U294-AC294</f>
        <v>0</v>
      </c>
      <c r="AL294" s="0" t="n">
        <f aca="false">V294-AD294</f>
        <v>0</v>
      </c>
      <c r="AM294" s="0" t="n">
        <f aca="false">W294-AE294</f>
        <v>0</v>
      </c>
      <c r="AN294" s="0" t="n">
        <f aca="false">X294-AF294</f>
        <v>0</v>
      </c>
      <c r="AO294" s="0" t="n">
        <f aca="false">Y294-AG294</f>
        <v>0</v>
      </c>
      <c r="AP294" s="0" t="n">
        <f aca="false">MAX(0,'Debt Payoff'!$D$17-SUM(Z294:AG294))</f>
        <v>805</v>
      </c>
      <c r="AQ294" s="0" t="n">
        <f aca="false">MIN(AH294,MAX(0,$AP294-SUMPRODUCT(($AH$1:$AO$1&lt;AH$1)*$AH294:$AO294)))</f>
        <v>0</v>
      </c>
      <c r="AR294" s="0" t="n">
        <f aca="false">MIN(AI294,MAX(0,$AP294-SUMPRODUCT(($AH$1:$AO$1&lt;AI$1)*$AH294:$AO294)))</f>
        <v>0</v>
      </c>
      <c r="AS294" s="0" t="n">
        <f aca="false">MIN(AJ294,MAX(0,$AP294-SUMPRODUCT(($AH$1:$AO$1&lt;AJ$1)*$AH294:$AO294)))</f>
        <v>0</v>
      </c>
      <c r="AT294" s="0" t="n">
        <f aca="false">MIN(AK294,MAX(0,$AP294-SUMPRODUCT(($AH$1:$AO$1&lt;AK$1)*$AH294:$AO294)))</f>
        <v>0</v>
      </c>
      <c r="AU294" s="0" t="n">
        <f aca="false">MIN(AL294,MAX(0,$AP294-SUMPRODUCT(($AH$1:$AO$1&lt;AL$1)*$AH294:$AO294)))</f>
        <v>0</v>
      </c>
      <c r="AV294" s="0" t="n">
        <f aca="false">MIN(AM294,MAX(0,$AP294-SUMPRODUCT(($AH$1:$AO$1&lt;AM$1)*$AH294:$AO294)))</f>
        <v>0</v>
      </c>
      <c r="AW294" s="0" t="n">
        <f aca="false">MIN(AN294,MAX(0,$AP294-SUMPRODUCT(($AH$1:$AO$1&lt;AN$1)*$AH294:$AO294)))</f>
        <v>0</v>
      </c>
      <c r="AX294" s="0" t="n">
        <f aca="false">MIN(AO294,MAX(0,$AP294-SUMPRODUCT(($AH$1:$AO$1&lt;AO$1)*$AH294:$AO294)))</f>
        <v>0</v>
      </c>
      <c r="AY294" s="0" t="n">
        <f aca="false">ROUND(AH294-AQ294,2)</f>
        <v>0</v>
      </c>
      <c r="AZ294" s="0" t="n">
        <f aca="false">ROUND(AI294-AR294,2)</f>
        <v>0</v>
      </c>
      <c r="BA294" s="0" t="n">
        <f aca="false">ROUND(AJ294-AS294,2)</f>
        <v>0</v>
      </c>
      <c r="BB294" s="0" t="n">
        <f aca="false">ROUND(AK294-AT294,2)</f>
        <v>0</v>
      </c>
      <c r="BC294" s="0" t="n">
        <f aca="false">ROUND(AL294-AU294,2)</f>
        <v>0</v>
      </c>
      <c r="BD294" s="0" t="n">
        <f aca="false">ROUND(AM294-AV294,2)</f>
        <v>0</v>
      </c>
      <c r="BE294" s="0" t="n">
        <f aca="false">ROUND(AN294-AW294,2)</f>
        <v>0</v>
      </c>
      <c r="BF294" s="0" t="n">
        <f aca="false">ROUND(AO294-AX294,2)</f>
        <v>0</v>
      </c>
      <c r="BG294" s="0" t="n">
        <f aca="false">SUM(AY294:BF294)</f>
        <v>0</v>
      </c>
    </row>
    <row r="295" customFormat="false" ht="15" hidden="false" customHeight="false" outlineLevel="0" collapsed="false">
      <c r="A295" s="0" t="n">
        <v>293</v>
      </c>
      <c r="B295" s="0" t="n">
        <f aca="false">AY294</f>
        <v>0</v>
      </c>
      <c r="C295" s="0" t="n">
        <f aca="false">AZ294</f>
        <v>0</v>
      </c>
      <c r="D295" s="0" t="n">
        <f aca="false">BA294</f>
        <v>0</v>
      </c>
      <c r="E295" s="0" t="n">
        <f aca="false">BB294</f>
        <v>0</v>
      </c>
      <c r="F295" s="0" t="n">
        <f aca="false">BC294</f>
        <v>0</v>
      </c>
      <c r="G295" s="0" t="n">
        <f aca="false">BD294</f>
        <v>0</v>
      </c>
      <c r="H295" s="0" t="n">
        <f aca="false">BE294</f>
        <v>0</v>
      </c>
      <c r="I295" s="0" t="n">
        <f aca="false">BF294</f>
        <v>0</v>
      </c>
      <c r="J295" s="0" t="n">
        <f aca="false">B295*N('Debt Payoff'!D9)/12</f>
        <v>0</v>
      </c>
      <c r="K295" s="0" t="n">
        <f aca="false">C295*N('Debt Payoff'!D10)/12</f>
        <v>0</v>
      </c>
      <c r="L295" s="0" t="n">
        <f aca="false">D295*N('Debt Payoff'!D11)/12</f>
        <v>0</v>
      </c>
      <c r="M295" s="0" t="n">
        <f aca="false">E295*N('Debt Payoff'!D12)/12</f>
        <v>0</v>
      </c>
      <c r="N295" s="0" t="n">
        <f aca="false">F295*N('Debt Payoff'!D13)/12</f>
        <v>0</v>
      </c>
      <c r="O295" s="0" t="n">
        <f aca="false">G295*N('Debt Payoff'!D14)/12</f>
        <v>0</v>
      </c>
      <c r="P295" s="0" t="n">
        <f aca="false">H295*N('Debt Payoff'!D15)/12</f>
        <v>0</v>
      </c>
      <c r="Q295" s="0" t="n">
        <f aca="false">I295*N('Debt Payoff'!D16)/12</f>
        <v>0</v>
      </c>
      <c r="R295" s="0" t="n">
        <f aca="false">B295+J295</f>
        <v>0</v>
      </c>
      <c r="S295" s="0" t="n">
        <f aca="false">C295+K295</f>
        <v>0</v>
      </c>
      <c r="T295" s="0" t="n">
        <f aca="false">D295+L295</f>
        <v>0</v>
      </c>
      <c r="U295" s="0" t="n">
        <f aca="false">E295+M295</f>
        <v>0</v>
      </c>
      <c r="V295" s="0" t="n">
        <f aca="false">F295+N295</f>
        <v>0</v>
      </c>
      <c r="W295" s="0" t="n">
        <f aca="false">G295+O295</f>
        <v>0</v>
      </c>
      <c r="X295" s="0" t="n">
        <f aca="false">H295+P295</f>
        <v>0</v>
      </c>
      <c r="Y295" s="0" t="n">
        <f aca="false">I295+Q295</f>
        <v>0</v>
      </c>
      <c r="Z295" s="0" t="n">
        <f aca="false">MIN(R295,N('Debt Payoff'!E9))</f>
        <v>0</v>
      </c>
      <c r="AA295" s="0" t="n">
        <f aca="false">MIN(S295,N('Debt Payoff'!E10))</f>
        <v>0</v>
      </c>
      <c r="AB295" s="0" t="n">
        <f aca="false">MIN(T295,N('Debt Payoff'!E11))</f>
        <v>0</v>
      </c>
      <c r="AC295" s="0" t="n">
        <f aca="false">MIN(U295,N('Debt Payoff'!E12))</f>
        <v>0</v>
      </c>
      <c r="AD295" s="0" t="n">
        <f aca="false">MIN(V295,N('Debt Payoff'!E13))</f>
        <v>0</v>
      </c>
      <c r="AE295" s="0" t="n">
        <f aca="false">MIN(W295,N('Debt Payoff'!E14))</f>
        <v>0</v>
      </c>
      <c r="AF295" s="0" t="n">
        <f aca="false">MIN(X295,N('Debt Payoff'!E15))</f>
        <v>0</v>
      </c>
      <c r="AG295" s="0" t="n">
        <f aca="false">MIN(Y295,N('Debt Payoff'!E16))</f>
        <v>0</v>
      </c>
      <c r="AH295" s="0" t="n">
        <f aca="false">R295-Z295</f>
        <v>0</v>
      </c>
      <c r="AI295" s="0" t="n">
        <f aca="false">S295-AA295</f>
        <v>0</v>
      </c>
      <c r="AJ295" s="0" t="n">
        <f aca="false">T295-AB295</f>
        <v>0</v>
      </c>
      <c r="AK295" s="0" t="n">
        <f aca="false">U295-AC295</f>
        <v>0</v>
      </c>
      <c r="AL295" s="0" t="n">
        <f aca="false">V295-AD295</f>
        <v>0</v>
      </c>
      <c r="AM295" s="0" t="n">
        <f aca="false">W295-AE295</f>
        <v>0</v>
      </c>
      <c r="AN295" s="0" t="n">
        <f aca="false">X295-AF295</f>
        <v>0</v>
      </c>
      <c r="AO295" s="0" t="n">
        <f aca="false">Y295-AG295</f>
        <v>0</v>
      </c>
      <c r="AP295" s="0" t="n">
        <f aca="false">MAX(0,'Debt Payoff'!$D$17-SUM(Z295:AG295))</f>
        <v>805</v>
      </c>
      <c r="AQ295" s="0" t="n">
        <f aca="false">MIN(AH295,MAX(0,$AP295-SUMPRODUCT(($AH$1:$AO$1&lt;AH$1)*$AH295:$AO295)))</f>
        <v>0</v>
      </c>
      <c r="AR295" s="0" t="n">
        <f aca="false">MIN(AI295,MAX(0,$AP295-SUMPRODUCT(($AH$1:$AO$1&lt;AI$1)*$AH295:$AO295)))</f>
        <v>0</v>
      </c>
      <c r="AS295" s="0" t="n">
        <f aca="false">MIN(AJ295,MAX(0,$AP295-SUMPRODUCT(($AH$1:$AO$1&lt;AJ$1)*$AH295:$AO295)))</f>
        <v>0</v>
      </c>
      <c r="AT295" s="0" t="n">
        <f aca="false">MIN(AK295,MAX(0,$AP295-SUMPRODUCT(($AH$1:$AO$1&lt;AK$1)*$AH295:$AO295)))</f>
        <v>0</v>
      </c>
      <c r="AU295" s="0" t="n">
        <f aca="false">MIN(AL295,MAX(0,$AP295-SUMPRODUCT(($AH$1:$AO$1&lt;AL$1)*$AH295:$AO295)))</f>
        <v>0</v>
      </c>
      <c r="AV295" s="0" t="n">
        <f aca="false">MIN(AM295,MAX(0,$AP295-SUMPRODUCT(($AH$1:$AO$1&lt;AM$1)*$AH295:$AO295)))</f>
        <v>0</v>
      </c>
      <c r="AW295" s="0" t="n">
        <f aca="false">MIN(AN295,MAX(0,$AP295-SUMPRODUCT(($AH$1:$AO$1&lt;AN$1)*$AH295:$AO295)))</f>
        <v>0</v>
      </c>
      <c r="AX295" s="0" t="n">
        <f aca="false">MIN(AO295,MAX(0,$AP295-SUMPRODUCT(($AH$1:$AO$1&lt;AO$1)*$AH295:$AO295)))</f>
        <v>0</v>
      </c>
      <c r="AY295" s="0" t="n">
        <f aca="false">ROUND(AH295-AQ295,2)</f>
        <v>0</v>
      </c>
      <c r="AZ295" s="0" t="n">
        <f aca="false">ROUND(AI295-AR295,2)</f>
        <v>0</v>
      </c>
      <c r="BA295" s="0" t="n">
        <f aca="false">ROUND(AJ295-AS295,2)</f>
        <v>0</v>
      </c>
      <c r="BB295" s="0" t="n">
        <f aca="false">ROUND(AK295-AT295,2)</f>
        <v>0</v>
      </c>
      <c r="BC295" s="0" t="n">
        <f aca="false">ROUND(AL295-AU295,2)</f>
        <v>0</v>
      </c>
      <c r="BD295" s="0" t="n">
        <f aca="false">ROUND(AM295-AV295,2)</f>
        <v>0</v>
      </c>
      <c r="BE295" s="0" t="n">
        <f aca="false">ROUND(AN295-AW295,2)</f>
        <v>0</v>
      </c>
      <c r="BF295" s="0" t="n">
        <f aca="false">ROUND(AO295-AX295,2)</f>
        <v>0</v>
      </c>
      <c r="BG295" s="0" t="n">
        <f aca="false">SUM(AY295:BF295)</f>
        <v>0</v>
      </c>
    </row>
    <row r="296" customFormat="false" ht="15" hidden="false" customHeight="false" outlineLevel="0" collapsed="false">
      <c r="A296" s="0" t="n">
        <v>294</v>
      </c>
      <c r="B296" s="0" t="n">
        <f aca="false">AY295</f>
        <v>0</v>
      </c>
      <c r="C296" s="0" t="n">
        <f aca="false">AZ295</f>
        <v>0</v>
      </c>
      <c r="D296" s="0" t="n">
        <f aca="false">BA295</f>
        <v>0</v>
      </c>
      <c r="E296" s="0" t="n">
        <f aca="false">BB295</f>
        <v>0</v>
      </c>
      <c r="F296" s="0" t="n">
        <f aca="false">BC295</f>
        <v>0</v>
      </c>
      <c r="G296" s="0" t="n">
        <f aca="false">BD295</f>
        <v>0</v>
      </c>
      <c r="H296" s="0" t="n">
        <f aca="false">BE295</f>
        <v>0</v>
      </c>
      <c r="I296" s="0" t="n">
        <f aca="false">BF295</f>
        <v>0</v>
      </c>
      <c r="J296" s="0" t="n">
        <f aca="false">B296*N('Debt Payoff'!D9)/12</f>
        <v>0</v>
      </c>
      <c r="K296" s="0" t="n">
        <f aca="false">C296*N('Debt Payoff'!D10)/12</f>
        <v>0</v>
      </c>
      <c r="L296" s="0" t="n">
        <f aca="false">D296*N('Debt Payoff'!D11)/12</f>
        <v>0</v>
      </c>
      <c r="M296" s="0" t="n">
        <f aca="false">E296*N('Debt Payoff'!D12)/12</f>
        <v>0</v>
      </c>
      <c r="N296" s="0" t="n">
        <f aca="false">F296*N('Debt Payoff'!D13)/12</f>
        <v>0</v>
      </c>
      <c r="O296" s="0" t="n">
        <f aca="false">G296*N('Debt Payoff'!D14)/12</f>
        <v>0</v>
      </c>
      <c r="P296" s="0" t="n">
        <f aca="false">H296*N('Debt Payoff'!D15)/12</f>
        <v>0</v>
      </c>
      <c r="Q296" s="0" t="n">
        <f aca="false">I296*N('Debt Payoff'!D16)/12</f>
        <v>0</v>
      </c>
      <c r="R296" s="0" t="n">
        <f aca="false">B296+J296</f>
        <v>0</v>
      </c>
      <c r="S296" s="0" t="n">
        <f aca="false">C296+K296</f>
        <v>0</v>
      </c>
      <c r="T296" s="0" t="n">
        <f aca="false">D296+L296</f>
        <v>0</v>
      </c>
      <c r="U296" s="0" t="n">
        <f aca="false">E296+M296</f>
        <v>0</v>
      </c>
      <c r="V296" s="0" t="n">
        <f aca="false">F296+N296</f>
        <v>0</v>
      </c>
      <c r="W296" s="0" t="n">
        <f aca="false">G296+O296</f>
        <v>0</v>
      </c>
      <c r="X296" s="0" t="n">
        <f aca="false">H296+P296</f>
        <v>0</v>
      </c>
      <c r="Y296" s="0" t="n">
        <f aca="false">I296+Q296</f>
        <v>0</v>
      </c>
      <c r="Z296" s="0" t="n">
        <f aca="false">MIN(R296,N('Debt Payoff'!E9))</f>
        <v>0</v>
      </c>
      <c r="AA296" s="0" t="n">
        <f aca="false">MIN(S296,N('Debt Payoff'!E10))</f>
        <v>0</v>
      </c>
      <c r="AB296" s="0" t="n">
        <f aca="false">MIN(T296,N('Debt Payoff'!E11))</f>
        <v>0</v>
      </c>
      <c r="AC296" s="0" t="n">
        <f aca="false">MIN(U296,N('Debt Payoff'!E12))</f>
        <v>0</v>
      </c>
      <c r="AD296" s="0" t="n">
        <f aca="false">MIN(V296,N('Debt Payoff'!E13))</f>
        <v>0</v>
      </c>
      <c r="AE296" s="0" t="n">
        <f aca="false">MIN(W296,N('Debt Payoff'!E14))</f>
        <v>0</v>
      </c>
      <c r="AF296" s="0" t="n">
        <f aca="false">MIN(X296,N('Debt Payoff'!E15))</f>
        <v>0</v>
      </c>
      <c r="AG296" s="0" t="n">
        <f aca="false">MIN(Y296,N('Debt Payoff'!E16))</f>
        <v>0</v>
      </c>
      <c r="AH296" s="0" t="n">
        <f aca="false">R296-Z296</f>
        <v>0</v>
      </c>
      <c r="AI296" s="0" t="n">
        <f aca="false">S296-AA296</f>
        <v>0</v>
      </c>
      <c r="AJ296" s="0" t="n">
        <f aca="false">T296-AB296</f>
        <v>0</v>
      </c>
      <c r="AK296" s="0" t="n">
        <f aca="false">U296-AC296</f>
        <v>0</v>
      </c>
      <c r="AL296" s="0" t="n">
        <f aca="false">V296-AD296</f>
        <v>0</v>
      </c>
      <c r="AM296" s="0" t="n">
        <f aca="false">W296-AE296</f>
        <v>0</v>
      </c>
      <c r="AN296" s="0" t="n">
        <f aca="false">X296-AF296</f>
        <v>0</v>
      </c>
      <c r="AO296" s="0" t="n">
        <f aca="false">Y296-AG296</f>
        <v>0</v>
      </c>
      <c r="AP296" s="0" t="n">
        <f aca="false">MAX(0,'Debt Payoff'!$D$17-SUM(Z296:AG296))</f>
        <v>805</v>
      </c>
      <c r="AQ296" s="0" t="n">
        <f aca="false">MIN(AH296,MAX(0,$AP296-SUMPRODUCT(($AH$1:$AO$1&lt;AH$1)*$AH296:$AO296)))</f>
        <v>0</v>
      </c>
      <c r="AR296" s="0" t="n">
        <f aca="false">MIN(AI296,MAX(0,$AP296-SUMPRODUCT(($AH$1:$AO$1&lt;AI$1)*$AH296:$AO296)))</f>
        <v>0</v>
      </c>
      <c r="AS296" s="0" t="n">
        <f aca="false">MIN(AJ296,MAX(0,$AP296-SUMPRODUCT(($AH$1:$AO$1&lt;AJ$1)*$AH296:$AO296)))</f>
        <v>0</v>
      </c>
      <c r="AT296" s="0" t="n">
        <f aca="false">MIN(AK296,MAX(0,$AP296-SUMPRODUCT(($AH$1:$AO$1&lt;AK$1)*$AH296:$AO296)))</f>
        <v>0</v>
      </c>
      <c r="AU296" s="0" t="n">
        <f aca="false">MIN(AL296,MAX(0,$AP296-SUMPRODUCT(($AH$1:$AO$1&lt;AL$1)*$AH296:$AO296)))</f>
        <v>0</v>
      </c>
      <c r="AV296" s="0" t="n">
        <f aca="false">MIN(AM296,MAX(0,$AP296-SUMPRODUCT(($AH$1:$AO$1&lt;AM$1)*$AH296:$AO296)))</f>
        <v>0</v>
      </c>
      <c r="AW296" s="0" t="n">
        <f aca="false">MIN(AN296,MAX(0,$AP296-SUMPRODUCT(($AH$1:$AO$1&lt;AN$1)*$AH296:$AO296)))</f>
        <v>0</v>
      </c>
      <c r="AX296" s="0" t="n">
        <f aca="false">MIN(AO296,MAX(0,$AP296-SUMPRODUCT(($AH$1:$AO$1&lt;AO$1)*$AH296:$AO296)))</f>
        <v>0</v>
      </c>
      <c r="AY296" s="0" t="n">
        <f aca="false">ROUND(AH296-AQ296,2)</f>
        <v>0</v>
      </c>
      <c r="AZ296" s="0" t="n">
        <f aca="false">ROUND(AI296-AR296,2)</f>
        <v>0</v>
      </c>
      <c r="BA296" s="0" t="n">
        <f aca="false">ROUND(AJ296-AS296,2)</f>
        <v>0</v>
      </c>
      <c r="BB296" s="0" t="n">
        <f aca="false">ROUND(AK296-AT296,2)</f>
        <v>0</v>
      </c>
      <c r="BC296" s="0" t="n">
        <f aca="false">ROUND(AL296-AU296,2)</f>
        <v>0</v>
      </c>
      <c r="BD296" s="0" t="n">
        <f aca="false">ROUND(AM296-AV296,2)</f>
        <v>0</v>
      </c>
      <c r="BE296" s="0" t="n">
        <f aca="false">ROUND(AN296-AW296,2)</f>
        <v>0</v>
      </c>
      <c r="BF296" s="0" t="n">
        <f aca="false">ROUND(AO296-AX296,2)</f>
        <v>0</v>
      </c>
      <c r="BG296" s="0" t="n">
        <f aca="false">SUM(AY296:BF296)</f>
        <v>0</v>
      </c>
    </row>
    <row r="297" customFormat="false" ht="15" hidden="false" customHeight="false" outlineLevel="0" collapsed="false">
      <c r="A297" s="0" t="n">
        <v>295</v>
      </c>
      <c r="B297" s="0" t="n">
        <f aca="false">AY296</f>
        <v>0</v>
      </c>
      <c r="C297" s="0" t="n">
        <f aca="false">AZ296</f>
        <v>0</v>
      </c>
      <c r="D297" s="0" t="n">
        <f aca="false">BA296</f>
        <v>0</v>
      </c>
      <c r="E297" s="0" t="n">
        <f aca="false">BB296</f>
        <v>0</v>
      </c>
      <c r="F297" s="0" t="n">
        <f aca="false">BC296</f>
        <v>0</v>
      </c>
      <c r="G297" s="0" t="n">
        <f aca="false">BD296</f>
        <v>0</v>
      </c>
      <c r="H297" s="0" t="n">
        <f aca="false">BE296</f>
        <v>0</v>
      </c>
      <c r="I297" s="0" t="n">
        <f aca="false">BF296</f>
        <v>0</v>
      </c>
      <c r="J297" s="0" t="n">
        <f aca="false">B297*N('Debt Payoff'!D9)/12</f>
        <v>0</v>
      </c>
      <c r="K297" s="0" t="n">
        <f aca="false">C297*N('Debt Payoff'!D10)/12</f>
        <v>0</v>
      </c>
      <c r="L297" s="0" t="n">
        <f aca="false">D297*N('Debt Payoff'!D11)/12</f>
        <v>0</v>
      </c>
      <c r="M297" s="0" t="n">
        <f aca="false">E297*N('Debt Payoff'!D12)/12</f>
        <v>0</v>
      </c>
      <c r="N297" s="0" t="n">
        <f aca="false">F297*N('Debt Payoff'!D13)/12</f>
        <v>0</v>
      </c>
      <c r="O297" s="0" t="n">
        <f aca="false">G297*N('Debt Payoff'!D14)/12</f>
        <v>0</v>
      </c>
      <c r="P297" s="0" t="n">
        <f aca="false">H297*N('Debt Payoff'!D15)/12</f>
        <v>0</v>
      </c>
      <c r="Q297" s="0" t="n">
        <f aca="false">I297*N('Debt Payoff'!D16)/12</f>
        <v>0</v>
      </c>
      <c r="R297" s="0" t="n">
        <f aca="false">B297+J297</f>
        <v>0</v>
      </c>
      <c r="S297" s="0" t="n">
        <f aca="false">C297+K297</f>
        <v>0</v>
      </c>
      <c r="T297" s="0" t="n">
        <f aca="false">D297+L297</f>
        <v>0</v>
      </c>
      <c r="U297" s="0" t="n">
        <f aca="false">E297+M297</f>
        <v>0</v>
      </c>
      <c r="V297" s="0" t="n">
        <f aca="false">F297+N297</f>
        <v>0</v>
      </c>
      <c r="W297" s="0" t="n">
        <f aca="false">G297+O297</f>
        <v>0</v>
      </c>
      <c r="X297" s="0" t="n">
        <f aca="false">H297+P297</f>
        <v>0</v>
      </c>
      <c r="Y297" s="0" t="n">
        <f aca="false">I297+Q297</f>
        <v>0</v>
      </c>
      <c r="Z297" s="0" t="n">
        <f aca="false">MIN(R297,N('Debt Payoff'!E9))</f>
        <v>0</v>
      </c>
      <c r="AA297" s="0" t="n">
        <f aca="false">MIN(S297,N('Debt Payoff'!E10))</f>
        <v>0</v>
      </c>
      <c r="AB297" s="0" t="n">
        <f aca="false">MIN(T297,N('Debt Payoff'!E11))</f>
        <v>0</v>
      </c>
      <c r="AC297" s="0" t="n">
        <f aca="false">MIN(U297,N('Debt Payoff'!E12))</f>
        <v>0</v>
      </c>
      <c r="AD297" s="0" t="n">
        <f aca="false">MIN(V297,N('Debt Payoff'!E13))</f>
        <v>0</v>
      </c>
      <c r="AE297" s="0" t="n">
        <f aca="false">MIN(W297,N('Debt Payoff'!E14))</f>
        <v>0</v>
      </c>
      <c r="AF297" s="0" t="n">
        <f aca="false">MIN(X297,N('Debt Payoff'!E15))</f>
        <v>0</v>
      </c>
      <c r="AG297" s="0" t="n">
        <f aca="false">MIN(Y297,N('Debt Payoff'!E16))</f>
        <v>0</v>
      </c>
      <c r="AH297" s="0" t="n">
        <f aca="false">R297-Z297</f>
        <v>0</v>
      </c>
      <c r="AI297" s="0" t="n">
        <f aca="false">S297-AA297</f>
        <v>0</v>
      </c>
      <c r="AJ297" s="0" t="n">
        <f aca="false">T297-AB297</f>
        <v>0</v>
      </c>
      <c r="AK297" s="0" t="n">
        <f aca="false">U297-AC297</f>
        <v>0</v>
      </c>
      <c r="AL297" s="0" t="n">
        <f aca="false">V297-AD297</f>
        <v>0</v>
      </c>
      <c r="AM297" s="0" t="n">
        <f aca="false">W297-AE297</f>
        <v>0</v>
      </c>
      <c r="AN297" s="0" t="n">
        <f aca="false">X297-AF297</f>
        <v>0</v>
      </c>
      <c r="AO297" s="0" t="n">
        <f aca="false">Y297-AG297</f>
        <v>0</v>
      </c>
      <c r="AP297" s="0" t="n">
        <f aca="false">MAX(0,'Debt Payoff'!$D$17-SUM(Z297:AG297))</f>
        <v>805</v>
      </c>
      <c r="AQ297" s="0" t="n">
        <f aca="false">MIN(AH297,MAX(0,$AP297-SUMPRODUCT(($AH$1:$AO$1&lt;AH$1)*$AH297:$AO297)))</f>
        <v>0</v>
      </c>
      <c r="AR297" s="0" t="n">
        <f aca="false">MIN(AI297,MAX(0,$AP297-SUMPRODUCT(($AH$1:$AO$1&lt;AI$1)*$AH297:$AO297)))</f>
        <v>0</v>
      </c>
      <c r="AS297" s="0" t="n">
        <f aca="false">MIN(AJ297,MAX(0,$AP297-SUMPRODUCT(($AH$1:$AO$1&lt;AJ$1)*$AH297:$AO297)))</f>
        <v>0</v>
      </c>
      <c r="AT297" s="0" t="n">
        <f aca="false">MIN(AK297,MAX(0,$AP297-SUMPRODUCT(($AH$1:$AO$1&lt;AK$1)*$AH297:$AO297)))</f>
        <v>0</v>
      </c>
      <c r="AU297" s="0" t="n">
        <f aca="false">MIN(AL297,MAX(0,$AP297-SUMPRODUCT(($AH$1:$AO$1&lt;AL$1)*$AH297:$AO297)))</f>
        <v>0</v>
      </c>
      <c r="AV297" s="0" t="n">
        <f aca="false">MIN(AM297,MAX(0,$AP297-SUMPRODUCT(($AH$1:$AO$1&lt;AM$1)*$AH297:$AO297)))</f>
        <v>0</v>
      </c>
      <c r="AW297" s="0" t="n">
        <f aca="false">MIN(AN297,MAX(0,$AP297-SUMPRODUCT(($AH$1:$AO$1&lt;AN$1)*$AH297:$AO297)))</f>
        <v>0</v>
      </c>
      <c r="AX297" s="0" t="n">
        <f aca="false">MIN(AO297,MAX(0,$AP297-SUMPRODUCT(($AH$1:$AO$1&lt;AO$1)*$AH297:$AO297)))</f>
        <v>0</v>
      </c>
      <c r="AY297" s="0" t="n">
        <f aca="false">ROUND(AH297-AQ297,2)</f>
        <v>0</v>
      </c>
      <c r="AZ297" s="0" t="n">
        <f aca="false">ROUND(AI297-AR297,2)</f>
        <v>0</v>
      </c>
      <c r="BA297" s="0" t="n">
        <f aca="false">ROUND(AJ297-AS297,2)</f>
        <v>0</v>
      </c>
      <c r="BB297" s="0" t="n">
        <f aca="false">ROUND(AK297-AT297,2)</f>
        <v>0</v>
      </c>
      <c r="BC297" s="0" t="n">
        <f aca="false">ROUND(AL297-AU297,2)</f>
        <v>0</v>
      </c>
      <c r="BD297" s="0" t="n">
        <f aca="false">ROUND(AM297-AV297,2)</f>
        <v>0</v>
      </c>
      <c r="BE297" s="0" t="n">
        <f aca="false">ROUND(AN297-AW297,2)</f>
        <v>0</v>
      </c>
      <c r="BF297" s="0" t="n">
        <f aca="false">ROUND(AO297-AX297,2)</f>
        <v>0</v>
      </c>
      <c r="BG297" s="0" t="n">
        <f aca="false">SUM(AY297:BF297)</f>
        <v>0</v>
      </c>
    </row>
    <row r="298" customFormat="false" ht="15" hidden="false" customHeight="false" outlineLevel="0" collapsed="false">
      <c r="A298" s="0" t="n">
        <v>296</v>
      </c>
      <c r="B298" s="0" t="n">
        <f aca="false">AY297</f>
        <v>0</v>
      </c>
      <c r="C298" s="0" t="n">
        <f aca="false">AZ297</f>
        <v>0</v>
      </c>
      <c r="D298" s="0" t="n">
        <f aca="false">BA297</f>
        <v>0</v>
      </c>
      <c r="E298" s="0" t="n">
        <f aca="false">BB297</f>
        <v>0</v>
      </c>
      <c r="F298" s="0" t="n">
        <f aca="false">BC297</f>
        <v>0</v>
      </c>
      <c r="G298" s="0" t="n">
        <f aca="false">BD297</f>
        <v>0</v>
      </c>
      <c r="H298" s="0" t="n">
        <f aca="false">BE297</f>
        <v>0</v>
      </c>
      <c r="I298" s="0" t="n">
        <f aca="false">BF297</f>
        <v>0</v>
      </c>
      <c r="J298" s="0" t="n">
        <f aca="false">B298*N('Debt Payoff'!D9)/12</f>
        <v>0</v>
      </c>
      <c r="K298" s="0" t="n">
        <f aca="false">C298*N('Debt Payoff'!D10)/12</f>
        <v>0</v>
      </c>
      <c r="L298" s="0" t="n">
        <f aca="false">D298*N('Debt Payoff'!D11)/12</f>
        <v>0</v>
      </c>
      <c r="M298" s="0" t="n">
        <f aca="false">E298*N('Debt Payoff'!D12)/12</f>
        <v>0</v>
      </c>
      <c r="N298" s="0" t="n">
        <f aca="false">F298*N('Debt Payoff'!D13)/12</f>
        <v>0</v>
      </c>
      <c r="O298" s="0" t="n">
        <f aca="false">G298*N('Debt Payoff'!D14)/12</f>
        <v>0</v>
      </c>
      <c r="P298" s="0" t="n">
        <f aca="false">H298*N('Debt Payoff'!D15)/12</f>
        <v>0</v>
      </c>
      <c r="Q298" s="0" t="n">
        <f aca="false">I298*N('Debt Payoff'!D16)/12</f>
        <v>0</v>
      </c>
      <c r="R298" s="0" t="n">
        <f aca="false">B298+J298</f>
        <v>0</v>
      </c>
      <c r="S298" s="0" t="n">
        <f aca="false">C298+K298</f>
        <v>0</v>
      </c>
      <c r="T298" s="0" t="n">
        <f aca="false">D298+L298</f>
        <v>0</v>
      </c>
      <c r="U298" s="0" t="n">
        <f aca="false">E298+M298</f>
        <v>0</v>
      </c>
      <c r="V298" s="0" t="n">
        <f aca="false">F298+N298</f>
        <v>0</v>
      </c>
      <c r="W298" s="0" t="n">
        <f aca="false">G298+O298</f>
        <v>0</v>
      </c>
      <c r="X298" s="0" t="n">
        <f aca="false">H298+P298</f>
        <v>0</v>
      </c>
      <c r="Y298" s="0" t="n">
        <f aca="false">I298+Q298</f>
        <v>0</v>
      </c>
      <c r="Z298" s="0" t="n">
        <f aca="false">MIN(R298,N('Debt Payoff'!E9))</f>
        <v>0</v>
      </c>
      <c r="AA298" s="0" t="n">
        <f aca="false">MIN(S298,N('Debt Payoff'!E10))</f>
        <v>0</v>
      </c>
      <c r="AB298" s="0" t="n">
        <f aca="false">MIN(T298,N('Debt Payoff'!E11))</f>
        <v>0</v>
      </c>
      <c r="AC298" s="0" t="n">
        <f aca="false">MIN(U298,N('Debt Payoff'!E12))</f>
        <v>0</v>
      </c>
      <c r="AD298" s="0" t="n">
        <f aca="false">MIN(V298,N('Debt Payoff'!E13))</f>
        <v>0</v>
      </c>
      <c r="AE298" s="0" t="n">
        <f aca="false">MIN(W298,N('Debt Payoff'!E14))</f>
        <v>0</v>
      </c>
      <c r="AF298" s="0" t="n">
        <f aca="false">MIN(X298,N('Debt Payoff'!E15))</f>
        <v>0</v>
      </c>
      <c r="AG298" s="0" t="n">
        <f aca="false">MIN(Y298,N('Debt Payoff'!E16))</f>
        <v>0</v>
      </c>
      <c r="AH298" s="0" t="n">
        <f aca="false">R298-Z298</f>
        <v>0</v>
      </c>
      <c r="AI298" s="0" t="n">
        <f aca="false">S298-AA298</f>
        <v>0</v>
      </c>
      <c r="AJ298" s="0" t="n">
        <f aca="false">T298-AB298</f>
        <v>0</v>
      </c>
      <c r="AK298" s="0" t="n">
        <f aca="false">U298-AC298</f>
        <v>0</v>
      </c>
      <c r="AL298" s="0" t="n">
        <f aca="false">V298-AD298</f>
        <v>0</v>
      </c>
      <c r="AM298" s="0" t="n">
        <f aca="false">W298-AE298</f>
        <v>0</v>
      </c>
      <c r="AN298" s="0" t="n">
        <f aca="false">X298-AF298</f>
        <v>0</v>
      </c>
      <c r="AO298" s="0" t="n">
        <f aca="false">Y298-AG298</f>
        <v>0</v>
      </c>
      <c r="AP298" s="0" t="n">
        <f aca="false">MAX(0,'Debt Payoff'!$D$17-SUM(Z298:AG298))</f>
        <v>805</v>
      </c>
      <c r="AQ298" s="0" t="n">
        <f aca="false">MIN(AH298,MAX(0,$AP298-SUMPRODUCT(($AH$1:$AO$1&lt;AH$1)*$AH298:$AO298)))</f>
        <v>0</v>
      </c>
      <c r="AR298" s="0" t="n">
        <f aca="false">MIN(AI298,MAX(0,$AP298-SUMPRODUCT(($AH$1:$AO$1&lt;AI$1)*$AH298:$AO298)))</f>
        <v>0</v>
      </c>
      <c r="AS298" s="0" t="n">
        <f aca="false">MIN(AJ298,MAX(0,$AP298-SUMPRODUCT(($AH$1:$AO$1&lt;AJ$1)*$AH298:$AO298)))</f>
        <v>0</v>
      </c>
      <c r="AT298" s="0" t="n">
        <f aca="false">MIN(AK298,MAX(0,$AP298-SUMPRODUCT(($AH$1:$AO$1&lt;AK$1)*$AH298:$AO298)))</f>
        <v>0</v>
      </c>
      <c r="AU298" s="0" t="n">
        <f aca="false">MIN(AL298,MAX(0,$AP298-SUMPRODUCT(($AH$1:$AO$1&lt;AL$1)*$AH298:$AO298)))</f>
        <v>0</v>
      </c>
      <c r="AV298" s="0" t="n">
        <f aca="false">MIN(AM298,MAX(0,$AP298-SUMPRODUCT(($AH$1:$AO$1&lt;AM$1)*$AH298:$AO298)))</f>
        <v>0</v>
      </c>
      <c r="AW298" s="0" t="n">
        <f aca="false">MIN(AN298,MAX(0,$AP298-SUMPRODUCT(($AH$1:$AO$1&lt;AN$1)*$AH298:$AO298)))</f>
        <v>0</v>
      </c>
      <c r="AX298" s="0" t="n">
        <f aca="false">MIN(AO298,MAX(0,$AP298-SUMPRODUCT(($AH$1:$AO$1&lt;AO$1)*$AH298:$AO298)))</f>
        <v>0</v>
      </c>
      <c r="AY298" s="0" t="n">
        <f aca="false">ROUND(AH298-AQ298,2)</f>
        <v>0</v>
      </c>
      <c r="AZ298" s="0" t="n">
        <f aca="false">ROUND(AI298-AR298,2)</f>
        <v>0</v>
      </c>
      <c r="BA298" s="0" t="n">
        <f aca="false">ROUND(AJ298-AS298,2)</f>
        <v>0</v>
      </c>
      <c r="BB298" s="0" t="n">
        <f aca="false">ROUND(AK298-AT298,2)</f>
        <v>0</v>
      </c>
      <c r="BC298" s="0" t="n">
        <f aca="false">ROUND(AL298-AU298,2)</f>
        <v>0</v>
      </c>
      <c r="BD298" s="0" t="n">
        <f aca="false">ROUND(AM298-AV298,2)</f>
        <v>0</v>
      </c>
      <c r="BE298" s="0" t="n">
        <f aca="false">ROUND(AN298-AW298,2)</f>
        <v>0</v>
      </c>
      <c r="BF298" s="0" t="n">
        <f aca="false">ROUND(AO298-AX298,2)</f>
        <v>0</v>
      </c>
      <c r="BG298" s="0" t="n">
        <f aca="false">SUM(AY298:BF298)</f>
        <v>0</v>
      </c>
    </row>
    <row r="299" customFormat="false" ht="15" hidden="false" customHeight="false" outlineLevel="0" collapsed="false">
      <c r="A299" s="0" t="n">
        <v>297</v>
      </c>
      <c r="B299" s="0" t="n">
        <f aca="false">AY298</f>
        <v>0</v>
      </c>
      <c r="C299" s="0" t="n">
        <f aca="false">AZ298</f>
        <v>0</v>
      </c>
      <c r="D299" s="0" t="n">
        <f aca="false">BA298</f>
        <v>0</v>
      </c>
      <c r="E299" s="0" t="n">
        <f aca="false">BB298</f>
        <v>0</v>
      </c>
      <c r="F299" s="0" t="n">
        <f aca="false">BC298</f>
        <v>0</v>
      </c>
      <c r="G299" s="0" t="n">
        <f aca="false">BD298</f>
        <v>0</v>
      </c>
      <c r="H299" s="0" t="n">
        <f aca="false">BE298</f>
        <v>0</v>
      </c>
      <c r="I299" s="0" t="n">
        <f aca="false">BF298</f>
        <v>0</v>
      </c>
      <c r="J299" s="0" t="n">
        <f aca="false">B299*N('Debt Payoff'!D9)/12</f>
        <v>0</v>
      </c>
      <c r="K299" s="0" t="n">
        <f aca="false">C299*N('Debt Payoff'!D10)/12</f>
        <v>0</v>
      </c>
      <c r="L299" s="0" t="n">
        <f aca="false">D299*N('Debt Payoff'!D11)/12</f>
        <v>0</v>
      </c>
      <c r="M299" s="0" t="n">
        <f aca="false">E299*N('Debt Payoff'!D12)/12</f>
        <v>0</v>
      </c>
      <c r="N299" s="0" t="n">
        <f aca="false">F299*N('Debt Payoff'!D13)/12</f>
        <v>0</v>
      </c>
      <c r="O299" s="0" t="n">
        <f aca="false">G299*N('Debt Payoff'!D14)/12</f>
        <v>0</v>
      </c>
      <c r="P299" s="0" t="n">
        <f aca="false">H299*N('Debt Payoff'!D15)/12</f>
        <v>0</v>
      </c>
      <c r="Q299" s="0" t="n">
        <f aca="false">I299*N('Debt Payoff'!D16)/12</f>
        <v>0</v>
      </c>
      <c r="R299" s="0" t="n">
        <f aca="false">B299+J299</f>
        <v>0</v>
      </c>
      <c r="S299" s="0" t="n">
        <f aca="false">C299+K299</f>
        <v>0</v>
      </c>
      <c r="T299" s="0" t="n">
        <f aca="false">D299+L299</f>
        <v>0</v>
      </c>
      <c r="U299" s="0" t="n">
        <f aca="false">E299+M299</f>
        <v>0</v>
      </c>
      <c r="V299" s="0" t="n">
        <f aca="false">F299+N299</f>
        <v>0</v>
      </c>
      <c r="W299" s="0" t="n">
        <f aca="false">G299+O299</f>
        <v>0</v>
      </c>
      <c r="X299" s="0" t="n">
        <f aca="false">H299+P299</f>
        <v>0</v>
      </c>
      <c r="Y299" s="0" t="n">
        <f aca="false">I299+Q299</f>
        <v>0</v>
      </c>
      <c r="Z299" s="0" t="n">
        <f aca="false">MIN(R299,N('Debt Payoff'!E9))</f>
        <v>0</v>
      </c>
      <c r="AA299" s="0" t="n">
        <f aca="false">MIN(S299,N('Debt Payoff'!E10))</f>
        <v>0</v>
      </c>
      <c r="AB299" s="0" t="n">
        <f aca="false">MIN(T299,N('Debt Payoff'!E11))</f>
        <v>0</v>
      </c>
      <c r="AC299" s="0" t="n">
        <f aca="false">MIN(U299,N('Debt Payoff'!E12))</f>
        <v>0</v>
      </c>
      <c r="AD299" s="0" t="n">
        <f aca="false">MIN(V299,N('Debt Payoff'!E13))</f>
        <v>0</v>
      </c>
      <c r="AE299" s="0" t="n">
        <f aca="false">MIN(W299,N('Debt Payoff'!E14))</f>
        <v>0</v>
      </c>
      <c r="AF299" s="0" t="n">
        <f aca="false">MIN(X299,N('Debt Payoff'!E15))</f>
        <v>0</v>
      </c>
      <c r="AG299" s="0" t="n">
        <f aca="false">MIN(Y299,N('Debt Payoff'!E16))</f>
        <v>0</v>
      </c>
      <c r="AH299" s="0" t="n">
        <f aca="false">R299-Z299</f>
        <v>0</v>
      </c>
      <c r="AI299" s="0" t="n">
        <f aca="false">S299-AA299</f>
        <v>0</v>
      </c>
      <c r="AJ299" s="0" t="n">
        <f aca="false">T299-AB299</f>
        <v>0</v>
      </c>
      <c r="AK299" s="0" t="n">
        <f aca="false">U299-AC299</f>
        <v>0</v>
      </c>
      <c r="AL299" s="0" t="n">
        <f aca="false">V299-AD299</f>
        <v>0</v>
      </c>
      <c r="AM299" s="0" t="n">
        <f aca="false">W299-AE299</f>
        <v>0</v>
      </c>
      <c r="AN299" s="0" t="n">
        <f aca="false">X299-AF299</f>
        <v>0</v>
      </c>
      <c r="AO299" s="0" t="n">
        <f aca="false">Y299-AG299</f>
        <v>0</v>
      </c>
      <c r="AP299" s="0" t="n">
        <f aca="false">MAX(0,'Debt Payoff'!$D$17-SUM(Z299:AG299))</f>
        <v>805</v>
      </c>
      <c r="AQ299" s="0" t="n">
        <f aca="false">MIN(AH299,MAX(0,$AP299-SUMPRODUCT(($AH$1:$AO$1&lt;AH$1)*$AH299:$AO299)))</f>
        <v>0</v>
      </c>
      <c r="AR299" s="0" t="n">
        <f aca="false">MIN(AI299,MAX(0,$AP299-SUMPRODUCT(($AH$1:$AO$1&lt;AI$1)*$AH299:$AO299)))</f>
        <v>0</v>
      </c>
      <c r="AS299" s="0" t="n">
        <f aca="false">MIN(AJ299,MAX(0,$AP299-SUMPRODUCT(($AH$1:$AO$1&lt;AJ$1)*$AH299:$AO299)))</f>
        <v>0</v>
      </c>
      <c r="AT299" s="0" t="n">
        <f aca="false">MIN(AK299,MAX(0,$AP299-SUMPRODUCT(($AH$1:$AO$1&lt;AK$1)*$AH299:$AO299)))</f>
        <v>0</v>
      </c>
      <c r="AU299" s="0" t="n">
        <f aca="false">MIN(AL299,MAX(0,$AP299-SUMPRODUCT(($AH$1:$AO$1&lt;AL$1)*$AH299:$AO299)))</f>
        <v>0</v>
      </c>
      <c r="AV299" s="0" t="n">
        <f aca="false">MIN(AM299,MAX(0,$AP299-SUMPRODUCT(($AH$1:$AO$1&lt;AM$1)*$AH299:$AO299)))</f>
        <v>0</v>
      </c>
      <c r="AW299" s="0" t="n">
        <f aca="false">MIN(AN299,MAX(0,$AP299-SUMPRODUCT(($AH$1:$AO$1&lt;AN$1)*$AH299:$AO299)))</f>
        <v>0</v>
      </c>
      <c r="AX299" s="0" t="n">
        <f aca="false">MIN(AO299,MAX(0,$AP299-SUMPRODUCT(($AH$1:$AO$1&lt;AO$1)*$AH299:$AO299)))</f>
        <v>0</v>
      </c>
      <c r="AY299" s="0" t="n">
        <f aca="false">ROUND(AH299-AQ299,2)</f>
        <v>0</v>
      </c>
      <c r="AZ299" s="0" t="n">
        <f aca="false">ROUND(AI299-AR299,2)</f>
        <v>0</v>
      </c>
      <c r="BA299" s="0" t="n">
        <f aca="false">ROUND(AJ299-AS299,2)</f>
        <v>0</v>
      </c>
      <c r="BB299" s="0" t="n">
        <f aca="false">ROUND(AK299-AT299,2)</f>
        <v>0</v>
      </c>
      <c r="BC299" s="0" t="n">
        <f aca="false">ROUND(AL299-AU299,2)</f>
        <v>0</v>
      </c>
      <c r="BD299" s="0" t="n">
        <f aca="false">ROUND(AM299-AV299,2)</f>
        <v>0</v>
      </c>
      <c r="BE299" s="0" t="n">
        <f aca="false">ROUND(AN299-AW299,2)</f>
        <v>0</v>
      </c>
      <c r="BF299" s="0" t="n">
        <f aca="false">ROUND(AO299-AX299,2)</f>
        <v>0</v>
      </c>
      <c r="BG299" s="0" t="n">
        <f aca="false">SUM(AY299:BF299)</f>
        <v>0</v>
      </c>
    </row>
    <row r="300" customFormat="false" ht="15" hidden="false" customHeight="false" outlineLevel="0" collapsed="false">
      <c r="A300" s="0" t="n">
        <v>298</v>
      </c>
      <c r="B300" s="0" t="n">
        <f aca="false">AY299</f>
        <v>0</v>
      </c>
      <c r="C300" s="0" t="n">
        <f aca="false">AZ299</f>
        <v>0</v>
      </c>
      <c r="D300" s="0" t="n">
        <f aca="false">BA299</f>
        <v>0</v>
      </c>
      <c r="E300" s="0" t="n">
        <f aca="false">BB299</f>
        <v>0</v>
      </c>
      <c r="F300" s="0" t="n">
        <f aca="false">BC299</f>
        <v>0</v>
      </c>
      <c r="G300" s="0" t="n">
        <f aca="false">BD299</f>
        <v>0</v>
      </c>
      <c r="H300" s="0" t="n">
        <f aca="false">BE299</f>
        <v>0</v>
      </c>
      <c r="I300" s="0" t="n">
        <f aca="false">BF299</f>
        <v>0</v>
      </c>
      <c r="J300" s="0" t="n">
        <f aca="false">B300*N('Debt Payoff'!D9)/12</f>
        <v>0</v>
      </c>
      <c r="K300" s="0" t="n">
        <f aca="false">C300*N('Debt Payoff'!D10)/12</f>
        <v>0</v>
      </c>
      <c r="L300" s="0" t="n">
        <f aca="false">D300*N('Debt Payoff'!D11)/12</f>
        <v>0</v>
      </c>
      <c r="M300" s="0" t="n">
        <f aca="false">E300*N('Debt Payoff'!D12)/12</f>
        <v>0</v>
      </c>
      <c r="N300" s="0" t="n">
        <f aca="false">F300*N('Debt Payoff'!D13)/12</f>
        <v>0</v>
      </c>
      <c r="O300" s="0" t="n">
        <f aca="false">G300*N('Debt Payoff'!D14)/12</f>
        <v>0</v>
      </c>
      <c r="P300" s="0" t="n">
        <f aca="false">H300*N('Debt Payoff'!D15)/12</f>
        <v>0</v>
      </c>
      <c r="Q300" s="0" t="n">
        <f aca="false">I300*N('Debt Payoff'!D16)/12</f>
        <v>0</v>
      </c>
      <c r="R300" s="0" t="n">
        <f aca="false">B300+J300</f>
        <v>0</v>
      </c>
      <c r="S300" s="0" t="n">
        <f aca="false">C300+K300</f>
        <v>0</v>
      </c>
      <c r="T300" s="0" t="n">
        <f aca="false">D300+L300</f>
        <v>0</v>
      </c>
      <c r="U300" s="0" t="n">
        <f aca="false">E300+M300</f>
        <v>0</v>
      </c>
      <c r="V300" s="0" t="n">
        <f aca="false">F300+N300</f>
        <v>0</v>
      </c>
      <c r="W300" s="0" t="n">
        <f aca="false">G300+O300</f>
        <v>0</v>
      </c>
      <c r="X300" s="0" t="n">
        <f aca="false">H300+P300</f>
        <v>0</v>
      </c>
      <c r="Y300" s="0" t="n">
        <f aca="false">I300+Q300</f>
        <v>0</v>
      </c>
      <c r="Z300" s="0" t="n">
        <f aca="false">MIN(R300,N('Debt Payoff'!E9))</f>
        <v>0</v>
      </c>
      <c r="AA300" s="0" t="n">
        <f aca="false">MIN(S300,N('Debt Payoff'!E10))</f>
        <v>0</v>
      </c>
      <c r="AB300" s="0" t="n">
        <f aca="false">MIN(T300,N('Debt Payoff'!E11))</f>
        <v>0</v>
      </c>
      <c r="AC300" s="0" t="n">
        <f aca="false">MIN(U300,N('Debt Payoff'!E12))</f>
        <v>0</v>
      </c>
      <c r="AD300" s="0" t="n">
        <f aca="false">MIN(V300,N('Debt Payoff'!E13))</f>
        <v>0</v>
      </c>
      <c r="AE300" s="0" t="n">
        <f aca="false">MIN(W300,N('Debt Payoff'!E14))</f>
        <v>0</v>
      </c>
      <c r="AF300" s="0" t="n">
        <f aca="false">MIN(X300,N('Debt Payoff'!E15))</f>
        <v>0</v>
      </c>
      <c r="AG300" s="0" t="n">
        <f aca="false">MIN(Y300,N('Debt Payoff'!E16))</f>
        <v>0</v>
      </c>
      <c r="AH300" s="0" t="n">
        <f aca="false">R300-Z300</f>
        <v>0</v>
      </c>
      <c r="AI300" s="0" t="n">
        <f aca="false">S300-AA300</f>
        <v>0</v>
      </c>
      <c r="AJ300" s="0" t="n">
        <f aca="false">T300-AB300</f>
        <v>0</v>
      </c>
      <c r="AK300" s="0" t="n">
        <f aca="false">U300-AC300</f>
        <v>0</v>
      </c>
      <c r="AL300" s="0" t="n">
        <f aca="false">V300-AD300</f>
        <v>0</v>
      </c>
      <c r="AM300" s="0" t="n">
        <f aca="false">W300-AE300</f>
        <v>0</v>
      </c>
      <c r="AN300" s="0" t="n">
        <f aca="false">X300-AF300</f>
        <v>0</v>
      </c>
      <c r="AO300" s="0" t="n">
        <f aca="false">Y300-AG300</f>
        <v>0</v>
      </c>
      <c r="AP300" s="0" t="n">
        <f aca="false">MAX(0,'Debt Payoff'!$D$17-SUM(Z300:AG300))</f>
        <v>805</v>
      </c>
      <c r="AQ300" s="0" t="n">
        <f aca="false">MIN(AH300,MAX(0,$AP300-SUMPRODUCT(($AH$1:$AO$1&lt;AH$1)*$AH300:$AO300)))</f>
        <v>0</v>
      </c>
      <c r="AR300" s="0" t="n">
        <f aca="false">MIN(AI300,MAX(0,$AP300-SUMPRODUCT(($AH$1:$AO$1&lt;AI$1)*$AH300:$AO300)))</f>
        <v>0</v>
      </c>
      <c r="AS300" s="0" t="n">
        <f aca="false">MIN(AJ300,MAX(0,$AP300-SUMPRODUCT(($AH$1:$AO$1&lt;AJ$1)*$AH300:$AO300)))</f>
        <v>0</v>
      </c>
      <c r="AT300" s="0" t="n">
        <f aca="false">MIN(AK300,MAX(0,$AP300-SUMPRODUCT(($AH$1:$AO$1&lt;AK$1)*$AH300:$AO300)))</f>
        <v>0</v>
      </c>
      <c r="AU300" s="0" t="n">
        <f aca="false">MIN(AL300,MAX(0,$AP300-SUMPRODUCT(($AH$1:$AO$1&lt;AL$1)*$AH300:$AO300)))</f>
        <v>0</v>
      </c>
      <c r="AV300" s="0" t="n">
        <f aca="false">MIN(AM300,MAX(0,$AP300-SUMPRODUCT(($AH$1:$AO$1&lt;AM$1)*$AH300:$AO300)))</f>
        <v>0</v>
      </c>
      <c r="AW300" s="0" t="n">
        <f aca="false">MIN(AN300,MAX(0,$AP300-SUMPRODUCT(($AH$1:$AO$1&lt;AN$1)*$AH300:$AO300)))</f>
        <v>0</v>
      </c>
      <c r="AX300" s="0" t="n">
        <f aca="false">MIN(AO300,MAX(0,$AP300-SUMPRODUCT(($AH$1:$AO$1&lt;AO$1)*$AH300:$AO300)))</f>
        <v>0</v>
      </c>
      <c r="AY300" s="0" t="n">
        <f aca="false">ROUND(AH300-AQ300,2)</f>
        <v>0</v>
      </c>
      <c r="AZ300" s="0" t="n">
        <f aca="false">ROUND(AI300-AR300,2)</f>
        <v>0</v>
      </c>
      <c r="BA300" s="0" t="n">
        <f aca="false">ROUND(AJ300-AS300,2)</f>
        <v>0</v>
      </c>
      <c r="BB300" s="0" t="n">
        <f aca="false">ROUND(AK300-AT300,2)</f>
        <v>0</v>
      </c>
      <c r="BC300" s="0" t="n">
        <f aca="false">ROUND(AL300-AU300,2)</f>
        <v>0</v>
      </c>
      <c r="BD300" s="0" t="n">
        <f aca="false">ROUND(AM300-AV300,2)</f>
        <v>0</v>
      </c>
      <c r="BE300" s="0" t="n">
        <f aca="false">ROUND(AN300-AW300,2)</f>
        <v>0</v>
      </c>
      <c r="BF300" s="0" t="n">
        <f aca="false">ROUND(AO300-AX300,2)</f>
        <v>0</v>
      </c>
      <c r="BG300" s="0" t="n">
        <f aca="false">SUM(AY300:BF300)</f>
        <v>0</v>
      </c>
    </row>
    <row r="301" customFormat="false" ht="15" hidden="false" customHeight="false" outlineLevel="0" collapsed="false">
      <c r="A301" s="0" t="n">
        <v>299</v>
      </c>
      <c r="B301" s="0" t="n">
        <f aca="false">AY300</f>
        <v>0</v>
      </c>
      <c r="C301" s="0" t="n">
        <f aca="false">AZ300</f>
        <v>0</v>
      </c>
      <c r="D301" s="0" t="n">
        <f aca="false">BA300</f>
        <v>0</v>
      </c>
      <c r="E301" s="0" t="n">
        <f aca="false">BB300</f>
        <v>0</v>
      </c>
      <c r="F301" s="0" t="n">
        <f aca="false">BC300</f>
        <v>0</v>
      </c>
      <c r="G301" s="0" t="n">
        <f aca="false">BD300</f>
        <v>0</v>
      </c>
      <c r="H301" s="0" t="n">
        <f aca="false">BE300</f>
        <v>0</v>
      </c>
      <c r="I301" s="0" t="n">
        <f aca="false">BF300</f>
        <v>0</v>
      </c>
      <c r="J301" s="0" t="n">
        <f aca="false">B301*N('Debt Payoff'!D9)/12</f>
        <v>0</v>
      </c>
      <c r="K301" s="0" t="n">
        <f aca="false">C301*N('Debt Payoff'!D10)/12</f>
        <v>0</v>
      </c>
      <c r="L301" s="0" t="n">
        <f aca="false">D301*N('Debt Payoff'!D11)/12</f>
        <v>0</v>
      </c>
      <c r="M301" s="0" t="n">
        <f aca="false">E301*N('Debt Payoff'!D12)/12</f>
        <v>0</v>
      </c>
      <c r="N301" s="0" t="n">
        <f aca="false">F301*N('Debt Payoff'!D13)/12</f>
        <v>0</v>
      </c>
      <c r="O301" s="0" t="n">
        <f aca="false">G301*N('Debt Payoff'!D14)/12</f>
        <v>0</v>
      </c>
      <c r="P301" s="0" t="n">
        <f aca="false">H301*N('Debt Payoff'!D15)/12</f>
        <v>0</v>
      </c>
      <c r="Q301" s="0" t="n">
        <f aca="false">I301*N('Debt Payoff'!D16)/12</f>
        <v>0</v>
      </c>
      <c r="R301" s="0" t="n">
        <f aca="false">B301+J301</f>
        <v>0</v>
      </c>
      <c r="S301" s="0" t="n">
        <f aca="false">C301+K301</f>
        <v>0</v>
      </c>
      <c r="T301" s="0" t="n">
        <f aca="false">D301+L301</f>
        <v>0</v>
      </c>
      <c r="U301" s="0" t="n">
        <f aca="false">E301+M301</f>
        <v>0</v>
      </c>
      <c r="V301" s="0" t="n">
        <f aca="false">F301+N301</f>
        <v>0</v>
      </c>
      <c r="W301" s="0" t="n">
        <f aca="false">G301+O301</f>
        <v>0</v>
      </c>
      <c r="X301" s="0" t="n">
        <f aca="false">H301+P301</f>
        <v>0</v>
      </c>
      <c r="Y301" s="0" t="n">
        <f aca="false">I301+Q301</f>
        <v>0</v>
      </c>
      <c r="Z301" s="0" t="n">
        <f aca="false">MIN(R301,N('Debt Payoff'!E9))</f>
        <v>0</v>
      </c>
      <c r="AA301" s="0" t="n">
        <f aca="false">MIN(S301,N('Debt Payoff'!E10))</f>
        <v>0</v>
      </c>
      <c r="AB301" s="0" t="n">
        <f aca="false">MIN(T301,N('Debt Payoff'!E11))</f>
        <v>0</v>
      </c>
      <c r="AC301" s="0" t="n">
        <f aca="false">MIN(U301,N('Debt Payoff'!E12))</f>
        <v>0</v>
      </c>
      <c r="AD301" s="0" t="n">
        <f aca="false">MIN(V301,N('Debt Payoff'!E13))</f>
        <v>0</v>
      </c>
      <c r="AE301" s="0" t="n">
        <f aca="false">MIN(W301,N('Debt Payoff'!E14))</f>
        <v>0</v>
      </c>
      <c r="AF301" s="0" t="n">
        <f aca="false">MIN(X301,N('Debt Payoff'!E15))</f>
        <v>0</v>
      </c>
      <c r="AG301" s="0" t="n">
        <f aca="false">MIN(Y301,N('Debt Payoff'!E16))</f>
        <v>0</v>
      </c>
      <c r="AH301" s="0" t="n">
        <f aca="false">R301-Z301</f>
        <v>0</v>
      </c>
      <c r="AI301" s="0" t="n">
        <f aca="false">S301-AA301</f>
        <v>0</v>
      </c>
      <c r="AJ301" s="0" t="n">
        <f aca="false">T301-AB301</f>
        <v>0</v>
      </c>
      <c r="AK301" s="0" t="n">
        <f aca="false">U301-AC301</f>
        <v>0</v>
      </c>
      <c r="AL301" s="0" t="n">
        <f aca="false">V301-AD301</f>
        <v>0</v>
      </c>
      <c r="AM301" s="0" t="n">
        <f aca="false">W301-AE301</f>
        <v>0</v>
      </c>
      <c r="AN301" s="0" t="n">
        <f aca="false">X301-AF301</f>
        <v>0</v>
      </c>
      <c r="AO301" s="0" t="n">
        <f aca="false">Y301-AG301</f>
        <v>0</v>
      </c>
      <c r="AP301" s="0" t="n">
        <f aca="false">MAX(0,'Debt Payoff'!$D$17-SUM(Z301:AG301))</f>
        <v>805</v>
      </c>
      <c r="AQ301" s="0" t="n">
        <f aca="false">MIN(AH301,MAX(0,$AP301-SUMPRODUCT(($AH$1:$AO$1&lt;AH$1)*$AH301:$AO301)))</f>
        <v>0</v>
      </c>
      <c r="AR301" s="0" t="n">
        <f aca="false">MIN(AI301,MAX(0,$AP301-SUMPRODUCT(($AH$1:$AO$1&lt;AI$1)*$AH301:$AO301)))</f>
        <v>0</v>
      </c>
      <c r="AS301" s="0" t="n">
        <f aca="false">MIN(AJ301,MAX(0,$AP301-SUMPRODUCT(($AH$1:$AO$1&lt;AJ$1)*$AH301:$AO301)))</f>
        <v>0</v>
      </c>
      <c r="AT301" s="0" t="n">
        <f aca="false">MIN(AK301,MAX(0,$AP301-SUMPRODUCT(($AH$1:$AO$1&lt;AK$1)*$AH301:$AO301)))</f>
        <v>0</v>
      </c>
      <c r="AU301" s="0" t="n">
        <f aca="false">MIN(AL301,MAX(0,$AP301-SUMPRODUCT(($AH$1:$AO$1&lt;AL$1)*$AH301:$AO301)))</f>
        <v>0</v>
      </c>
      <c r="AV301" s="0" t="n">
        <f aca="false">MIN(AM301,MAX(0,$AP301-SUMPRODUCT(($AH$1:$AO$1&lt;AM$1)*$AH301:$AO301)))</f>
        <v>0</v>
      </c>
      <c r="AW301" s="0" t="n">
        <f aca="false">MIN(AN301,MAX(0,$AP301-SUMPRODUCT(($AH$1:$AO$1&lt;AN$1)*$AH301:$AO301)))</f>
        <v>0</v>
      </c>
      <c r="AX301" s="0" t="n">
        <f aca="false">MIN(AO301,MAX(0,$AP301-SUMPRODUCT(($AH$1:$AO$1&lt;AO$1)*$AH301:$AO301)))</f>
        <v>0</v>
      </c>
      <c r="AY301" s="0" t="n">
        <f aca="false">ROUND(AH301-AQ301,2)</f>
        <v>0</v>
      </c>
      <c r="AZ301" s="0" t="n">
        <f aca="false">ROUND(AI301-AR301,2)</f>
        <v>0</v>
      </c>
      <c r="BA301" s="0" t="n">
        <f aca="false">ROUND(AJ301-AS301,2)</f>
        <v>0</v>
      </c>
      <c r="BB301" s="0" t="n">
        <f aca="false">ROUND(AK301-AT301,2)</f>
        <v>0</v>
      </c>
      <c r="BC301" s="0" t="n">
        <f aca="false">ROUND(AL301-AU301,2)</f>
        <v>0</v>
      </c>
      <c r="BD301" s="0" t="n">
        <f aca="false">ROUND(AM301-AV301,2)</f>
        <v>0</v>
      </c>
      <c r="BE301" s="0" t="n">
        <f aca="false">ROUND(AN301-AW301,2)</f>
        <v>0</v>
      </c>
      <c r="BF301" s="0" t="n">
        <f aca="false">ROUND(AO301-AX301,2)</f>
        <v>0</v>
      </c>
      <c r="BG301" s="0" t="n">
        <f aca="false">SUM(AY301:BF301)</f>
        <v>0</v>
      </c>
    </row>
    <row r="302" customFormat="false" ht="15" hidden="false" customHeight="false" outlineLevel="0" collapsed="false">
      <c r="A302" s="0" t="n">
        <v>300</v>
      </c>
      <c r="B302" s="0" t="n">
        <f aca="false">AY301</f>
        <v>0</v>
      </c>
      <c r="C302" s="0" t="n">
        <f aca="false">AZ301</f>
        <v>0</v>
      </c>
      <c r="D302" s="0" t="n">
        <f aca="false">BA301</f>
        <v>0</v>
      </c>
      <c r="E302" s="0" t="n">
        <f aca="false">BB301</f>
        <v>0</v>
      </c>
      <c r="F302" s="0" t="n">
        <f aca="false">BC301</f>
        <v>0</v>
      </c>
      <c r="G302" s="0" t="n">
        <f aca="false">BD301</f>
        <v>0</v>
      </c>
      <c r="H302" s="0" t="n">
        <f aca="false">BE301</f>
        <v>0</v>
      </c>
      <c r="I302" s="0" t="n">
        <f aca="false">BF301</f>
        <v>0</v>
      </c>
      <c r="J302" s="0" t="n">
        <f aca="false">B302*N('Debt Payoff'!D9)/12</f>
        <v>0</v>
      </c>
      <c r="K302" s="0" t="n">
        <f aca="false">C302*N('Debt Payoff'!D10)/12</f>
        <v>0</v>
      </c>
      <c r="L302" s="0" t="n">
        <f aca="false">D302*N('Debt Payoff'!D11)/12</f>
        <v>0</v>
      </c>
      <c r="M302" s="0" t="n">
        <f aca="false">E302*N('Debt Payoff'!D12)/12</f>
        <v>0</v>
      </c>
      <c r="N302" s="0" t="n">
        <f aca="false">F302*N('Debt Payoff'!D13)/12</f>
        <v>0</v>
      </c>
      <c r="O302" s="0" t="n">
        <f aca="false">G302*N('Debt Payoff'!D14)/12</f>
        <v>0</v>
      </c>
      <c r="P302" s="0" t="n">
        <f aca="false">H302*N('Debt Payoff'!D15)/12</f>
        <v>0</v>
      </c>
      <c r="Q302" s="0" t="n">
        <f aca="false">I302*N('Debt Payoff'!D16)/12</f>
        <v>0</v>
      </c>
      <c r="R302" s="0" t="n">
        <f aca="false">B302+J302</f>
        <v>0</v>
      </c>
      <c r="S302" s="0" t="n">
        <f aca="false">C302+K302</f>
        <v>0</v>
      </c>
      <c r="T302" s="0" t="n">
        <f aca="false">D302+L302</f>
        <v>0</v>
      </c>
      <c r="U302" s="0" t="n">
        <f aca="false">E302+M302</f>
        <v>0</v>
      </c>
      <c r="V302" s="0" t="n">
        <f aca="false">F302+N302</f>
        <v>0</v>
      </c>
      <c r="W302" s="0" t="n">
        <f aca="false">G302+O302</f>
        <v>0</v>
      </c>
      <c r="X302" s="0" t="n">
        <f aca="false">H302+P302</f>
        <v>0</v>
      </c>
      <c r="Y302" s="0" t="n">
        <f aca="false">I302+Q302</f>
        <v>0</v>
      </c>
      <c r="Z302" s="0" t="n">
        <f aca="false">MIN(R302,N('Debt Payoff'!E9))</f>
        <v>0</v>
      </c>
      <c r="AA302" s="0" t="n">
        <f aca="false">MIN(S302,N('Debt Payoff'!E10))</f>
        <v>0</v>
      </c>
      <c r="AB302" s="0" t="n">
        <f aca="false">MIN(T302,N('Debt Payoff'!E11))</f>
        <v>0</v>
      </c>
      <c r="AC302" s="0" t="n">
        <f aca="false">MIN(U302,N('Debt Payoff'!E12))</f>
        <v>0</v>
      </c>
      <c r="AD302" s="0" t="n">
        <f aca="false">MIN(V302,N('Debt Payoff'!E13))</f>
        <v>0</v>
      </c>
      <c r="AE302" s="0" t="n">
        <f aca="false">MIN(W302,N('Debt Payoff'!E14))</f>
        <v>0</v>
      </c>
      <c r="AF302" s="0" t="n">
        <f aca="false">MIN(X302,N('Debt Payoff'!E15))</f>
        <v>0</v>
      </c>
      <c r="AG302" s="0" t="n">
        <f aca="false">MIN(Y302,N('Debt Payoff'!E16))</f>
        <v>0</v>
      </c>
      <c r="AH302" s="0" t="n">
        <f aca="false">R302-Z302</f>
        <v>0</v>
      </c>
      <c r="AI302" s="0" t="n">
        <f aca="false">S302-AA302</f>
        <v>0</v>
      </c>
      <c r="AJ302" s="0" t="n">
        <f aca="false">T302-AB302</f>
        <v>0</v>
      </c>
      <c r="AK302" s="0" t="n">
        <f aca="false">U302-AC302</f>
        <v>0</v>
      </c>
      <c r="AL302" s="0" t="n">
        <f aca="false">V302-AD302</f>
        <v>0</v>
      </c>
      <c r="AM302" s="0" t="n">
        <f aca="false">W302-AE302</f>
        <v>0</v>
      </c>
      <c r="AN302" s="0" t="n">
        <f aca="false">X302-AF302</f>
        <v>0</v>
      </c>
      <c r="AO302" s="0" t="n">
        <f aca="false">Y302-AG302</f>
        <v>0</v>
      </c>
      <c r="AP302" s="0" t="n">
        <f aca="false">MAX(0,'Debt Payoff'!$D$17-SUM(Z302:AG302))</f>
        <v>805</v>
      </c>
      <c r="AQ302" s="0" t="n">
        <f aca="false">MIN(AH302,MAX(0,$AP302-SUMPRODUCT(($AH$1:$AO$1&lt;AH$1)*$AH302:$AO302)))</f>
        <v>0</v>
      </c>
      <c r="AR302" s="0" t="n">
        <f aca="false">MIN(AI302,MAX(0,$AP302-SUMPRODUCT(($AH$1:$AO$1&lt;AI$1)*$AH302:$AO302)))</f>
        <v>0</v>
      </c>
      <c r="AS302" s="0" t="n">
        <f aca="false">MIN(AJ302,MAX(0,$AP302-SUMPRODUCT(($AH$1:$AO$1&lt;AJ$1)*$AH302:$AO302)))</f>
        <v>0</v>
      </c>
      <c r="AT302" s="0" t="n">
        <f aca="false">MIN(AK302,MAX(0,$AP302-SUMPRODUCT(($AH$1:$AO$1&lt;AK$1)*$AH302:$AO302)))</f>
        <v>0</v>
      </c>
      <c r="AU302" s="0" t="n">
        <f aca="false">MIN(AL302,MAX(0,$AP302-SUMPRODUCT(($AH$1:$AO$1&lt;AL$1)*$AH302:$AO302)))</f>
        <v>0</v>
      </c>
      <c r="AV302" s="0" t="n">
        <f aca="false">MIN(AM302,MAX(0,$AP302-SUMPRODUCT(($AH$1:$AO$1&lt;AM$1)*$AH302:$AO302)))</f>
        <v>0</v>
      </c>
      <c r="AW302" s="0" t="n">
        <f aca="false">MIN(AN302,MAX(0,$AP302-SUMPRODUCT(($AH$1:$AO$1&lt;AN$1)*$AH302:$AO302)))</f>
        <v>0</v>
      </c>
      <c r="AX302" s="0" t="n">
        <f aca="false">MIN(AO302,MAX(0,$AP302-SUMPRODUCT(($AH$1:$AO$1&lt;AO$1)*$AH302:$AO302)))</f>
        <v>0</v>
      </c>
      <c r="AY302" s="0" t="n">
        <f aca="false">ROUND(AH302-AQ302,2)</f>
        <v>0</v>
      </c>
      <c r="AZ302" s="0" t="n">
        <f aca="false">ROUND(AI302-AR302,2)</f>
        <v>0</v>
      </c>
      <c r="BA302" s="0" t="n">
        <f aca="false">ROUND(AJ302-AS302,2)</f>
        <v>0</v>
      </c>
      <c r="BB302" s="0" t="n">
        <f aca="false">ROUND(AK302-AT302,2)</f>
        <v>0</v>
      </c>
      <c r="BC302" s="0" t="n">
        <f aca="false">ROUND(AL302-AU302,2)</f>
        <v>0</v>
      </c>
      <c r="BD302" s="0" t="n">
        <f aca="false">ROUND(AM302-AV302,2)</f>
        <v>0</v>
      </c>
      <c r="BE302" s="0" t="n">
        <f aca="false">ROUND(AN302-AW302,2)</f>
        <v>0</v>
      </c>
      <c r="BF302" s="0" t="n">
        <f aca="false">ROUND(AO302-AX302,2)</f>
        <v>0</v>
      </c>
      <c r="BG302" s="0" t="n">
        <f aca="false">SUM(AY302:BF302)</f>
        <v>0</v>
      </c>
    </row>
    <row r="303" customFormat="false" ht="15" hidden="false" customHeight="false" outlineLevel="0" collapsed="false">
      <c r="A303" s="0" t="n">
        <v>301</v>
      </c>
      <c r="B303" s="0" t="n">
        <f aca="false">AY302</f>
        <v>0</v>
      </c>
      <c r="C303" s="0" t="n">
        <f aca="false">AZ302</f>
        <v>0</v>
      </c>
      <c r="D303" s="0" t="n">
        <f aca="false">BA302</f>
        <v>0</v>
      </c>
      <c r="E303" s="0" t="n">
        <f aca="false">BB302</f>
        <v>0</v>
      </c>
      <c r="F303" s="0" t="n">
        <f aca="false">BC302</f>
        <v>0</v>
      </c>
      <c r="G303" s="0" t="n">
        <f aca="false">BD302</f>
        <v>0</v>
      </c>
      <c r="H303" s="0" t="n">
        <f aca="false">BE302</f>
        <v>0</v>
      </c>
      <c r="I303" s="0" t="n">
        <f aca="false">BF302</f>
        <v>0</v>
      </c>
      <c r="J303" s="0" t="n">
        <f aca="false">B303*N('Debt Payoff'!D9)/12</f>
        <v>0</v>
      </c>
      <c r="K303" s="0" t="n">
        <f aca="false">C303*N('Debt Payoff'!D10)/12</f>
        <v>0</v>
      </c>
      <c r="L303" s="0" t="n">
        <f aca="false">D303*N('Debt Payoff'!D11)/12</f>
        <v>0</v>
      </c>
      <c r="M303" s="0" t="n">
        <f aca="false">E303*N('Debt Payoff'!D12)/12</f>
        <v>0</v>
      </c>
      <c r="N303" s="0" t="n">
        <f aca="false">F303*N('Debt Payoff'!D13)/12</f>
        <v>0</v>
      </c>
      <c r="O303" s="0" t="n">
        <f aca="false">G303*N('Debt Payoff'!D14)/12</f>
        <v>0</v>
      </c>
      <c r="P303" s="0" t="n">
        <f aca="false">H303*N('Debt Payoff'!D15)/12</f>
        <v>0</v>
      </c>
      <c r="Q303" s="0" t="n">
        <f aca="false">I303*N('Debt Payoff'!D16)/12</f>
        <v>0</v>
      </c>
      <c r="R303" s="0" t="n">
        <f aca="false">B303+J303</f>
        <v>0</v>
      </c>
      <c r="S303" s="0" t="n">
        <f aca="false">C303+K303</f>
        <v>0</v>
      </c>
      <c r="T303" s="0" t="n">
        <f aca="false">D303+L303</f>
        <v>0</v>
      </c>
      <c r="U303" s="0" t="n">
        <f aca="false">E303+M303</f>
        <v>0</v>
      </c>
      <c r="V303" s="0" t="n">
        <f aca="false">F303+N303</f>
        <v>0</v>
      </c>
      <c r="W303" s="0" t="n">
        <f aca="false">G303+O303</f>
        <v>0</v>
      </c>
      <c r="X303" s="0" t="n">
        <f aca="false">H303+P303</f>
        <v>0</v>
      </c>
      <c r="Y303" s="0" t="n">
        <f aca="false">I303+Q303</f>
        <v>0</v>
      </c>
      <c r="Z303" s="0" t="n">
        <f aca="false">MIN(R303,N('Debt Payoff'!E9))</f>
        <v>0</v>
      </c>
      <c r="AA303" s="0" t="n">
        <f aca="false">MIN(S303,N('Debt Payoff'!E10))</f>
        <v>0</v>
      </c>
      <c r="AB303" s="0" t="n">
        <f aca="false">MIN(T303,N('Debt Payoff'!E11))</f>
        <v>0</v>
      </c>
      <c r="AC303" s="0" t="n">
        <f aca="false">MIN(U303,N('Debt Payoff'!E12))</f>
        <v>0</v>
      </c>
      <c r="AD303" s="0" t="n">
        <f aca="false">MIN(V303,N('Debt Payoff'!E13))</f>
        <v>0</v>
      </c>
      <c r="AE303" s="0" t="n">
        <f aca="false">MIN(W303,N('Debt Payoff'!E14))</f>
        <v>0</v>
      </c>
      <c r="AF303" s="0" t="n">
        <f aca="false">MIN(X303,N('Debt Payoff'!E15))</f>
        <v>0</v>
      </c>
      <c r="AG303" s="0" t="n">
        <f aca="false">MIN(Y303,N('Debt Payoff'!E16))</f>
        <v>0</v>
      </c>
      <c r="AH303" s="0" t="n">
        <f aca="false">R303-Z303</f>
        <v>0</v>
      </c>
      <c r="AI303" s="0" t="n">
        <f aca="false">S303-AA303</f>
        <v>0</v>
      </c>
      <c r="AJ303" s="0" t="n">
        <f aca="false">T303-AB303</f>
        <v>0</v>
      </c>
      <c r="AK303" s="0" t="n">
        <f aca="false">U303-AC303</f>
        <v>0</v>
      </c>
      <c r="AL303" s="0" t="n">
        <f aca="false">V303-AD303</f>
        <v>0</v>
      </c>
      <c r="AM303" s="0" t="n">
        <f aca="false">W303-AE303</f>
        <v>0</v>
      </c>
      <c r="AN303" s="0" t="n">
        <f aca="false">X303-AF303</f>
        <v>0</v>
      </c>
      <c r="AO303" s="0" t="n">
        <f aca="false">Y303-AG303</f>
        <v>0</v>
      </c>
      <c r="AP303" s="0" t="n">
        <f aca="false">MAX(0,'Debt Payoff'!$D$17-SUM(Z303:AG303))</f>
        <v>805</v>
      </c>
      <c r="AQ303" s="0" t="n">
        <f aca="false">MIN(AH303,MAX(0,$AP303-SUMPRODUCT(($AH$1:$AO$1&lt;AH$1)*$AH303:$AO303)))</f>
        <v>0</v>
      </c>
      <c r="AR303" s="0" t="n">
        <f aca="false">MIN(AI303,MAX(0,$AP303-SUMPRODUCT(($AH$1:$AO$1&lt;AI$1)*$AH303:$AO303)))</f>
        <v>0</v>
      </c>
      <c r="AS303" s="0" t="n">
        <f aca="false">MIN(AJ303,MAX(0,$AP303-SUMPRODUCT(($AH$1:$AO$1&lt;AJ$1)*$AH303:$AO303)))</f>
        <v>0</v>
      </c>
      <c r="AT303" s="0" t="n">
        <f aca="false">MIN(AK303,MAX(0,$AP303-SUMPRODUCT(($AH$1:$AO$1&lt;AK$1)*$AH303:$AO303)))</f>
        <v>0</v>
      </c>
      <c r="AU303" s="0" t="n">
        <f aca="false">MIN(AL303,MAX(0,$AP303-SUMPRODUCT(($AH$1:$AO$1&lt;AL$1)*$AH303:$AO303)))</f>
        <v>0</v>
      </c>
      <c r="AV303" s="0" t="n">
        <f aca="false">MIN(AM303,MAX(0,$AP303-SUMPRODUCT(($AH$1:$AO$1&lt;AM$1)*$AH303:$AO303)))</f>
        <v>0</v>
      </c>
      <c r="AW303" s="0" t="n">
        <f aca="false">MIN(AN303,MAX(0,$AP303-SUMPRODUCT(($AH$1:$AO$1&lt;AN$1)*$AH303:$AO303)))</f>
        <v>0</v>
      </c>
      <c r="AX303" s="0" t="n">
        <f aca="false">MIN(AO303,MAX(0,$AP303-SUMPRODUCT(($AH$1:$AO$1&lt;AO$1)*$AH303:$AO303)))</f>
        <v>0</v>
      </c>
      <c r="AY303" s="0" t="n">
        <f aca="false">ROUND(AH303-AQ303,2)</f>
        <v>0</v>
      </c>
      <c r="AZ303" s="0" t="n">
        <f aca="false">ROUND(AI303-AR303,2)</f>
        <v>0</v>
      </c>
      <c r="BA303" s="0" t="n">
        <f aca="false">ROUND(AJ303-AS303,2)</f>
        <v>0</v>
      </c>
      <c r="BB303" s="0" t="n">
        <f aca="false">ROUND(AK303-AT303,2)</f>
        <v>0</v>
      </c>
      <c r="BC303" s="0" t="n">
        <f aca="false">ROUND(AL303-AU303,2)</f>
        <v>0</v>
      </c>
      <c r="BD303" s="0" t="n">
        <f aca="false">ROUND(AM303-AV303,2)</f>
        <v>0</v>
      </c>
      <c r="BE303" s="0" t="n">
        <f aca="false">ROUND(AN303-AW303,2)</f>
        <v>0</v>
      </c>
      <c r="BF303" s="0" t="n">
        <f aca="false">ROUND(AO303-AX303,2)</f>
        <v>0</v>
      </c>
      <c r="BG303" s="0" t="n">
        <f aca="false">SUM(AY303:BF303)</f>
        <v>0</v>
      </c>
    </row>
    <row r="304" customFormat="false" ht="15" hidden="false" customHeight="false" outlineLevel="0" collapsed="false">
      <c r="A304" s="0" t="n">
        <v>302</v>
      </c>
      <c r="B304" s="0" t="n">
        <f aca="false">AY303</f>
        <v>0</v>
      </c>
      <c r="C304" s="0" t="n">
        <f aca="false">AZ303</f>
        <v>0</v>
      </c>
      <c r="D304" s="0" t="n">
        <f aca="false">BA303</f>
        <v>0</v>
      </c>
      <c r="E304" s="0" t="n">
        <f aca="false">BB303</f>
        <v>0</v>
      </c>
      <c r="F304" s="0" t="n">
        <f aca="false">BC303</f>
        <v>0</v>
      </c>
      <c r="G304" s="0" t="n">
        <f aca="false">BD303</f>
        <v>0</v>
      </c>
      <c r="H304" s="0" t="n">
        <f aca="false">BE303</f>
        <v>0</v>
      </c>
      <c r="I304" s="0" t="n">
        <f aca="false">BF303</f>
        <v>0</v>
      </c>
      <c r="J304" s="0" t="n">
        <f aca="false">B304*N('Debt Payoff'!D9)/12</f>
        <v>0</v>
      </c>
      <c r="K304" s="0" t="n">
        <f aca="false">C304*N('Debt Payoff'!D10)/12</f>
        <v>0</v>
      </c>
      <c r="L304" s="0" t="n">
        <f aca="false">D304*N('Debt Payoff'!D11)/12</f>
        <v>0</v>
      </c>
      <c r="M304" s="0" t="n">
        <f aca="false">E304*N('Debt Payoff'!D12)/12</f>
        <v>0</v>
      </c>
      <c r="N304" s="0" t="n">
        <f aca="false">F304*N('Debt Payoff'!D13)/12</f>
        <v>0</v>
      </c>
      <c r="O304" s="0" t="n">
        <f aca="false">G304*N('Debt Payoff'!D14)/12</f>
        <v>0</v>
      </c>
      <c r="P304" s="0" t="n">
        <f aca="false">H304*N('Debt Payoff'!D15)/12</f>
        <v>0</v>
      </c>
      <c r="Q304" s="0" t="n">
        <f aca="false">I304*N('Debt Payoff'!D16)/12</f>
        <v>0</v>
      </c>
      <c r="R304" s="0" t="n">
        <f aca="false">B304+J304</f>
        <v>0</v>
      </c>
      <c r="S304" s="0" t="n">
        <f aca="false">C304+K304</f>
        <v>0</v>
      </c>
      <c r="T304" s="0" t="n">
        <f aca="false">D304+L304</f>
        <v>0</v>
      </c>
      <c r="U304" s="0" t="n">
        <f aca="false">E304+M304</f>
        <v>0</v>
      </c>
      <c r="V304" s="0" t="n">
        <f aca="false">F304+N304</f>
        <v>0</v>
      </c>
      <c r="W304" s="0" t="n">
        <f aca="false">G304+O304</f>
        <v>0</v>
      </c>
      <c r="X304" s="0" t="n">
        <f aca="false">H304+P304</f>
        <v>0</v>
      </c>
      <c r="Y304" s="0" t="n">
        <f aca="false">I304+Q304</f>
        <v>0</v>
      </c>
      <c r="Z304" s="0" t="n">
        <f aca="false">MIN(R304,N('Debt Payoff'!E9))</f>
        <v>0</v>
      </c>
      <c r="AA304" s="0" t="n">
        <f aca="false">MIN(S304,N('Debt Payoff'!E10))</f>
        <v>0</v>
      </c>
      <c r="AB304" s="0" t="n">
        <f aca="false">MIN(T304,N('Debt Payoff'!E11))</f>
        <v>0</v>
      </c>
      <c r="AC304" s="0" t="n">
        <f aca="false">MIN(U304,N('Debt Payoff'!E12))</f>
        <v>0</v>
      </c>
      <c r="AD304" s="0" t="n">
        <f aca="false">MIN(V304,N('Debt Payoff'!E13))</f>
        <v>0</v>
      </c>
      <c r="AE304" s="0" t="n">
        <f aca="false">MIN(W304,N('Debt Payoff'!E14))</f>
        <v>0</v>
      </c>
      <c r="AF304" s="0" t="n">
        <f aca="false">MIN(X304,N('Debt Payoff'!E15))</f>
        <v>0</v>
      </c>
      <c r="AG304" s="0" t="n">
        <f aca="false">MIN(Y304,N('Debt Payoff'!E16))</f>
        <v>0</v>
      </c>
      <c r="AH304" s="0" t="n">
        <f aca="false">R304-Z304</f>
        <v>0</v>
      </c>
      <c r="AI304" s="0" t="n">
        <f aca="false">S304-AA304</f>
        <v>0</v>
      </c>
      <c r="AJ304" s="0" t="n">
        <f aca="false">T304-AB304</f>
        <v>0</v>
      </c>
      <c r="AK304" s="0" t="n">
        <f aca="false">U304-AC304</f>
        <v>0</v>
      </c>
      <c r="AL304" s="0" t="n">
        <f aca="false">V304-AD304</f>
        <v>0</v>
      </c>
      <c r="AM304" s="0" t="n">
        <f aca="false">W304-AE304</f>
        <v>0</v>
      </c>
      <c r="AN304" s="0" t="n">
        <f aca="false">X304-AF304</f>
        <v>0</v>
      </c>
      <c r="AO304" s="0" t="n">
        <f aca="false">Y304-AG304</f>
        <v>0</v>
      </c>
      <c r="AP304" s="0" t="n">
        <f aca="false">MAX(0,'Debt Payoff'!$D$17-SUM(Z304:AG304))</f>
        <v>805</v>
      </c>
      <c r="AQ304" s="0" t="n">
        <f aca="false">MIN(AH304,MAX(0,$AP304-SUMPRODUCT(($AH$1:$AO$1&lt;AH$1)*$AH304:$AO304)))</f>
        <v>0</v>
      </c>
      <c r="AR304" s="0" t="n">
        <f aca="false">MIN(AI304,MAX(0,$AP304-SUMPRODUCT(($AH$1:$AO$1&lt;AI$1)*$AH304:$AO304)))</f>
        <v>0</v>
      </c>
      <c r="AS304" s="0" t="n">
        <f aca="false">MIN(AJ304,MAX(0,$AP304-SUMPRODUCT(($AH$1:$AO$1&lt;AJ$1)*$AH304:$AO304)))</f>
        <v>0</v>
      </c>
      <c r="AT304" s="0" t="n">
        <f aca="false">MIN(AK304,MAX(0,$AP304-SUMPRODUCT(($AH$1:$AO$1&lt;AK$1)*$AH304:$AO304)))</f>
        <v>0</v>
      </c>
      <c r="AU304" s="0" t="n">
        <f aca="false">MIN(AL304,MAX(0,$AP304-SUMPRODUCT(($AH$1:$AO$1&lt;AL$1)*$AH304:$AO304)))</f>
        <v>0</v>
      </c>
      <c r="AV304" s="0" t="n">
        <f aca="false">MIN(AM304,MAX(0,$AP304-SUMPRODUCT(($AH$1:$AO$1&lt;AM$1)*$AH304:$AO304)))</f>
        <v>0</v>
      </c>
      <c r="AW304" s="0" t="n">
        <f aca="false">MIN(AN304,MAX(0,$AP304-SUMPRODUCT(($AH$1:$AO$1&lt;AN$1)*$AH304:$AO304)))</f>
        <v>0</v>
      </c>
      <c r="AX304" s="0" t="n">
        <f aca="false">MIN(AO304,MAX(0,$AP304-SUMPRODUCT(($AH$1:$AO$1&lt;AO$1)*$AH304:$AO304)))</f>
        <v>0</v>
      </c>
      <c r="AY304" s="0" t="n">
        <f aca="false">ROUND(AH304-AQ304,2)</f>
        <v>0</v>
      </c>
      <c r="AZ304" s="0" t="n">
        <f aca="false">ROUND(AI304-AR304,2)</f>
        <v>0</v>
      </c>
      <c r="BA304" s="0" t="n">
        <f aca="false">ROUND(AJ304-AS304,2)</f>
        <v>0</v>
      </c>
      <c r="BB304" s="0" t="n">
        <f aca="false">ROUND(AK304-AT304,2)</f>
        <v>0</v>
      </c>
      <c r="BC304" s="0" t="n">
        <f aca="false">ROUND(AL304-AU304,2)</f>
        <v>0</v>
      </c>
      <c r="BD304" s="0" t="n">
        <f aca="false">ROUND(AM304-AV304,2)</f>
        <v>0</v>
      </c>
      <c r="BE304" s="0" t="n">
        <f aca="false">ROUND(AN304-AW304,2)</f>
        <v>0</v>
      </c>
      <c r="BF304" s="0" t="n">
        <f aca="false">ROUND(AO304-AX304,2)</f>
        <v>0</v>
      </c>
      <c r="BG304" s="0" t="n">
        <f aca="false">SUM(AY304:BF304)</f>
        <v>0</v>
      </c>
    </row>
    <row r="305" customFormat="false" ht="15" hidden="false" customHeight="false" outlineLevel="0" collapsed="false">
      <c r="A305" s="0" t="n">
        <v>303</v>
      </c>
      <c r="B305" s="0" t="n">
        <f aca="false">AY304</f>
        <v>0</v>
      </c>
      <c r="C305" s="0" t="n">
        <f aca="false">AZ304</f>
        <v>0</v>
      </c>
      <c r="D305" s="0" t="n">
        <f aca="false">BA304</f>
        <v>0</v>
      </c>
      <c r="E305" s="0" t="n">
        <f aca="false">BB304</f>
        <v>0</v>
      </c>
      <c r="F305" s="0" t="n">
        <f aca="false">BC304</f>
        <v>0</v>
      </c>
      <c r="G305" s="0" t="n">
        <f aca="false">BD304</f>
        <v>0</v>
      </c>
      <c r="H305" s="0" t="n">
        <f aca="false">BE304</f>
        <v>0</v>
      </c>
      <c r="I305" s="0" t="n">
        <f aca="false">BF304</f>
        <v>0</v>
      </c>
      <c r="J305" s="0" t="n">
        <f aca="false">B305*N('Debt Payoff'!D9)/12</f>
        <v>0</v>
      </c>
      <c r="K305" s="0" t="n">
        <f aca="false">C305*N('Debt Payoff'!D10)/12</f>
        <v>0</v>
      </c>
      <c r="L305" s="0" t="n">
        <f aca="false">D305*N('Debt Payoff'!D11)/12</f>
        <v>0</v>
      </c>
      <c r="M305" s="0" t="n">
        <f aca="false">E305*N('Debt Payoff'!D12)/12</f>
        <v>0</v>
      </c>
      <c r="N305" s="0" t="n">
        <f aca="false">F305*N('Debt Payoff'!D13)/12</f>
        <v>0</v>
      </c>
      <c r="O305" s="0" t="n">
        <f aca="false">G305*N('Debt Payoff'!D14)/12</f>
        <v>0</v>
      </c>
      <c r="P305" s="0" t="n">
        <f aca="false">H305*N('Debt Payoff'!D15)/12</f>
        <v>0</v>
      </c>
      <c r="Q305" s="0" t="n">
        <f aca="false">I305*N('Debt Payoff'!D16)/12</f>
        <v>0</v>
      </c>
      <c r="R305" s="0" t="n">
        <f aca="false">B305+J305</f>
        <v>0</v>
      </c>
      <c r="S305" s="0" t="n">
        <f aca="false">C305+K305</f>
        <v>0</v>
      </c>
      <c r="T305" s="0" t="n">
        <f aca="false">D305+L305</f>
        <v>0</v>
      </c>
      <c r="U305" s="0" t="n">
        <f aca="false">E305+M305</f>
        <v>0</v>
      </c>
      <c r="V305" s="0" t="n">
        <f aca="false">F305+N305</f>
        <v>0</v>
      </c>
      <c r="W305" s="0" t="n">
        <f aca="false">G305+O305</f>
        <v>0</v>
      </c>
      <c r="X305" s="0" t="n">
        <f aca="false">H305+P305</f>
        <v>0</v>
      </c>
      <c r="Y305" s="0" t="n">
        <f aca="false">I305+Q305</f>
        <v>0</v>
      </c>
      <c r="Z305" s="0" t="n">
        <f aca="false">MIN(R305,N('Debt Payoff'!E9))</f>
        <v>0</v>
      </c>
      <c r="AA305" s="0" t="n">
        <f aca="false">MIN(S305,N('Debt Payoff'!E10))</f>
        <v>0</v>
      </c>
      <c r="AB305" s="0" t="n">
        <f aca="false">MIN(T305,N('Debt Payoff'!E11))</f>
        <v>0</v>
      </c>
      <c r="AC305" s="0" t="n">
        <f aca="false">MIN(U305,N('Debt Payoff'!E12))</f>
        <v>0</v>
      </c>
      <c r="AD305" s="0" t="n">
        <f aca="false">MIN(V305,N('Debt Payoff'!E13))</f>
        <v>0</v>
      </c>
      <c r="AE305" s="0" t="n">
        <f aca="false">MIN(W305,N('Debt Payoff'!E14))</f>
        <v>0</v>
      </c>
      <c r="AF305" s="0" t="n">
        <f aca="false">MIN(X305,N('Debt Payoff'!E15))</f>
        <v>0</v>
      </c>
      <c r="AG305" s="0" t="n">
        <f aca="false">MIN(Y305,N('Debt Payoff'!E16))</f>
        <v>0</v>
      </c>
      <c r="AH305" s="0" t="n">
        <f aca="false">R305-Z305</f>
        <v>0</v>
      </c>
      <c r="AI305" s="0" t="n">
        <f aca="false">S305-AA305</f>
        <v>0</v>
      </c>
      <c r="AJ305" s="0" t="n">
        <f aca="false">T305-AB305</f>
        <v>0</v>
      </c>
      <c r="AK305" s="0" t="n">
        <f aca="false">U305-AC305</f>
        <v>0</v>
      </c>
      <c r="AL305" s="0" t="n">
        <f aca="false">V305-AD305</f>
        <v>0</v>
      </c>
      <c r="AM305" s="0" t="n">
        <f aca="false">W305-AE305</f>
        <v>0</v>
      </c>
      <c r="AN305" s="0" t="n">
        <f aca="false">X305-AF305</f>
        <v>0</v>
      </c>
      <c r="AO305" s="0" t="n">
        <f aca="false">Y305-AG305</f>
        <v>0</v>
      </c>
      <c r="AP305" s="0" t="n">
        <f aca="false">MAX(0,'Debt Payoff'!$D$17-SUM(Z305:AG305))</f>
        <v>805</v>
      </c>
      <c r="AQ305" s="0" t="n">
        <f aca="false">MIN(AH305,MAX(0,$AP305-SUMPRODUCT(($AH$1:$AO$1&lt;AH$1)*$AH305:$AO305)))</f>
        <v>0</v>
      </c>
      <c r="AR305" s="0" t="n">
        <f aca="false">MIN(AI305,MAX(0,$AP305-SUMPRODUCT(($AH$1:$AO$1&lt;AI$1)*$AH305:$AO305)))</f>
        <v>0</v>
      </c>
      <c r="AS305" s="0" t="n">
        <f aca="false">MIN(AJ305,MAX(0,$AP305-SUMPRODUCT(($AH$1:$AO$1&lt;AJ$1)*$AH305:$AO305)))</f>
        <v>0</v>
      </c>
      <c r="AT305" s="0" t="n">
        <f aca="false">MIN(AK305,MAX(0,$AP305-SUMPRODUCT(($AH$1:$AO$1&lt;AK$1)*$AH305:$AO305)))</f>
        <v>0</v>
      </c>
      <c r="AU305" s="0" t="n">
        <f aca="false">MIN(AL305,MAX(0,$AP305-SUMPRODUCT(($AH$1:$AO$1&lt;AL$1)*$AH305:$AO305)))</f>
        <v>0</v>
      </c>
      <c r="AV305" s="0" t="n">
        <f aca="false">MIN(AM305,MAX(0,$AP305-SUMPRODUCT(($AH$1:$AO$1&lt;AM$1)*$AH305:$AO305)))</f>
        <v>0</v>
      </c>
      <c r="AW305" s="0" t="n">
        <f aca="false">MIN(AN305,MAX(0,$AP305-SUMPRODUCT(($AH$1:$AO$1&lt;AN$1)*$AH305:$AO305)))</f>
        <v>0</v>
      </c>
      <c r="AX305" s="0" t="n">
        <f aca="false">MIN(AO305,MAX(0,$AP305-SUMPRODUCT(($AH$1:$AO$1&lt;AO$1)*$AH305:$AO305)))</f>
        <v>0</v>
      </c>
      <c r="AY305" s="0" t="n">
        <f aca="false">ROUND(AH305-AQ305,2)</f>
        <v>0</v>
      </c>
      <c r="AZ305" s="0" t="n">
        <f aca="false">ROUND(AI305-AR305,2)</f>
        <v>0</v>
      </c>
      <c r="BA305" s="0" t="n">
        <f aca="false">ROUND(AJ305-AS305,2)</f>
        <v>0</v>
      </c>
      <c r="BB305" s="0" t="n">
        <f aca="false">ROUND(AK305-AT305,2)</f>
        <v>0</v>
      </c>
      <c r="BC305" s="0" t="n">
        <f aca="false">ROUND(AL305-AU305,2)</f>
        <v>0</v>
      </c>
      <c r="BD305" s="0" t="n">
        <f aca="false">ROUND(AM305-AV305,2)</f>
        <v>0</v>
      </c>
      <c r="BE305" s="0" t="n">
        <f aca="false">ROUND(AN305-AW305,2)</f>
        <v>0</v>
      </c>
      <c r="BF305" s="0" t="n">
        <f aca="false">ROUND(AO305-AX305,2)</f>
        <v>0</v>
      </c>
      <c r="BG305" s="0" t="n">
        <f aca="false">SUM(AY305:BF305)</f>
        <v>0</v>
      </c>
    </row>
    <row r="306" customFormat="false" ht="15" hidden="false" customHeight="false" outlineLevel="0" collapsed="false">
      <c r="A306" s="0" t="n">
        <v>304</v>
      </c>
      <c r="B306" s="0" t="n">
        <f aca="false">AY305</f>
        <v>0</v>
      </c>
      <c r="C306" s="0" t="n">
        <f aca="false">AZ305</f>
        <v>0</v>
      </c>
      <c r="D306" s="0" t="n">
        <f aca="false">BA305</f>
        <v>0</v>
      </c>
      <c r="E306" s="0" t="n">
        <f aca="false">BB305</f>
        <v>0</v>
      </c>
      <c r="F306" s="0" t="n">
        <f aca="false">BC305</f>
        <v>0</v>
      </c>
      <c r="G306" s="0" t="n">
        <f aca="false">BD305</f>
        <v>0</v>
      </c>
      <c r="H306" s="0" t="n">
        <f aca="false">BE305</f>
        <v>0</v>
      </c>
      <c r="I306" s="0" t="n">
        <f aca="false">BF305</f>
        <v>0</v>
      </c>
      <c r="J306" s="0" t="n">
        <f aca="false">B306*N('Debt Payoff'!D9)/12</f>
        <v>0</v>
      </c>
      <c r="K306" s="0" t="n">
        <f aca="false">C306*N('Debt Payoff'!D10)/12</f>
        <v>0</v>
      </c>
      <c r="L306" s="0" t="n">
        <f aca="false">D306*N('Debt Payoff'!D11)/12</f>
        <v>0</v>
      </c>
      <c r="M306" s="0" t="n">
        <f aca="false">E306*N('Debt Payoff'!D12)/12</f>
        <v>0</v>
      </c>
      <c r="N306" s="0" t="n">
        <f aca="false">F306*N('Debt Payoff'!D13)/12</f>
        <v>0</v>
      </c>
      <c r="O306" s="0" t="n">
        <f aca="false">G306*N('Debt Payoff'!D14)/12</f>
        <v>0</v>
      </c>
      <c r="P306" s="0" t="n">
        <f aca="false">H306*N('Debt Payoff'!D15)/12</f>
        <v>0</v>
      </c>
      <c r="Q306" s="0" t="n">
        <f aca="false">I306*N('Debt Payoff'!D16)/12</f>
        <v>0</v>
      </c>
      <c r="R306" s="0" t="n">
        <f aca="false">B306+J306</f>
        <v>0</v>
      </c>
      <c r="S306" s="0" t="n">
        <f aca="false">C306+K306</f>
        <v>0</v>
      </c>
      <c r="T306" s="0" t="n">
        <f aca="false">D306+L306</f>
        <v>0</v>
      </c>
      <c r="U306" s="0" t="n">
        <f aca="false">E306+M306</f>
        <v>0</v>
      </c>
      <c r="V306" s="0" t="n">
        <f aca="false">F306+N306</f>
        <v>0</v>
      </c>
      <c r="W306" s="0" t="n">
        <f aca="false">G306+O306</f>
        <v>0</v>
      </c>
      <c r="X306" s="0" t="n">
        <f aca="false">H306+P306</f>
        <v>0</v>
      </c>
      <c r="Y306" s="0" t="n">
        <f aca="false">I306+Q306</f>
        <v>0</v>
      </c>
      <c r="Z306" s="0" t="n">
        <f aca="false">MIN(R306,N('Debt Payoff'!E9))</f>
        <v>0</v>
      </c>
      <c r="AA306" s="0" t="n">
        <f aca="false">MIN(S306,N('Debt Payoff'!E10))</f>
        <v>0</v>
      </c>
      <c r="AB306" s="0" t="n">
        <f aca="false">MIN(T306,N('Debt Payoff'!E11))</f>
        <v>0</v>
      </c>
      <c r="AC306" s="0" t="n">
        <f aca="false">MIN(U306,N('Debt Payoff'!E12))</f>
        <v>0</v>
      </c>
      <c r="AD306" s="0" t="n">
        <f aca="false">MIN(V306,N('Debt Payoff'!E13))</f>
        <v>0</v>
      </c>
      <c r="AE306" s="0" t="n">
        <f aca="false">MIN(W306,N('Debt Payoff'!E14))</f>
        <v>0</v>
      </c>
      <c r="AF306" s="0" t="n">
        <f aca="false">MIN(X306,N('Debt Payoff'!E15))</f>
        <v>0</v>
      </c>
      <c r="AG306" s="0" t="n">
        <f aca="false">MIN(Y306,N('Debt Payoff'!E16))</f>
        <v>0</v>
      </c>
      <c r="AH306" s="0" t="n">
        <f aca="false">R306-Z306</f>
        <v>0</v>
      </c>
      <c r="AI306" s="0" t="n">
        <f aca="false">S306-AA306</f>
        <v>0</v>
      </c>
      <c r="AJ306" s="0" t="n">
        <f aca="false">T306-AB306</f>
        <v>0</v>
      </c>
      <c r="AK306" s="0" t="n">
        <f aca="false">U306-AC306</f>
        <v>0</v>
      </c>
      <c r="AL306" s="0" t="n">
        <f aca="false">V306-AD306</f>
        <v>0</v>
      </c>
      <c r="AM306" s="0" t="n">
        <f aca="false">W306-AE306</f>
        <v>0</v>
      </c>
      <c r="AN306" s="0" t="n">
        <f aca="false">X306-AF306</f>
        <v>0</v>
      </c>
      <c r="AO306" s="0" t="n">
        <f aca="false">Y306-AG306</f>
        <v>0</v>
      </c>
      <c r="AP306" s="0" t="n">
        <f aca="false">MAX(0,'Debt Payoff'!$D$17-SUM(Z306:AG306))</f>
        <v>805</v>
      </c>
      <c r="AQ306" s="0" t="n">
        <f aca="false">MIN(AH306,MAX(0,$AP306-SUMPRODUCT(($AH$1:$AO$1&lt;AH$1)*$AH306:$AO306)))</f>
        <v>0</v>
      </c>
      <c r="AR306" s="0" t="n">
        <f aca="false">MIN(AI306,MAX(0,$AP306-SUMPRODUCT(($AH$1:$AO$1&lt;AI$1)*$AH306:$AO306)))</f>
        <v>0</v>
      </c>
      <c r="AS306" s="0" t="n">
        <f aca="false">MIN(AJ306,MAX(0,$AP306-SUMPRODUCT(($AH$1:$AO$1&lt;AJ$1)*$AH306:$AO306)))</f>
        <v>0</v>
      </c>
      <c r="AT306" s="0" t="n">
        <f aca="false">MIN(AK306,MAX(0,$AP306-SUMPRODUCT(($AH$1:$AO$1&lt;AK$1)*$AH306:$AO306)))</f>
        <v>0</v>
      </c>
      <c r="AU306" s="0" t="n">
        <f aca="false">MIN(AL306,MAX(0,$AP306-SUMPRODUCT(($AH$1:$AO$1&lt;AL$1)*$AH306:$AO306)))</f>
        <v>0</v>
      </c>
      <c r="AV306" s="0" t="n">
        <f aca="false">MIN(AM306,MAX(0,$AP306-SUMPRODUCT(($AH$1:$AO$1&lt;AM$1)*$AH306:$AO306)))</f>
        <v>0</v>
      </c>
      <c r="AW306" s="0" t="n">
        <f aca="false">MIN(AN306,MAX(0,$AP306-SUMPRODUCT(($AH$1:$AO$1&lt;AN$1)*$AH306:$AO306)))</f>
        <v>0</v>
      </c>
      <c r="AX306" s="0" t="n">
        <f aca="false">MIN(AO306,MAX(0,$AP306-SUMPRODUCT(($AH$1:$AO$1&lt;AO$1)*$AH306:$AO306)))</f>
        <v>0</v>
      </c>
      <c r="AY306" s="0" t="n">
        <f aca="false">ROUND(AH306-AQ306,2)</f>
        <v>0</v>
      </c>
      <c r="AZ306" s="0" t="n">
        <f aca="false">ROUND(AI306-AR306,2)</f>
        <v>0</v>
      </c>
      <c r="BA306" s="0" t="n">
        <f aca="false">ROUND(AJ306-AS306,2)</f>
        <v>0</v>
      </c>
      <c r="BB306" s="0" t="n">
        <f aca="false">ROUND(AK306-AT306,2)</f>
        <v>0</v>
      </c>
      <c r="BC306" s="0" t="n">
        <f aca="false">ROUND(AL306-AU306,2)</f>
        <v>0</v>
      </c>
      <c r="BD306" s="0" t="n">
        <f aca="false">ROUND(AM306-AV306,2)</f>
        <v>0</v>
      </c>
      <c r="BE306" s="0" t="n">
        <f aca="false">ROUND(AN306-AW306,2)</f>
        <v>0</v>
      </c>
      <c r="BF306" s="0" t="n">
        <f aca="false">ROUND(AO306-AX306,2)</f>
        <v>0</v>
      </c>
      <c r="BG306" s="0" t="n">
        <f aca="false">SUM(AY306:BF306)</f>
        <v>0</v>
      </c>
    </row>
    <row r="307" customFormat="false" ht="15" hidden="false" customHeight="false" outlineLevel="0" collapsed="false">
      <c r="A307" s="0" t="n">
        <v>305</v>
      </c>
      <c r="B307" s="0" t="n">
        <f aca="false">AY306</f>
        <v>0</v>
      </c>
      <c r="C307" s="0" t="n">
        <f aca="false">AZ306</f>
        <v>0</v>
      </c>
      <c r="D307" s="0" t="n">
        <f aca="false">BA306</f>
        <v>0</v>
      </c>
      <c r="E307" s="0" t="n">
        <f aca="false">BB306</f>
        <v>0</v>
      </c>
      <c r="F307" s="0" t="n">
        <f aca="false">BC306</f>
        <v>0</v>
      </c>
      <c r="G307" s="0" t="n">
        <f aca="false">BD306</f>
        <v>0</v>
      </c>
      <c r="H307" s="0" t="n">
        <f aca="false">BE306</f>
        <v>0</v>
      </c>
      <c r="I307" s="0" t="n">
        <f aca="false">BF306</f>
        <v>0</v>
      </c>
      <c r="J307" s="0" t="n">
        <f aca="false">B307*N('Debt Payoff'!D9)/12</f>
        <v>0</v>
      </c>
      <c r="K307" s="0" t="n">
        <f aca="false">C307*N('Debt Payoff'!D10)/12</f>
        <v>0</v>
      </c>
      <c r="L307" s="0" t="n">
        <f aca="false">D307*N('Debt Payoff'!D11)/12</f>
        <v>0</v>
      </c>
      <c r="M307" s="0" t="n">
        <f aca="false">E307*N('Debt Payoff'!D12)/12</f>
        <v>0</v>
      </c>
      <c r="N307" s="0" t="n">
        <f aca="false">F307*N('Debt Payoff'!D13)/12</f>
        <v>0</v>
      </c>
      <c r="O307" s="0" t="n">
        <f aca="false">G307*N('Debt Payoff'!D14)/12</f>
        <v>0</v>
      </c>
      <c r="P307" s="0" t="n">
        <f aca="false">H307*N('Debt Payoff'!D15)/12</f>
        <v>0</v>
      </c>
      <c r="Q307" s="0" t="n">
        <f aca="false">I307*N('Debt Payoff'!D16)/12</f>
        <v>0</v>
      </c>
      <c r="R307" s="0" t="n">
        <f aca="false">B307+J307</f>
        <v>0</v>
      </c>
      <c r="S307" s="0" t="n">
        <f aca="false">C307+K307</f>
        <v>0</v>
      </c>
      <c r="T307" s="0" t="n">
        <f aca="false">D307+L307</f>
        <v>0</v>
      </c>
      <c r="U307" s="0" t="n">
        <f aca="false">E307+M307</f>
        <v>0</v>
      </c>
      <c r="V307" s="0" t="n">
        <f aca="false">F307+N307</f>
        <v>0</v>
      </c>
      <c r="W307" s="0" t="n">
        <f aca="false">G307+O307</f>
        <v>0</v>
      </c>
      <c r="X307" s="0" t="n">
        <f aca="false">H307+P307</f>
        <v>0</v>
      </c>
      <c r="Y307" s="0" t="n">
        <f aca="false">I307+Q307</f>
        <v>0</v>
      </c>
      <c r="Z307" s="0" t="n">
        <f aca="false">MIN(R307,N('Debt Payoff'!E9))</f>
        <v>0</v>
      </c>
      <c r="AA307" s="0" t="n">
        <f aca="false">MIN(S307,N('Debt Payoff'!E10))</f>
        <v>0</v>
      </c>
      <c r="AB307" s="0" t="n">
        <f aca="false">MIN(T307,N('Debt Payoff'!E11))</f>
        <v>0</v>
      </c>
      <c r="AC307" s="0" t="n">
        <f aca="false">MIN(U307,N('Debt Payoff'!E12))</f>
        <v>0</v>
      </c>
      <c r="AD307" s="0" t="n">
        <f aca="false">MIN(V307,N('Debt Payoff'!E13))</f>
        <v>0</v>
      </c>
      <c r="AE307" s="0" t="n">
        <f aca="false">MIN(W307,N('Debt Payoff'!E14))</f>
        <v>0</v>
      </c>
      <c r="AF307" s="0" t="n">
        <f aca="false">MIN(X307,N('Debt Payoff'!E15))</f>
        <v>0</v>
      </c>
      <c r="AG307" s="0" t="n">
        <f aca="false">MIN(Y307,N('Debt Payoff'!E16))</f>
        <v>0</v>
      </c>
      <c r="AH307" s="0" t="n">
        <f aca="false">R307-Z307</f>
        <v>0</v>
      </c>
      <c r="AI307" s="0" t="n">
        <f aca="false">S307-AA307</f>
        <v>0</v>
      </c>
      <c r="AJ307" s="0" t="n">
        <f aca="false">T307-AB307</f>
        <v>0</v>
      </c>
      <c r="AK307" s="0" t="n">
        <f aca="false">U307-AC307</f>
        <v>0</v>
      </c>
      <c r="AL307" s="0" t="n">
        <f aca="false">V307-AD307</f>
        <v>0</v>
      </c>
      <c r="AM307" s="0" t="n">
        <f aca="false">W307-AE307</f>
        <v>0</v>
      </c>
      <c r="AN307" s="0" t="n">
        <f aca="false">X307-AF307</f>
        <v>0</v>
      </c>
      <c r="AO307" s="0" t="n">
        <f aca="false">Y307-AG307</f>
        <v>0</v>
      </c>
      <c r="AP307" s="0" t="n">
        <f aca="false">MAX(0,'Debt Payoff'!$D$17-SUM(Z307:AG307))</f>
        <v>805</v>
      </c>
      <c r="AQ307" s="0" t="n">
        <f aca="false">MIN(AH307,MAX(0,$AP307-SUMPRODUCT(($AH$1:$AO$1&lt;AH$1)*$AH307:$AO307)))</f>
        <v>0</v>
      </c>
      <c r="AR307" s="0" t="n">
        <f aca="false">MIN(AI307,MAX(0,$AP307-SUMPRODUCT(($AH$1:$AO$1&lt;AI$1)*$AH307:$AO307)))</f>
        <v>0</v>
      </c>
      <c r="AS307" s="0" t="n">
        <f aca="false">MIN(AJ307,MAX(0,$AP307-SUMPRODUCT(($AH$1:$AO$1&lt;AJ$1)*$AH307:$AO307)))</f>
        <v>0</v>
      </c>
      <c r="AT307" s="0" t="n">
        <f aca="false">MIN(AK307,MAX(0,$AP307-SUMPRODUCT(($AH$1:$AO$1&lt;AK$1)*$AH307:$AO307)))</f>
        <v>0</v>
      </c>
      <c r="AU307" s="0" t="n">
        <f aca="false">MIN(AL307,MAX(0,$AP307-SUMPRODUCT(($AH$1:$AO$1&lt;AL$1)*$AH307:$AO307)))</f>
        <v>0</v>
      </c>
      <c r="AV307" s="0" t="n">
        <f aca="false">MIN(AM307,MAX(0,$AP307-SUMPRODUCT(($AH$1:$AO$1&lt;AM$1)*$AH307:$AO307)))</f>
        <v>0</v>
      </c>
      <c r="AW307" s="0" t="n">
        <f aca="false">MIN(AN307,MAX(0,$AP307-SUMPRODUCT(($AH$1:$AO$1&lt;AN$1)*$AH307:$AO307)))</f>
        <v>0</v>
      </c>
      <c r="AX307" s="0" t="n">
        <f aca="false">MIN(AO307,MAX(0,$AP307-SUMPRODUCT(($AH$1:$AO$1&lt;AO$1)*$AH307:$AO307)))</f>
        <v>0</v>
      </c>
      <c r="AY307" s="0" t="n">
        <f aca="false">ROUND(AH307-AQ307,2)</f>
        <v>0</v>
      </c>
      <c r="AZ307" s="0" t="n">
        <f aca="false">ROUND(AI307-AR307,2)</f>
        <v>0</v>
      </c>
      <c r="BA307" s="0" t="n">
        <f aca="false">ROUND(AJ307-AS307,2)</f>
        <v>0</v>
      </c>
      <c r="BB307" s="0" t="n">
        <f aca="false">ROUND(AK307-AT307,2)</f>
        <v>0</v>
      </c>
      <c r="BC307" s="0" t="n">
        <f aca="false">ROUND(AL307-AU307,2)</f>
        <v>0</v>
      </c>
      <c r="BD307" s="0" t="n">
        <f aca="false">ROUND(AM307-AV307,2)</f>
        <v>0</v>
      </c>
      <c r="BE307" s="0" t="n">
        <f aca="false">ROUND(AN307-AW307,2)</f>
        <v>0</v>
      </c>
      <c r="BF307" s="0" t="n">
        <f aca="false">ROUND(AO307-AX307,2)</f>
        <v>0</v>
      </c>
      <c r="BG307" s="0" t="n">
        <f aca="false">SUM(AY307:BF307)</f>
        <v>0</v>
      </c>
    </row>
    <row r="308" customFormat="false" ht="15" hidden="false" customHeight="false" outlineLevel="0" collapsed="false">
      <c r="A308" s="0" t="n">
        <v>306</v>
      </c>
      <c r="B308" s="0" t="n">
        <f aca="false">AY307</f>
        <v>0</v>
      </c>
      <c r="C308" s="0" t="n">
        <f aca="false">AZ307</f>
        <v>0</v>
      </c>
      <c r="D308" s="0" t="n">
        <f aca="false">BA307</f>
        <v>0</v>
      </c>
      <c r="E308" s="0" t="n">
        <f aca="false">BB307</f>
        <v>0</v>
      </c>
      <c r="F308" s="0" t="n">
        <f aca="false">BC307</f>
        <v>0</v>
      </c>
      <c r="G308" s="0" t="n">
        <f aca="false">BD307</f>
        <v>0</v>
      </c>
      <c r="H308" s="0" t="n">
        <f aca="false">BE307</f>
        <v>0</v>
      </c>
      <c r="I308" s="0" t="n">
        <f aca="false">BF307</f>
        <v>0</v>
      </c>
      <c r="J308" s="0" t="n">
        <f aca="false">B308*N('Debt Payoff'!D9)/12</f>
        <v>0</v>
      </c>
      <c r="K308" s="0" t="n">
        <f aca="false">C308*N('Debt Payoff'!D10)/12</f>
        <v>0</v>
      </c>
      <c r="L308" s="0" t="n">
        <f aca="false">D308*N('Debt Payoff'!D11)/12</f>
        <v>0</v>
      </c>
      <c r="M308" s="0" t="n">
        <f aca="false">E308*N('Debt Payoff'!D12)/12</f>
        <v>0</v>
      </c>
      <c r="N308" s="0" t="n">
        <f aca="false">F308*N('Debt Payoff'!D13)/12</f>
        <v>0</v>
      </c>
      <c r="O308" s="0" t="n">
        <f aca="false">G308*N('Debt Payoff'!D14)/12</f>
        <v>0</v>
      </c>
      <c r="P308" s="0" t="n">
        <f aca="false">H308*N('Debt Payoff'!D15)/12</f>
        <v>0</v>
      </c>
      <c r="Q308" s="0" t="n">
        <f aca="false">I308*N('Debt Payoff'!D16)/12</f>
        <v>0</v>
      </c>
      <c r="R308" s="0" t="n">
        <f aca="false">B308+J308</f>
        <v>0</v>
      </c>
      <c r="S308" s="0" t="n">
        <f aca="false">C308+K308</f>
        <v>0</v>
      </c>
      <c r="T308" s="0" t="n">
        <f aca="false">D308+L308</f>
        <v>0</v>
      </c>
      <c r="U308" s="0" t="n">
        <f aca="false">E308+M308</f>
        <v>0</v>
      </c>
      <c r="V308" s="0" t="n">
        <f aca="false">F308+N308</f>
        <v>0</v>
      </c>
      <c r="W308" s="0" t="n">
        <f aca="false">G308+O308</f>
        <v>0</v>
      </c>
      <c r="X308" s="0" t="n">
        <f aca="false">H308+P308</f>
        <v>0</v>
      </c>
      <c r="Y308" s="0" t="n">
        <f aca="false">I308+Q308</f>
        <v>0</v>
      </c>
      <c r="Z308" s="0" t="n">
        <f aca="false">MIN(R308,N('Debt Payoff'!E9))</f>
        <v>0</v>
      </c>
      <c r="AA308" s="0" t="n">
        <f aca="false">MIN(S308,N('Debt Payoff'!E10))</f>
        <v>0</v>
      </c>
      <c r="AB308" s="0" t="n">
        <f aca="false">MIN(T308,N('Debt Payoff'!E11))</f>
        <v>0</v>
      </c>
      <c r="AC308" s="0" t="n">
        <f aca="false">MIN(U308,N('Debt Payoff'!E12))</f>
        <v>0</v>
      </c>
      <c r="AD308" s="0" t="n">
        <f aca="false">MIN(V308,N('Debt Payoff'!E13))</f>
        <v>0</v>
      </c>
      <c r="AE308" s="0" t="n">
        <f aca="false">MIN(W308,N('Debt Payoff'!E14))</f>
        <v>0</v>
      </c>
      <c r="AF308" s="0" t="n">
        <f aca="false">MIN(X308,N('Debt Payoff'!E15))</f>
        <v>0</v>
      </c>
      <c r="AG308" s="0" t="n">
        <f aca="false">MIN(Y308,N('Debt Payoff'!E16))</f>
        <v>0</v>
      </c>
      <c r="AH308" s="0" t="n">
        <f aca="false">R308-Z308</f>
        <v>0</v>
      </c>
      <c r="AI308" s="0" t="n">
        <f aca="false">S308-AA308</f>
        <v>0</v>
      </c>
      <c r="AJ308" s="0" t="n">
        <f aca="false">T308-AB308</f>
        <v>0</v>
      </c>
      <c r="AK308" s="0" t="n">
        <f aca="false">U308-AC308</f>
        <v>0</v>
      </c>
      <c r="AL308" s="0" t="n">
        <f aca="false">V308-AD308</f>
        <v>0</v>
      </c>
      <c r="AM308" s="0" t="n">
        <f aca="false">W308-AE308</f>
        <v>0</v>
      </c>
      <c r="AN308" s="0" t="n">
        <f aca="false">X308-AF308</f>
        <v>0</v>
      </c>
      <c r="AO308" s="0" t="n">
        <f aca="false">Y308-AG308</f>
        <v>0</v>
      </c>
      <c r="AP308" s="0" t="n">
        <f aca="false">MAX(0,'Debt Payoff'!$D$17-SUM(Z308:AG308))</f>
        <v>805</v>
      </c>
      <c r="AQ308" s="0" t="n">
        <f aca="false">MIN(AH308,MAX(0,$AP308-SUMPRODUCT(($AH$1:$AO$1&lt;AH$1)*$AH308:$AO308)))</f>
        <v>0</v>
      </c>
      <c r="AR308" s="0" t="n">
        <f aca="false">MIN(AI308,MAX(0,$AP308-SUMPRODUCT(($AH$1:$AO$1&lt;AI$1)*$AH308:$AO308)))</f>
        <v>0</v>
      </c>
      <c r="AS308" s="0" t="n">
        <f aca="false">MIN(AJ308,MAX(0,$AP308-SUMPRODUCT(($AH$1:$AO$1&lt;AJ$1)*$AH308:$AO308)))</f>
        <v>0</v>
      </c>
      <c r="AT308" s="0" t="n">
        <f aca="false">MIN(AK308,MAX(0,$AP308-SUMPRODUCT(($AH$1:$AO$1&lt;AK$1)*$AH308:$AO308)))</f>
        <v>0</v>
      </c>
      <c r="AU308" s="0" t="n">
        <f aca="false">MIN(AL308,MAX(0,$AP308-SUMPRODUCT(($AH$1:$AO$1&lt;AL$1)*$AH308:$AO308)))</f>
        <v>0</v>
      </c>
      <c r="AV308" s="0" t="n">
        <f aca="false">MIN(AM308,MAX(0,$AP308-SUMPRODUCT(($AH$1:$AO$1&lt;AM$1)*$AH308:$AO308)))</f>
        <v>0</v>
      </c>
      <c r="AW308" s="0" t="n">
        <f aca="false">MIN(AN308,MAX(0,$AP308-SUMPRODUCT(($AH$1:$AO$1&lt;AN$1)*$AH308:$AO308)))</f>
        <v>0</v>
      </c>
      <c r="AX308" s="0" t="n">
        <f aca="false">MIN(AO308,MAX(0,$AP308-SUMPRODUCT(($AH$1:$AO$1&lt;AO$1)*$AH308:$AO308)))</f>
        <v>0</v>
      </c>
      <c r="AY308" s="0" t="n">
        <f aca="false">ROUND(AH308-AQ308,2)</f>
        <v>0</v>
      </c>
      <c r="AZ308" s="0" t="n">
        <f aca="false">ROUND(AI308-AR308,2)</f>
        <v>0</v>
      </c>
      <c r="BA308" s="0" t="n">
        <f aca="false">ROUND(AJ308-AS308,2)</f>
        <v>0</v>
      </c>
      <c r="BB308" s="0" t="n">
        <f aca="false">ROUND(AK308-AT308,2)</f>
        <v>0</v>
      </c>
      <c r="BC308" s="0" t="n">
        <f aca="false">ROUND(AL308-AU308,2)</f>
        <v>0</v>
      </c>
      <c r="BD308" s="0" t="n">
        <f aca="false">ROUND(AM308-AV308,2)</f>
        <v>0</v>
      </c>
      <c r="BE308" s="0" t="n">
        <f aca="false">ROUND(AN308-AW308,2)</f>
        <v>0</v>
      </c>
      <c r="BF308" s="0" t="n">
        <f aca="false">ROUND(AO308-AX308,2)</f>
        <v>0</v>
      </c>
      <c r="BG308" s="0" t="n">
        <f aca="false">SUM(AY308:BF308)</f>
        <v>0</v>
      </c>
    </row>
    <row r="309" customFormat="false" ht="15" hidden="false" customHeight="false" outlineLevel="0" collapsed="false">
      <c r="A309" s="0" t="n">
        <v>307</v>
      </c>
      <c r="B309" s="0" t="n">
        <f aca="false">AY308</f>
        <v>0</v>
      </c>
      <c r="C309" s="0" t="n">
        <f aca="false">AZ308</f>
        <v>0</v>
      </c>
      <c r="D309" s="0" t="n">
        <f aca="false">BA308</f>
        <v>0</v>
      </c>
      <c r="E309" s="0" t="n">
        <f aca="false">BB308</f>
        <v>0</v>
      </c>
      <c r="F309" s="0" t="n">
        <f aca="false">BC308</f>
        <v>0</v>
      </c>
      <c r="G309" s="0" t="n">
        <f aca="false">BD308</f>
        <v>0</v>
      </c>
      <c r="H309" s="0" t="n">
        <f aca="false">BE308</f>
        <v>0</v>
      </c>
      <c r="I309" s="0" t="n">
        <f aca="false">BF308</f>
        <v>0</v>
      </c>
      <c r="J309" s="0" t="n">
        <f aca="false">B309*N('Debt Payoff'!D9)/12</f>
        <v>0</v>
      </c>
      <c r="K309" s="0" t="n">
        <f aca="false">C309*N('Debt Payoff'!D10)/12</f>
        <v>0</v>
      </c>
      <c r="L309" s="0" t="n">
        <f aca="false">D309*N('Debt Payoff'!D11)/12</f>
        <v>0</v>
      </c>
      <c r="M309" s="0" t="n">
        <f aca="false">E309*N('Debt Payoff'!D12)/12</f>
        <v>0</v>
      </c>
      <c r="N309" s="0" t="n">
        <f aca="false">F309*N('Debt Payoff'!D13)/12</f>
        <v>0</v>
      </c>
      <c r="O309" s="0" t="n">
        <f aca="false">G309*N('Debt Payoff'!D14)/12</f>
        <v>0</v>
      </c>
      <c r="P309" s="0" t="n">
        <f aca="false">H309*N('Debt Payoff'!D15)/12</f>
        <v>0</v>
      </c>
      <c r="Q309" s="0" t="n">
        <f aca="false">I309*N('Debt Payoff'!D16)/12</f>
        <v>0</v>
      </c>
      <c r="R309" s="0" t="n">
        <f aca="false">B309+J309</f>
        <v>0</v>
      </c>
      <c r="S309" s="0" t="n">
        <f aca="false">C309+K309</f>
        <v>0</v>
      </c>
      <c r="T309" s="0" t="n">
        <f aca="false">D309+L309</f>
        <v>0</v>
      </c>
      <c r="U309" s="0" t="n">
        <f aca="false">E309+M309</f>
        <v>0</v>
      </c>
      <c r="V309" s="0" t="n">
        <f aca="false">F309+N309</f>
        <v>0</v>
      </c>
      <c r="W309" s="0" t="n">
        <f aca="false">G309+O309</f>
        <v>0</v>
      </c>
      <c r="X309" s="0" t="n">
        <f aca="false">H309+P309</f>
        <v>0</v>
      </c>
      <c r="Y309" s="0" t="n">
        <f aca="false">I309+Q309</f>
        <v>0</v>
      </c>
      <c r="Z309" s="0" t="n">
        <f aca="false">MIN(R309,N('Debt Payoff'!E9))</f>
        <v>0</v>
      </c>
      <c r="AA309" s="0" t="n">
        <f aca="false">MIN(S309,N('Debt Payoff'!E10))</f>
        <v>0</v>
      </c>
      <c r="AB309" s="0" t="n">
        <f aca="false">MIN(T309,N('Debt Payoff'!E11))</f>
        <v>0</v>
      </c>
      <c r="AC309" s="0" t="n">
        <f aca="false">MIN(U309,N('Debt Payoff'!E12))</f>
        <v>0</v>
      </c>
      <c r="AD309" s="0" t="n">
        <f aca="false">MIN(V309,N('Debt Payoff'!E13))</f>
        <v>0</v>
      </c>
      <c r="AE309" s="0" t="n">
        <f aca="false">MIN(W309,N('Debt Payoff'!E14))</f>
        <v>0</v>
      </c>
      <c r="AF309" s="0" t="n">
        <f aca="false">MIN(X309,N('Debt Payoff'!E15))</f>
        <v>0</v>
      </c>
      <c r="AG309" s="0" t="n">
        <f aca="false">MIN(Y309,N('Debt Payoff'!E16))</f>
        <v>0</v>
      </c>
      <c r="AH309" s="0" t="n">
        <f aca="false">R309-Z309</f>
        <v>0</v>
      </c>
      <c r="AI309" s="0" t="n">
        <f aca="false">S309-AA309</f>
        <v>0</v>
      </c>
      <c r="AJ309" s="0" t="n">
        <f aca="false">T309-AB309</f>
        <v>0</v>
      </c>
      <c r="AK309" s="0" t="n">
        <f aca="false">U309-AC309</f>
        <v>0</v>
      </c>
      <c r="AL309" s="0" t="n">
        <f aca="false">V309-AD309</f>
        <v>0</v>
      </c>
      <c r="AM309" s="0" t="n">
        <f aca="false">W309-AE309</f>
        <v>0</v>
      </c>
      <c r="AN309" s="0" t="n">
        <f aca="false">X309-AF309</f>
        <v>0</v>
      </c>
      <c r="AO309" s="0" t="n">
        <f aca="false">Y309-AG309</f>
        <v>0</v>
      </c>
      <c r="AP309" s="0" t="n">
        <f aca="false">MAX(0,'Debt Payoff'!$D$17-SUM(Z309:AG309))</f>
        <v>805</v>
      </c>
      <c r="AQ309" s="0" t="n">
        <f aca="false">MIN(AH309,MAX(0,$AP309-SUMPRODUCT(($AH$1:$AO$1&lt;AH$1)*$AH309:$AO309)))</f>
        <v>0</v>
      </c>
      <c r="AR309" s="0" t="n">
        <f aca="false">MIN(AI309,MAX(0,$AP309-SUMPRODUCT(($AH$1:$AO$1&lt;AI$1)*$AH309:$AO309)))</f>
        <v>0</v>
      </c>
      <c r="AS309" s="0" t="n">
        <f aca="false">MIN(AJ309,MAX(0,$AP309-SUMPRODUCT(($AH$1:$AO$1&lt;AJ$1)*$AH309:$AO309)))</f>
        <v>0</v>
      </c>
      <c r="AT309" s="0" t="n">
        <f aca="false">MIN(AK309,MAX(0,$AP309-SUMPRODUCT(($AH$1:$AO$1&lt;AK$1)*$AH309:$AO309)))</f>
        <v>0</v>
      </c>
      <c r="AU309" s="0" t="n">
        <f aca="false">MIN(AL309,MAX(0,$AP309-SUMPRODUCT(($AH$1:$AO$1&lt;AL$1)*$AH309:$AO309)))</f>
        <v>0</v>
      </c>
      <c r="AV309" s="0" t="n">
        <f aca="false">MIN(AM309,MAX(0,$AP309-SUMPRODUCT(($AH$1:$AO$1&lt;AM$1)*$AH309:$AO309)))</f>
        <v>0</v>
      </c>
      <c r="AW309" s="0" t="n">
        <f aca="false">MIN(AN309,MAX(0,$AP309-SUMPRODUCT(($AH$1:$AO$1&lt;AN$1)*$AH309:$AO309)))</f>
        <v>0</v>
      </c>
      <c r="AX309" s="0" t="n">
        <f aca="false">MIN(AO309,MAX(0,$AP309-SUMPRODUCT(($AH$1:$AO$1&lt;AO$1)*$AH309:$AO309)))</f>
        <v>0</v>
      </c>
      <c r="AY309" s="0" t="n">
        <f aca="false">ROUND(AH309-AQ309,2)</f>
        <v>0</v>
      </c>
      <c r="AZ309" s="0" t="n">
        <f aca="false">ROUND(AI309-AR309,2)</f>
        <v>0</v>
      </c>
      <c r="BA309" s="0" t="n">
        <f aca="false">ROUND(AJ309-AS309,2)</f>
        <v>0</v>
      </c>
      <c r="BB309" s="0" t="n">
        <f aca="false">ROUND(AK309-AT309,2)</f>
        <v>0</v>
      </c>
      <c r="BC309" s="0" t="n">
        <f aca="false">ROUND(AL309-AU309,2)</f>
        <v>0</v>
      </c>
      <c r="BD309" s="0" t="n">
        <f aca="false">ROUND(AM309-AV309,2)</f>
        <v>0</v>
      </c>
      <c r="BE309" s="0" t="n">
        <f aca="false">ROUND(AN309-AW309,2)</f>
        <v>0</v>
      </c>
      <c r="BF309" s="0" t="n">
        <f aca="false">ROUND(AO309-AX309,2)</f>
        <v>0</v>
      </c>
      <c r="BG309" s="0" t="n">
        <f aca="false">SUM(AY309:BF309)</f>
        <v>0</v>
      </c>
    </row>
    <row r="310" customFormat="false" ht="15" hidden="false" customHeight="false" outlineLevel="0" collapsed="false">
      <c r="A310" s="0" t="n">
        <v>308</v>
      </c>
      <c r="B310" s="0" t="n">
        <f aca="false">AY309</f>
        <v>0</v>
      </c>
      <c r="C310" s="0" t="n">
        <f aca="false">AZ309</f>
        <v>0</v>
      </c>
      <c r="D310" s="0" t="n">
        <f aca="false">BA309</f>
        <v>0</v>
      </c>
      <c r="E310" s="0" t="n">
        <f aca="false">BB309</f>
        <v>0</v>
      </c>
      <c r="F310" s="0" t="n">
        <f aca="false">BC309</f>
        <v>0</v>
      </c>
      <c r="G310" s="0" t="n">
        <f aca="false">BD309</f>
        <v>0</v>
      </c>
      <c r="H310" s="0" t="n">
        <f aca="false">BE309</f>
        <v>0</v>
      </c>
      <c r="I310" s="0" t="n">
        <f aca="false">BF309</f>
        <v>0</v>
      </c>
      <c r="J310" s="0" t="n">
        <f aca="false">B310*N('Debt Payoff'!D9)/12</f>
        <v>0</v>
      </c>
      <c r="K310" s="0" t="n">
        <f aca="false">C310*N('Debt Payoff'!D10)/12</f>
        <v>0</v>
      </c>
      <c r="L310" s="0" t="n">
        <f aca="false">D310*N('Debt Payoff'!D11)/12</f>
        <v>0</v>
      </c>
      <c r="M310" s="0" t="n">
        <f aca="false">E310*N('Debt Payoff'!D12)/12</f>
        <v>0</v>
      </c>
      <c r="N310" s="0" t="n">
        <f aca="false">F310*N('Debt Payoff'!D13)/12</f>
        <v>0</v>
      </c>
      <c r="O310" s="0" t="n">
        <f aca="false">G310*N('Debt Payoff'!D14)/12</f>
        <v>0</v>
      </c>
      <c r="P310" s="0" t="n">
        <f aca="false">H310*N('Debt Payoff'!D15)/12</f>
        <v>0</v>
      </c>
      <c r="Q310" s="0" t="n">
        <f aca="false">I310*N('Debt Payoff'!D16)/12</f>
        <v>0</v>
      </c>
      <c r="R310" s="0" t="n">
        <f aca="false">B310+J310</f>
        <v>0</v>
      </c>
      <c r="S310" s="0" t="n">
        <f aca="false">C310+K310</f>
        <v>0</v>
      </c>
      <c r="T310" s="0" t="n">
        <f aca="false">D310+L310</f>
        <v>0</v>
      </c>
      <c r="U310" s="0" t="n">
        <f aca="false">E310+M310</f>
        <v>0</v>
      </c>
      <c r="V310" s="0" t="n">
        <f aca="false">F310+N310</f>
        <v>0</v>
      </c>
      <c r="W310" s="0" t="n">
        <f aca="false">G310+O310</f>
        <v>0</v>
      </c>
      <c r="X310" s="0" t="n">
        <f aca="false">H310+P310</f>
        <v>0</v>
      </c>
      <c r="Y310" s="0" t="n">
        <f aca="false">I310+Q310</f>
        <v>0</v>
      </c>
      <c r="Z310" s="0" t="n">
        <f aca="false">MIN(R310,N('Debt Payoff'!E9))</f>
        <v>0</v>
      </c>
      <c r="AA310" s="0" t="n">
        <f aca="false">MIN(S310,N('Debt Payoff'!E10))</f>
        <v>0</v>
      </c>
      <c r="AB310" s="0" t="n">
        <f aca="false">MIN(T310,N('Debt Payoff'!E11))</f>
        <v>0</v>
      </c>
      <c r="AC310" s="0" t="n">
        <f aca="false">MIN(U310,N('Debt Payoff'!E12))</f>
        <v>0</v>
      </c>
      <c r="AD310" s="0" t="n">
        <f aca="false">MIN(V310,N('Debt Payoff'!E13))</f>
        <v>0</v>
      </c>
      <c r="AE310" s="0" t="n">
        <f aca="false">MIN(W310,N('Debt Payoff'!E14))</f>
        <v>0</v>
      </c>
      <c r="AF310" s="0" t="n">
        <f aca="false">MIN(X310,N('Debt Payoff'!E15))</f>
        <v>0</v>
      </c>
      <c r="AG310" s="0" t="n">
        <f aca="false">MIN(Y310,N('Debt Payoff'!E16))</f>
        <v>0</v>
      </c>
      <c r="AH310" s="0" t="n">
        <f aca="false">R310-Z310</f>
        <v>0</v>
      </c>
      <c r="AI310" s="0" t="n">
        <f aca="false">S310-AA310</f>
        <v>0</v>
      </c>
      <c r="AJ310" s="0" t="n">
        <f aca="false">T310-AB310</f>
        <v>0</v>
      </c>
      <c r="AK310" s="0" t="n">
        <f aca="false">U310-AC310</f>
        <v>0</v>
      </c>
      <c r="AL310" s="0" t="n">
        <f aca="false">V310-AD310</f>
        <v>0</v>
      </c>
      <c r="AM310" s="0" t="n">
        <f aca="false">W310-AE310</f>
        <v>0</v>
      </c>
      <c r="AN310" s="0" t="n">
        <f aca="false">X310-AF310</f>
        <v>0</v>
      </c>
      <c r="AO310" s="0" t="n">
        <f aca="false">Y310-AG310</f>
        <v>0</v>
      </c>
      <c r="AP310" s="0" t="n">
        <f aca="false">MAX(0,'Debt Payoff'!$D$17-SUM(Z310:AG310))</f>
        <v>805</v>
      </c>
      <c r="AQ310" s="0" t="n">
        <f aca="false">MIN(AH310,MAX(0,$AP310-SUMPRODUCT(($AH$1:$AO$1&lt;AH$1)*$AH310:$AO310)))</f>
        <v>0</v>
      </c>
      <c r="AR310" s="0" t="n">
        <f aca="false">MIN(AI310,MAX(0,$AP310-SUMPRODUCT(($AH$1:$AO$1&lt;AI$1)*$AH310:$AO310)))</f>
        <v>0</v>
      </c>
      <c r="AS310" s="0" t="n">
        <f aca="false">MIN(AJ310,MAX(0,$AP310-SUMPRODUCT(($AH$1:$AO$1&lt;AJ$1)*$AH310:$AO310)))</f>
        <v>0</v>
      </c>
      <c r="AT310" s="0" t="n">
        <f aca="false">MIN(AK310,MAX(0,$AP310-SUMPRODUCT(($AH$1:$AO$1&lt;AK$1)*$AH310:$AO310)))</f>
        <v>0</v>
      </c>
      <c r="AU310" s="0" t="n">
        <f aca="false">MIN(AL310,MAX(0,$AP310-SUMPRODUCT(($AH$1:$AO$1&lt;AL$1)*$AH310:$AO310)))</f>
        <v>0</v>
      </c>
      <c r="AV310" s="0" t="n">
        <f aca="false">MIN(AM310,MAX(0,$AP310-SUMPRODUCT(($AH$1:$AO$1&lt;AM$1)*$AH310:$AO310)))</f>
        <v>0</v>
      </c>
      <c r="AW310" s="0" t="n">
        <f aca="false">MIN(AN310,MAX(0,$AP310-SUMPRODUCT(($AH$1:$AO$1&lt;AN$1)*$AH310:$AO310)))</f>
        <v>0</v>
      </c>
      <c r="AX310" s="0" t="n">
        <f aca="false">MIN(AO310,MAX(0,$AP310-SUMPRODUCT(($AH$1:$AO$1&lt;AO$1)*$AH310:$AO310)))</f>
        <v>0</v>
      </c>
      <c r="AY310" s="0" t="n">
        <f aca="false">ROUND(AH310-AQ310,2)</f>
        <v>0</v>
      </c>
      <c r="AZ310" s="0" t="n">
        <f aca="false">ROUND(AI310-AR310,2)</f>
        <v>0</v>
      </c>
      <c r="BA310" s="0" t="n">
        <f aca="false">ROUND(AJ310-AS310,2)</f>
        <v>0</v>
      </c>
      <c r="BB310" s="0" t="n">
        <f aca="false">ROUND(AK310-AT310,2)</f>
        <v>0</v>
      </c>
      <c r="BC310" s="0" t="n">
        <f aca="false">ROUND(AL310-AU310,2)</f>
        <v>0</v>
      </c>
      <c r="BD310" s="0" t="n">
        <f aca="false">ROUND(AM310-AV310,2)</f>
        <v>0</v>
      </c>
      <c r="BE310" s="0" t="n">
        <f aca="false">ROUND(AN310-AW310,2)</f>
        <v>0</v>
      </c>
      <c r="BF310" s="0" t="n">
        <f aca="false">ROUND(AO310-AX310,2)</f>
        <v>0</v>
      </c>
      <c r="BG310" s="0" t="n">
        <f aca="false">SUM(AY310:BF310)</f>
        <v>0</v>
      </c>
    </row>
    <row r="311" customFormat="false" ht="15" hidden="false" customHeight="false" outlineLevel="0" collapsed="false">
      <c r="A311" s="0" t="n">
        <v>309</v>
      </c>
      <c r="B311" s="0" t="n">
        <f aca="false">AY310</f>
        <v>0</v>
      </c>
      <c r="C311" s="0" t="n">
        <f aca="false">AZ310</f>
        <v>0</v>
      </c>
      <c r="D311" s="0" t="n">
        <f aca="false">BA310</f>
        <v>0</v>
      </c>
      <c r="E311" s="0" t="n">
        <f aca="false">BB310</f>
        <v>0</v>
      </c>
      <c r="F311" s="0" t="n">
        <f aca="false">BC310</f>
        <v>0</v>
      </c>
      <c r="G311" s="0" t="n">
        <f aca="false">BD310</f>
        <v>0</v>
      </c>
      <c r="H311" s="0" t="n">
        <f aca="false">BE310</f>
        <v>0</v>
      </c>
      <c r="I311" s="0" t="n">
        <f aca="false">BF310</f>
        <v>0</v>
      </c>
      <c r="J311" s="0" t="n">
        <f aca="false">B311*N('Debt Payoff'!D9)/12</f>
        <v>0</v>
      </c>
      <c r="K311" s="0" t="n">
        <f aca="false">C311*N('Debt Payoff'!D10)/12</f>
        <v>0</v>
      </c>
      <c r="L311" s="0" t="n">
        <f aca="false">D311*N('Debt Payoff'!D11)/12</f>
        <v>0</v>
      </c>
      <c r="M311" s="0" t="n">
        <f aca="false">E311*N('Debt Payoff'!D12)/12</f>
        <v>0</v>
      </c>
      <c r="N311" s="0" t="n">
        <f aca="false">F311*N('Debt Payoff'!D13)/12</f>
        <v>0</v>
      </c>
      <c r="O311" s="0" t="n">
        <f aca="false">G311*N('Debt Payoff'!D14)/12</f>
        <v>0</v>
      </c>
      <c r="P311" s="0" t="n">
        <f aca="false">H311*N('Debt Payoff'!D15)/12</f>
        <v>0</v>
      </c>
      <c r="Q311" s="0" t="n">
        <f aca="false">I311*N('Debt Payoff'!D16)/12</f>
        <v>0</v>
      </c>
      <c r="R311" s="0" t="n">
        <f aca="false">B311+J311</f>
        <v>0</v>
      </c>
      <c r="S311" s="0" t="n">
        <f aca="false">C311+K311</f>
        <v>0</v>
      </c>
      <c r="T311" s="0" t="n">
        <f aca="false">D311+L311</f>
        <v>0</v>
      </c>
      <c r="U311" s="0" t="n">
        <f aca="false">E311+M311</f>
        <v>0</v>
      </c>
      <c r="V311" s="0" t="n">
        <f aca="false">F311+N311</f>
        <v>0</v>
      </c>
      <c r="W311" s="0" t="n">
        <f aca="false">G311+O311</f>
        <v>0</v>
      </c>
      <c r="X311" s="0" t="n">
        <f aca="false">H311+P311</f>
        <v>0</v>
      </c>
      <c r="Y311" s="0" t="n">
        <f aca="false">I311+Q311</f>
        <v>0</v>
      </c>
      <c r="Z311" s="0" t="n">
        <f aca="false">MIN(R311,N('Debt Payoff'!E9))</f>
        <v>0</v>
      </c>
      <c r="AA311" s="0" t="n">
        <f aca="false">MIN(S311,N('Debt Payoff'!E10))</f>
        <v>0</v>
      </c>
      <c r="AB311" s="0" t="n">
        <f aca="false">MIN(T311,N('Debt Payoff'!E11))</f>
        <v>0</v>
      </c>
      <c r="AC311" s="0" t="n">
        <f aca="false">MIN(U311,N('Debt Payoff'!E12))</f>
        <v>0</v>
      </c>
      <c r="AD311" s="0" t="n">
        <f aca="false">MIN(V311,N('Debt Payoff'!E13))</f>
        <v>0</v>
      </c>
      <c r="AE311" s="0" t="n">
        <f aca="false">MIN(W311,N('Debt Payoff'!E14))</f>
        <v>0</v>
      </c>
      <c r="AF311" s="0" t="n">
        <f aca="false">MIN(X311,N('Debt Payoff'!E15))</f>
        <v>0</v>
      </c>
      <c r="AG311" s="0" t="n">
        <f aca="false">MIN(Y311,N('Debt Payoff'!E16))</f>
        <v>0</v>
      </c>
      <c r="AH311" s="0" t="n">
        <f aca="false">R311-Z311</f>
        <v>0</v>
      </c>
      <c r="AI311" s="0" t="n">
        <f aca="false">S311-AA311</f>
        <v>0</v>
      </c>
      <c r="AJ311" s="0" t="n">
        <f aca="false">T311-AB311</f>
        <v>0</v>
      </c>
      <c r="AK311" s="0" t="n">
        <f aca="false">U311-AC311</f>
        <v>0</v>
      </c>
      <c r="AL311" s="0" t="n">
        <f aca="false">V311-AD311</f>
        <v>0</v>
      </c>
      <c r="AM311" s="0" t="n">
        <f aca="false">W311-AE311</f>
        <v>0</v>
      </c>
      <c r="AN311" s="0" t="n">
        <f aca="false">X311-AF311</f>
        <v>0</v>
      </c>
      <c r="AO311" s="0" t="n">
        <f aca="false">Y311-AG311</f>
        <v>0</v>
      </c>
      <c r="AP311" s="0" t="n">
        <f aca="false">MAX(0,'Debt Payoff'!$D$17-SUM(Z311:AG311))</f>
        <v>805</v>
      </c>
      <c r="AQ311" s="0" t="n">
        <f aca="false">MIN(AH311,MAX(0,$AP311-SUMPRODUCT(($AH$1:$AO$1&lt;AH$1)*$AH311:$AO311)))</f>
        <v>0</v>
      </c>
      <c r="AR311" s="0" t="n">
        <f aca="false">MIN(AI311,MAX(0,$AP311-SUMPRODUCT(($AH$1:$AO$1&lt;AI$1)*$AH311:$AO311)))</f>
        <v>0</v>
      </c>
      <c r="AS311" s="0" t="n">
        <f aca="false">MIN(AJ311,MAX(0,$AP311-SUMPRODUCT(($AH$1:$AO$1&lt;AJ$1)*$AH311:$AO311)))</f>
        <v>0</v>
      </c>
      <c r="AT311" s="0" t="n">
        <f aca="false">MIN(AK311,MAX(0,$AP311-SUMPRODUCT(($AH$1:$AO$1&lt;AK$1)*$AH311:$AO311)))</f>
        <v>0</v>
      </c>
      <c r="AU311" s="0" t="n">
        <f aca="false">MIN(AL311,MAX(0,$AP311-SUMPRODUCT(($AH$1:$AO$1&lt;AL$1)*$AH311:$AO311)))</f>
        <v>0</v>
      </c>
      <c r="AV311" s="0" t="n">
        <f aca="false">MIN(AM311,MAX(0,$AP311-SUMPRODUCT(($AH$1:$AO$1&lt;AM$1)*$AH311:$AO311)))</f>
        <v>0</v>
      </c>
      <c r="AW311" s="0" t="n">
        <f aca="false">MIN(AN311,MAX(0,$AP311-SUMPRODUCT(($AH$1:$AO$1&lt;AN$1)*$AH311:$AO311)))</f>
        <v>0</v>
      </c>
      <c r="AX311" s="0" t="n">
        <f aca="false">MIN(AO311,MAX(0,$AP311-SUMPRODUCT(($AH$1:$AO$1&lt;AO$1)*$AH311:$AO311)))</f>
        <v>0</v>
      </c>
      <c r="AY311" s="0" t="n">
        <f aca="false">ROUND(AH311-AQ311,2)</f>
        <v>0</v>
      </c>
      <c r="AZ311" s="0" t="n">
        <f aca="false">ROUND(AI311-AR311,2)</f>
        <v>0</v>
      </c>
      <c r="BA311" s="0" t="n">
        <f aca="false">ROUND(AJ311-AS311,2)</f>
        <v>0</v>
      </c>
      <c r="BB311" s="0" t="n">
        <f aca="false">ROUND(AK311-AT311,2)</f>
        <v>0</v>
      </c>
      <c r="BC311" s="0" t="n">
        <f aca="false">ROUND(AL311-AU311,2)</f>
        <v>0</v>
      </c>
      <c r="BD311" s="0" t="n">
        <f aca="false">ROUND(AM311-AV311,2)</f>
        <v>0</v>
      </c>
      <c r="BE311" s="0" t="n">
        <f aca="false">ROUND(AN311-AW311,2)</f>
        <v>0</v>
      </c>
      <c r="BF311" s="0" t="n">
        <f aca="false">ROUND(AO311-AX311,2)</f>
        <v>0</v>
      </c>
      <c r="BG311" s="0" t="n">
        <f aca="false">SUM(AY311:BF311)</f>
        <v>0</v>
      </c>
    </row>
    <row r="312" customFormat="false" ht="15" hidden="false" customHeight="false" outlineLevel="0" collapsed="false">
      <c r="A312" s="0" t="n">
        <v>310</v>
      </c>
      <c r="B312" s="0" t="n">
        <f aca="false">AY311</f>
        <v>0</v>
      </c>
      <c r="C312" s="0" t="n">
        <f aca="false">AZ311</f>
        <v>0</v>
      </c>
      <c r="D312" s="0" t="n">
        <f aca="false">BA311</f>
        <v>0</v>
      </c>
      <c r="E312" s="0" t="n">
        <f aca="false">BB311</f>
        <v>0</v>
      </c>
      <c r="F312" s="0" t="n">
        <f aca="false">BC311</f>
        <v>0</v>
      </c>
      <c r="G312" s="0" t="n">
        <f aca="false">BD311</f>
        <v>0</v>
      </c>
      <c r="H312" s="0" t="n">
        <f aca="false">BE311</f>
        <v>0</v>
      </c>
      <c r="I312" s="0" t="n">
        <f aca="false">BF311</f>
        <v>0</v>
      </c>
      <c r="J312" s="0" t="n">
        <f aca="false">B312*N('Debt Payoff'!D9)/12</f>
        <v>0</v>
      </c>
      <c r="K312" s="0" t="n">
        <f aca="false">C312*N('Debt Payoff'!D10)/12</f>
        <v>0</v>
      </c>
      <c r="L312" s="0" t="n">
        <f aca="false">D312*N('Debt Payoff'!D11)/12</f>
        <v>0</v>
      </c>
      <c r="M312" s="0" t="n">
        <f aca="false">E312*N('Debt Payoff'!D12)/12</f>
        <v>0</v>
      </c>
      <c r="N312" s="0" t="n">
        <f aca="false">F312*N('Debt Payoff'!D13)/12</f>
        <v>0</v>
      </c>
      <c r="O312" s="0" t="n">
        <f aca="false">G312*N('Debt Payoff'!D14)/12</f>
        <v>0</v>
      </c>
      <c r="P312" s="0" t="n">
        <f aca="false">H312*N('Debt Payoff'!D15)/12</f>
        <v>0</v>
      </c>
      <c r="Q312" s="0" t="n">
        <f aca="false">I312*N('Debt Payoff'!D16)/12</f>
        <v>0</v>
      </c>
      <c r="R312" s="0" t="n">
        <f aca="false">B312+J312</f>
        <v>0</v>
      </c>
      <c r="S312" s="0" t="n">
        <f aca="false">C312+K312</f>
        <v>0</v>
      </c>
      <c r="T312" s="0" t="n">
        <f aca="false">D312+L312</f>
        <v>0</v>
      </c>
      <c r="U312" s="0" t="n">
        <f aca="false">E312+M312</f>
        <v>0</v>
      </c>
      <c r="V312" s="0" t="n">
        <f aca="false">F312+N312</f>
        <v>0</v>
      </c>
      <c r="W312" s="0" t="n">
        <f aca="false">G312+O312</f>
        <v>0</v>
      </c>
      <c r="X312" s="0" t="n">
        <f aca="false">H312+P312</f>
        <v>0</v>
      </c>
      <c r="Y312" s="0" t="n">
        <f aca="false">I312+Q312</f>
        <v>0</v>
      </c>
      <c r="Z312" s="0" t="n">
        <f aca="false">MIN(R312,N('Debt Payoff'!E9))</f>
        <v>0</v>
      </c>
      <c r="AA312" s="0" t="n">
        <f aca="false">MIN(S312,N('Debt Payoff'!E10))</f>
        <v>0</v>
      </c>
      <c r="AB312" s="0" t="n">
        <f aca="false">MIN(T312,N('Debt Payoff'!E11))</f>
        <v>0</v>
      </c>
      <c r="AC312" s="0" t="n">
        <f aca="false">MIN(U312,N('Debt Payoff'!E12))</f>
        <v>0</v>
      </c>
      <c r="AD312" s="0" t="n">
        <f aca="false">MIN(V312,N('Debt Payoff'!E13))</f>
        <v>0</v>
      </c>
      <c r="AE312" s="0" t="n">
        <f aca="false">MIN(W312,N('Debt Payoff'!E14))</f>
        <v>0</v>
      </c>
      <c r="AF312" s="0" t="n">
        <f aca="false">MIN(X312,N('Debt Payoff'!E15))</f>
        <v>0</v>
      </c>
      <c r="AG312" s="0" t="n">
        <f aca="false">MIN(Y312,N('Debt Payoff'!E16))</f>
        <v>0</v>
      </c>
      <c r="AH312" s="0" t="n">
        <f aca="false">R312-Z312</f>
        <v>0</v>
      </c>
      <c r="AI312" s="0" t="n">
        <f aca="false">S312-AA312</f>
        <v>0</v>
      </c>
      <c r="AJ312" s="0" t="n">
        <f aca="false">T312-AB312</f>
        <v>0</v>
      </c>
      <c r="AK312" s="0" t="n">
        <f aca="false">U312-AC312</f>
        <v>0</v>
      </c>
      <c r="AL312" s="0" t="n">
        <f aca="false">V312-AD312</f>
        <v>0</v>
      </c>
      <c r="AM312" s="0" t="n">
        <f aca="false">W312-AE312</f>
        <v>0</v>
      </c>
      <c r="AN312" s="0" t="n">
        <f aca="false">X312-AF312</f>
        <v>0</v>
      </c>
      <c r="AO312" s="0" t="n">
        <f aca="false">Y312-AG312</f>
        <v>0</v>
      </c>
      <c r="AP312" s="0" t="n">
        <f aca="false">MAX(0,'Debt Payoff'!$D$17-SUM(Z312:AG312))</f>
        <v>805</v>
      </c>
      <c r="AQ312" s="0" t="n">
        <f aca="false">MIN(AH312,MAX(0,$AP312-SUMPRODUCT(($AH$1:$AO$1&lt;AH$1)*$AH312:$AO312)))</f>
        <v>0</v>
      </c>
      <c r="AR312" s="0" t="n">
        <f aca="false">MIN(AI312,MAX(0,$AP312-SUMPRODUCT(($AH$1:$AO$1&lt;AI$1)*$AH312:$AO312)))</f>
        <v>0</v>
      </c>
      <c r="AS312" s="0" t="n">
        <f aca="false">MIN(AJ312,MAX(0,$AP312-SUMPRODUCT(($AH$1:$AO$1&lt;AJ$1)*$AH312:$AO312)))</f>
        <v>0</v>
      </c>
      <c r="AT312" s="0" t="n">
        <f aca="false">MIN(AK312,MAX(0,$AP312-SUMPRODUCT(($AH$1:$AO$1&lt;AK$1)*$AH312:$AO312)))</f>
        <v>0</v>
      </c>
      <c r="AU312" s="0" t="n">
        <f aca="false">MIN(AL312,MAX(0,$AP312-SUMPRODUCT(($AH$1:$AO$1&lt;AL$1)*$AH312:$AO312)))</f>
        <v>0</v>
      </c>
      <c r="AV312" s="0" t="n">
        <f aca="false">MIN(AM312,MAX(0,$AP312-SUMPRODUCT(($AH$1:$AO$1&lt;AM$1)*$AH312:$AO312)))</f>
        <v>0</v>
      </c>
      <c r="AW312" s="0" t="n">
        <f aca="false">MIN(AN312,MAX(0,$AP312-SUMPRODUCT(($AH$1:$AO$1&lt;AN$1)*$AH312:$AO312)))</f>
        <v>0</v>
      </c>
      <c r="AX312" s="0" t="n">
        <f aca="false">MIN(AO312,MAX(0,$AP312-SUMPRODUCT(($AH$1:$AO$1&lt;AO$1)*$AH312:$AO312)))</f>
        <v>0</v>
      </c>
      <c r="AY312" s="0" t="n">
        <f aca="false">ROUND(AH312-AQ312,2)</f>
        <v>0</v>
      </c>
      <c r="AZ312" s="0" t="n">
        <f aca="false">ROUND(AI312-AR312,2)</f>
        <v>0</v>
      </c>
      <c r="BA312" s="0" t="n">
        <f aca="false">ROUND(AJ312-AS312,2)</f>
        <v>0</v>
      </c>
      <c r="BB312" s="0" t="n">
        <f aca="false">ROUND(AK312-AT312,2)</f>
        <v>0</v>
      </c>
      <c r="BC312" s="0" t="n">
        <f aca="false">ROUND(AL312-AU312,2)</f>
        <v>0</v>
      </c>
      <c r="BD312" s="0" t="n">
        <f aca="false">ROUND(AM312-AV312,2)</f>
        <v>0</v>
      </c>
      <c r="BE312" s="0" t="n">
        <f aca="false">ROUND(AN312-AW312,2)</f>
        <v>0</v>
      </c>
      <c r="BF312" s="0" t="n">
        <f aca="false">ROUND(AO312-AX312,2)</f>
        <v>0</v>
      </c>
      <c r="BG312" s="0" t="n">
        <f aca="false">SUM(AY312:BF312)</f>
        <v>0</v>
      </c>
    </row>
    <row r="313" customFormat="false" ht="15" hidden="false" customHeight="false" outlineLevel="0" collapsed="false">
      <c r="A313" s="0" t="n">
        <v>311</v>
      </c>
      <c r="B313" s="0" t="n">
        <f aca="false">AY312</f>
        <v>0</v>
      </c>
      <c r="C313" s="0" t="n">
        <f aca="false">AZ312</f>
        <v>0</v>
      </c>
      <c r="D313" s="0" t="n">
        <f aca="false">BA312</f>
        <v>0</v>
      </c>
      <c r="E313" s="0" t="n">
        <f aca="false">BB312</f>
        <v>0</v>
      </c>
      <c r="F313" s="0" t="n">
        <f aca="false">BC312</f>
        <v>0</v>
      </c>
      <c r="G313" s="0" t="n">
        <f aca="false">BD312</f>
        <v>0</v>
      </c>
      <c r="H313" s="0" t="n">
        <f aca="false">BE312</f>
        <v>0</v>
      </c>
      <c r="I313" s="0" t="n">
        <f aca="false">BF312</f>
        <v>0</v>
      </c>
      <c r="J313" s="0" t="n">
        <f aca="false">B313*N('Debt Payoff'!D9)/12</f>
        <v>0</v>
      </c>
      <c r="K313" s="0" t="n">
        <f aca="false">C313*N('Debt Payoff'!D10)/12</f>
        <v>0</v>
      </c>
      <c r="L313" s="0" t="n">
        <f aca="false">D313*N('Debt Payoff'!D11)/12</f>
        <v>0</v>
      </c>
      <c r="M313" s="0" t="n">
        <f aca="false">E313*N('Debt Payoff'!D12)/12</f>
        <v>0</v>
      </c>
      <c r="N313" s="0" t="n">
        <f aca="false">F313*N('Debt Payoff'!D13)/12</f>
        <v>0</v>
      </c>
      <c r="O313" s="0" t="n">
        <f aca="false">G313*N('Debt Payoff'!D14)/12</f>
        <v>0</v>
      </c>
      <c r="P313" s="0" t="n">
        <f aca="false">H313*N('Debt Payoff'!D15)/12</f>
        <v>0</v>
      </c>
      <c r="Q313" s="0" t="n">
        <f aca="false">I313*N('Debt Payoff'!D16)/12</f>
        <v>0</v>
      </c>
      <c r="R313" s="0" t="n">
        <f aca="false">B313+J313</f>
        <v>0</v>
      </c>
      <c r="S313" s="0" t="n">
        <f aca="false">C313+K313</f>
        <v>0</v>
      </c>
      <c r="T313" s="0" t="n">
        <f aca="false">D313+L313</f>
        <v>0</v>
      </c>
      <c r="U313" s="0" t="n">
        <f aca="false">E313+M313</f>
        <v>0</v>
      </c>
      <c r="V313" s="0" t="n">
        <f aca="false">F313+N313</f>
        <v>0</v>
      </c>
      <c r="W313" s="0" t="n">
        <f aca="false">G313+O313</f>
        <v>0</v>
      </c>
      <c r="X313" s="0" t="n">
        <f aca="false">H313+P313</f>
        <v>0</v>
      </c>
      <c r="Y313" s="0" t="n">
        <f aca="false">I313+Q313</f>
        <v>0</v>
      </c>
      <c r="Z313" s="0" t="n">
        <f aca="false">MIN(R313,N('Debt Payoff'!E9))</f>
        <v>0</v>
      </c>
      <c r="AA313" s="0" t="n">
        <f aca="false">MIN(S313,N('Debt Payoff'!E10))</f>
        <v>0</v>
      </c>
      <c r="AB313" s="0" t="n">
        <f aca="false">MIN(T313,N('Debt Payoff'!E11))</f>
        <v>0</v>
      </c>
      <c r="AC313" s="0" t="n">
        <f aca="false">MIN(U313,N('Debt Payoff'!E12))</f>
        <v>0</v>
      </c>
      <c r="AD313" s="0" t="n">
        <f aca="false">MIN(V313,N('Debt Payoff'!E13))</f>
        <v>0</v>
      </c>
      <c r="AE313" s="0" t="n">
        <f aca="false">MIN(W313,N('Debt Payoff'!E14))</f>
        <v>0</v>
      </c>
      <c r="AF313" s="0" t="n">
        <f aca="false">MIN(X313,N('Debt Payoff'!E15))</f>
        <v>0</v>
      </c>
      <c r="AG313" s="0" t="n">
        <f aca="false">MIN(Y313,N('Debt Payoff'!E16))</f>
        <v>0</v>
      </c>
      <c r="AH313" s="0" t="n">
        <f aca="false">R313-Z313</f>
        <v>0</v>
      </c>
      <c r="AI313" s="0" t="n">
        <f aca="false">S313-AA313</f>
        <v>0</v>
      </c>
      <c r="AJ313" s="0" t="n">
        <f aca="false">T313-AB313</f>
        <v>0</v>
      </c>
      <c r="AK313" s="0" t="n">
        <f aca="false">U313-AC313</f>
        <v>0</v>
      </c>
      <c r="AL313" s="0" t="n">
        <f aca="false">V313-AD313</f>
        <v>0</v>
      </c>
      <c r="AM313" s="0" t="n">
        <f aca="false">W313-AE313</f>
        <v>0</v>
      </c>
      <c r="AN313" s="0" t="n">
        <f aca="false">X313-AF313</f>
        <v>0</v>
      </c>
      <c r="AO313" s="0" t="n">
        <f aca="false">Y313-AG313</f>
        <v>0</v>
      </c>
      <c r="AP313" s="0" t="n">
        <f aca="false">MAX(0,'Debt Payoff'!$D$17-SUM(Z313:AG313))</f>
        <v>805</v>
      </c>
      <c r="AQ313" s="0" t="n">
        <f aca="false">MIN(AH313,MAX(0,$AP313-SUMPRODUCT(($AH$1:$AO$1&lt;AH$1)*$AH313:$AO313)))</f>
        <v>0</v>
      </c>
      <c r="AR313" s="0" t="n">
        <f aca="false">MIN(AI313,MAX(0,$AP313-SUMPRODUCT(($AH$1:$AO$1&lt;AI$1)*$AH313:$AO313)))</f>
        <v>0</v>
      </c>
      <c r="AS313" s="0" t="n">
        <f aca="false">MIN(AJ313,MAX(0,$AP313-SUMPRODUCT(($AH$1:$AO$1&lt;AJ$1)*$AH313:$AO313)))</f>
        <v>0</v>
      </c>
      <c r="AT313" s="0" t="n">
        <f aca="false">MIN(AK313,MAX(0,$AP313-SUMPRODUCT(($AH$1:$AO$1&lt;AK$1)*$AH313:$AO313)))</f>
        <v>0</v>
      </c>
      <c r="AU313" s="0" t="n">
        <f aca="false">MIN(AL313,MAX(0,$AP313-SUMPRODUCT(($AH$1:$AO$1&lt;AL$1)*$AH313:$AO313)))</f>
        <v>0</v>
      </c>
      <c r="AV313" s="0" t="n">
        <f aca="false">MIN(AM313,MAX(0,$AP313-SUMPRODUCT(($AH$1:$AO$1&lt;AM$1)*$AH313:$AO313)))</f>
        <v>0</v>
      </c>
      <c r="AW313" s="0" t="n">
        <f aca="false">MIN(AN313,MAX(0,$AP313-SUMPRODUCT(($AH$1:$AO$1&lt;AN$1)*$AH313:$AO313)))</f>
        <v>0</v>
      </c>
      <c r="AX313" s="0" t="n">
        <f aca="false">MIN(AO313,MAX(0,$AP313-SUMPRODUCT(($AH$1:$AO$1&lt;AO$1)*$AH313:$AO313)))</f>
        <v>0</v>
      </c>
      <c r="AY313" s="0" t="n">
        <f aca="false">ROUND(AH313-AQ313,2)</f>
        <v>0</v>
      </c>
      <c r="AZ313" s="0" t="n">
        <f aca="false">ROUND(AI313-AR313,2)</f>
        <v>0</v>
      </c>
      <c r="BA313" s="0" t="n">
        <f aca="false">ROUND(AJ313-AS313,2)</f>
        <v>0</v>
      </c>
      <c r="BB313" s="0" t="n">
        <f aca="false">ROUND(AK313-AT313,2)</f>
        <v>0</v>
      </c>
      <c r="BC313" s="0" t="n">
        <f aca="false">ROUND(AL313-AU313,2)</f>
        <v>0</v>
      </c>
      <c r="BD313" s="0" t="n">
        <f aca="false">ROUND(AM313-AV313,2)</f>
        <v>0</v>
      </c>
      <c r="BE313" s="0" t="n">
        <f aca="false">ROUND(AN313-AW313,2)</f>
        <v>0</v>
      </c>
      <c r="BF313" s="0" t="n">
        <f aca="false">ROUND(AO313-AX313,2)</f>
        <v>0</v>
      </c>
      <c r="BG313" s="0" t="n">
        <f aca="false">SUM(AY313:BF313)</f>
        <v>0</v>
      </c>
    </row>
    <row r="314" customFormat="false" ht="15" hidden="false" customHeight="false" outlineLevel="0" collapsed="false">
      <c r="A314" s="0" t="n">
        <v>312</v>
      </c>
      <c r="B314" s="0" t="n">
        <f aca="false">AY313</f>
        <v>0</v>
      </c>
      <c r="C314" s="0" t="n">
        <f aca="false">AZ313</f>
        <v>0</v>
      </c>
      <c r="D314" s="0" t="n">
        <f aca="false">BA313</f>
        <v>0</v>
      </c>
      <c r="E314" s="0" t="n">
        <f aca="false">BB313</f>
        <v>0</v>
      </c>
      <c r="F314" s="0" t="n">
        <f aca="false">BC313</f>
        <v>0</v>
      </c>
      <c r="G314" s="0" t="n">
        <f aca="false">BD313</f>
        <v>0</v>
      </c>
      <c r="H314" s="0" t="n">
        <f aca="false">BE313</f>
        <v>0</v>
      </c>
      <c r="I314" s="0" t="n">
        <f aca="false">BF313</f>
        <v>0</v>
      </c>
      <c r="J314" s="0" t="n">
        <f aca="false">B314*N('Debt Payoff'!D9)/12</f>
        <v>0</v>
      </c>
      <c r="K314" s="0" t="n">
        <f aca="false">C314*N('Debt Payoff'!D10)/12</f>
        <v>0</v>
      </c>
      <c r="L314" s="0" t="n">
        <f aca="false">D314*N('Debt Payoff'!D11)/12</f>
        <v>0</v>
      </c>
      <c r="M314" s="0" t="n">
        <f aca="false">E314*N('Debt Payoff'!D12)/12</f>
        <v>0</v>
      </c>
      <c r="N314" s="0" t="n">
        <f aca="false">F314*N('Debt Payoff'!D13)/12</f>
        <v>0</v>
      </c>
      <c r="O314" s="0" t="n">
        <f aca="false">G314*N('Debt Payoff'!D14)/12</f>
        <v>0</v>
      </c>
      <c r="P314" s="0" t="n">
        <f aca="false">H314*N('Debt Payoff'!D15)/12</f>
        <v>0</v>
      </c>
      <c r="Q314" s="0" t="n">
        <f aca="false">I314*N('Debt Payoff'!D16)/12</f>
        <v>0</v>
      </c>
      <c r="R314" s="0" t="n">
        <f aca="false">B314+J314</f>
        <v>0</v>
      </c>
      <c r="S314" s="0" t="n">
        <f aca="false">C314+K314</f>
        <v>0</v>
      </c>
      <c r="T314" s="0" t="n">
        <f aca="false">D314+L314</f>
        <v>0</v>
      </c>
      <c r="U314" s="0" t="n">
        <f aca="false">E314+M314</f>
        <v>0</v>
      </c>
      <c r="V314" s="0" t="n">
        <f aca="false">F314+N314</f>
        <v>0</v>
      </c>
      <c r="W314" s="0" t="n">
        <f aca="false">G314+O314</f>
        <v>0</v>
      </c>
      <c r="X314" s="0" t="n">
        <f aca="false">H314+P314</f>
        <v>0</v>
      </c>
      <c r="Y314" s="0" t="n">
        <f aca="false">I314+Q314</f>
        <v>0</v>
      </c>
      <c r="Z314" s="0" t="n">
        <f aca="false">MIN(R314,N('Debt Payoff'!E9))</f>
        <v>0</v>
      </c>
      <c r="AA314" s="0" t="n">
        <f aca="false">MIN(S314,N('Debt Payoff'!E10))</f>
        <v>0</v>
      </c>
      <c r="AB314" s="0" t="n">
        <f aca="false">MIN(T314,N('Debt Payoff'!E11))</f>
        <v>0</v>
      </c>
      <c r="AC314" s="0" t="n">
        <f aca="false">MIN(U314,N('Debt Payoff'!E12))</f>
        <v>0</v>
      </c>
      <c r="AD314" s="0" t="n">
        <f aca="false">MIN(V314,N('Debt Payoff'!E13))</f>
        <v>0</v>
      </c>
      <c r="AE314" s="0" t="n">
        <f aca="false">MIN(W314,N('Debt Payoff'!E14))</f>
        <v>0</v>
      </c>
      <c r="AF314" s="0" t="n">
        <f aca="false">MIN(X314,N('Debt Payoff'!E15))</f>
        <v>0</v>
      </c>
      <c r="AG314" s="0" t="n">
        <f aca="false">MIN(Y314,N('Debt Payoff'!E16))</f>
        <v>0</v>
      </c>
      <c r="AH314" s="0" t="n">
        <f aca="false">R314-Z314</f>
        <v>0</v>
      </c>
      <c r="AI314" s="0" t="n">
        <f aca="false">S314-AA314</f>
        <v>0</v>
      </c>
      <c r="AJ314" s="0" t="n">
        <f aca="false">T314-AB314</f>
        <v>0</v>
      </c>
      <c r="AK314" s="0" t="n">
        <f aca="false">U314-AC314</f>
        <v>0</v>
      </c>
      <c r="AL314" s="0" t="n">
        <f aca="false">V314-AD314</f>
        <v>0</v>
      </c>
      <c r="AM314" s="0" t="n">
        <f aca="false">W314-AE314</f>
        <v>0</v>
      </c>
      <c r="AN314" s="0" t="n">
        <f aca="false">X314-AF314</f>
        <v>0</v>
      </c>
      <c r="AO314" s="0" t="n">
        <f aca="false">Y314-AG314</f>
        <v>0</v>
      </c>
      <c r="AP314" s="0" t="n">
        <f aca="false">MAX(0,'Debt Payoff'!$D$17-SUM(Z314:AG314))</f>
        <v>805</v>
      </c>
      <c r="AQ314" s="0" t="n">
        <f aca="false">MIN(AH314,MAX(0,$AP314-SUMPRODUCT(($AH$1:$AO$1&lt;AH$1)*$AH314:$AO314)))</f>
        <v>0</v>
      </c>
      <c r="AR314" s="0" t="n">
        <f aca="false">MIN(AI314,MAX(0,$AP314-SUMPRODUCT(($AH$1:$AO$1&lt;AI$1)*$AH314:$AO314)))</f>
        <v>0</v>
      </c>
      <c r="AS314" s="0" t="n">
        <f aca="false">MIN(AJ314,MAX(0,$AP314-SUMPRODUCT(($AH$1:$AO$1&lt;AJ$1)*$AH314:$AO314)))</f>
        <v>0</v>
      </c>
      <c r="AT314" s="0" t="n">
        <f aca="false">MIN(AK314,MAX(0,$AP314-SUMPRODUCT(($AH$1:$AO$1&lt;AK$1)*$AH314:$AO314)))</f>
        <v>0</v>
      </c>
      <c r="AU314" s="0" t="n">
        <f aca="false">MIN(AL314,MAX(0,$AP314-SUMPRODUCT(($AH$1:$AO$1&lt;AL$1)*$AH314:$AO314)))</f>
        <v>0</v>
      </c>
      <c r="AV314" s="0" t="n">
        <f aca="false">MIN(AM314,MAX(0,$AP314-SUMPRODUCT(($AH$1:$AO$1&lt;AM$1)*$AH314:$AO314)))</f>
        <v>0</v>
      </c>
      <c r="AW314" s="0" t="n">
        <f aca="false">MIN(AN314,MAX(0,$AP314-SUMPRODUCT(($AH$1:$AO$1&lt;AN$1)*$AH314:$AO314)))</f>
        <v>0</v>
      </c>
      <c r="AX314" s="0" t="n">
        <f aca="false">MIN(AO314,MAX(0,$AP314-SUMPRODUCT(($AH$1:$AO$1&lt;AO$1)*$AH314:$AO314)))</f>
        <v>0</v>
      </c>
      <c r="AY314" s="0" t="n">
        <f aca="false">ROUND(AH314-AQ314,2)</f>
        <v>0</v>
      </c>
      <c r="AZ314" s="0" t="n">
        <f aca="false">ROUND(AI314-AR314,2)</f>
        <v>0</v>
      </c>
      <c r="BA314" s="0" t="n">
        <f aca="false">ROUND(AJ314-AS314,2)</f>
        <v>0</v>
      </c>
      <c r="BB314" s="0" t="n">
        <f aca="false">ROUND(AK314-AT314,2)</f>
        <v>0</v>
      </c>
      <c r="BC314" s="0" t="n">
        <f aca="false">ROUND(AL314-AU314,2)</f>
        <v>0</v>
      </c>
      <c r="BD314" s="0" t="n">
        <f aca="false">ROUND(AM314-AV314,2)</f>
        <v>0</v>
      </c>
      <c r="BE314" s="0" t="n">
        <f aca="false">ROUND(AN314-AW314,2)</f>
        <v>0</v>
      </c>
      <c r="BF314" s="0" t="n">
        <f aca="false">ROUND(AO314-AX314,2)</f>
        <v>0</v>
      </c>
      <c r="BG314" s="0" t="n">
        <f aca="false">SUM(AY314:BF314)</f>
        <v>0</v>
      </c>
    </row>
    <row r="315" customFormat="false" ht="15" hidden="false" customHeight="false" outlineLevel="0" collapsed="false">
      <c r="A315" s="0" t="n">
        <v>313</v>
      </c>
      <c r="B315" s="0" t="n">
        <f aca="false">AY314</f>
        <v>0</v>
      </c>
      <c r="C315" s="0" t="n">
        <f aca="false">AZ314</f>
        <v>0</v>
      </c>
      <c r="D315" s="0" t="n">
        <f aca="false">BA314</f>
        <v>0</v>
      </c>
      <c r="E315" s="0" t="n">
        <f aca="false">BB314</f>
        <v>0</v>
      </c>
      <c r="F315" s="0" t="n">
        <f aca="false">BC314</f>
        <v>0</v>
      </c>
      <c r="G315" s="0" t="n">
        <f aca="false">BD314</f>
        <v>0</v>
      </c>
      <c r="H315" s="0" t="n">
        <f aca="false">BE314</f>
        <v>0</v>
      </c>
      <c r="I315" s="0" t="n">
        <f aca="false">BF314</f>
        <v>0</v>
      </c>
      <c r="J315" s="0" t="n">
        <f aca="false">B315*N('Debt Payoff'!D9)/12</f>
        <v>0</v>
      </c>
      <c r="K315" s="0" t="n">
        <f aca="false">C315*N('Debt Payoff'!D10)/12</f>
        <v>0</v>
      </c>
      <c r="L315" s="0" t="n">
        <f aca="false">D315*N('Debt Payoff'!D11)/12</f>
        <v>0</v>
      </c>
      <c r="M315" s="0" t="n">
        <f aca="false">E315*N('Debt Payoff'!D12)/12</f>
        <v>0</v>
      </c>
      <c r="N315" s="0" t="n">
        <f aca="false">F315*N('Debt Payoff'!D13)/12</f>
        <v>0</v>
      </c>
      <c r="O315" s="0" t="n">
        <f aca="false">G315*N('Debt Payoff'!D14)/12</f>
        <v>0</v>
      </c>
      <c r="P315" s="0" t="n">
        <f aca="false">H315*N('Debt Payoff'!D15)/12</f>
        <v>0</v>
      </c>
      <c r="Q315" s="0" t="n">
        <f aca="false">I315*N('Debt Payoff'!D16)/12</f>
        <v>0</v>
      </c>
      <c r="R315" s="0" t="n">
        <f aca="false">B315+J315</f>
        <v>0</v>
      </c>
      <c r="S315" s="0" t="n">
        <f aca="false">C315+K315</f>
        <v>0</v>
      </c>
      <c r="T315" s="0" t="n">
        <f aca="false">D315+L315</f>
        <v>0</v>
      </c>
      <c r="U315" s="0" t="n">
        <f aca="false">E315+M315</f>
        <v>0</v>
      </c>
      <c r="V315" s="0" t="n">
        <f aca="false">F315+N315</f>
        <v>0</v>
      </c>
      <c r="W315" s="0" t="n">
        <f aca="false">G315+O315</f>
        <v>0</v>
      </c>
      <c r="X315" s="0" t="n">
        <f aca="false">H315+P315</f>
        <v>0</v>
      </c>
      <c r="Y315" s="0" t="n">
        <f aca="false">I315+Q315</f>
        <v>0</v>
      </c>
      <c r="Z315" s="0" t="n">
        <f aca="false">MIN(R315,N('Debt Payoff'!E9))</f>
        <v>0</v>
      </c>
      <c r="AA315" s="0" t="n">
        <f aca="false">MIN(S315,N('Debt Payoff'!E10))</f>
        <v>0</v>
      </c>
      <c r="AB315" s="0" t="n">
        <f aca="false">MIN(T315,N('Debt Payoff'!E11))</f>
        <v>0</v>
      </c>
      <c r="AC315" s="0" t="n">
        <f aca="false">MIN(U315,N('Debt Payoff'!E12))</f>
        <v>0</v>
      </c>
      <c r="AD315" s="0" t="n">
        <f aca="false">MIN(V315,N('Debt Payoff'!E13))</f>
        <v>0</v>
      </c>
      <c r="AE315" s="0" t="n">
        <f aca="false">MIN(W315,N('Debt Payoff'!E14))</f>
        <v>0</v>
      </c>
      <c r="AF315" s="0" t="n">
        <f aca="false">MIN(X315,N('Debt Payoff'!E15))</f>
        <v>0</v>
      </c>
      <c r="AG315" s="0" t="n">
        <f aca="false">MIN(Y315,N('Debt Payoff'!E16))</f>
        <v>0</v>
      </c>
      <c r="AH315" s="0" t="n">
        <f aca="false">R315-Z315</f>
        <v>0</v>
      </c>
      <c r="AI315" s="0" t="n">
        <f aca="false">S315-AA315</f>
        <v>0</v>
      </c>
      <c r="AJ315" s="0" t="n">
        <f aca="false">T315-AB315</f>
        <v>0</v>
      </c>
      <c r="AK315" s="0" t="n">
        <f aca="false">U315-AC315</f>
        <v>0</v>
      </c>
      <c r="AL315" s="0" t="n">
        <f aca="false">V315-AD315</f>
        <v>0</v>
      </c>
      <c r="AM315" s="0" t="n">
        <f aca="false">W315-AE315</f>
        <v>0</v>
      </c>
      <c r="AN315" s="0" t="n">
        <f aca="false">X315-AF315</f>
        <v>0</v>
      </c>
      <c r="AO315" s="0" t="n">
        <f aca="false">Y315-AG315</f>
        <v>0</v>
      </c>
      <c r="AP315" s="0" t="n">
        <f aca="false">MAX(0,'Debt Payoff'!$D$17-SUM(Z315:AG315))</f>
        <v>805</v>
      </c>
      <c r="AQ315" s="0" t="n">
        <f aca="false">MIN(AH315,MAX(0,$AP315-SUMPRODUCT(($AH$1:$AO$1&lt;AH$1)*$AH315:$AO315)))</f>
        <v>0</v>
      </c>
      <c r="AR315" s="0" t="n">
        <f aca="false">MIN(AI315,MAX(0,$AP315-SUMPRODUCT(($AH$1:$AO$1&lt;AI$1)*$AH315:$AO315)))</f>
        <v>0</v>
      </c>
      <c r="AS315" s="0" t="n">
        <f aca="false">MIN(AJ315,MAX(0,$AP315-SUMPRODUCT(($AH$1:$AO$1&lt;AJ$1)*$AH315:$AO315)))</f>
        <v>0</v>
      </c>
      <c r="AT315" s="0" t="n">
        <f aca="false">MIN(AK315,MAX(0,$AP315-SUMPRODUCT(($AH$1:$AO$1&lt;AK$1)*$AH315:$AO315)))</f>
        <v>0</v>
      </c>
      <c r="AU315" s="0" t="n">
        <f aca="false">MIN(AL315,MAX(0,$AP315-SUMPRODUCT(($AH$1:$AO$1&lt;AL$1)*$AH315:$AO315)))</f>
        <v>0</v>
      </c>
      <c r="AV315" s="0" t="n">
        <f aca="false">MIN(AM315,MAX(0,$AP315-SUMPRODUCT(($AH$1:$AO$1&lt;AM$1)*$AH315:$AO315)))</f>
        <v>0</v>
      </c>
      <c r="AW315" s="0" t="n">
        <f aca="false">MIN(AN315,MAX(0,$AP315-SUMPRODUCT(($AH$1:$AO$1&lt;AN$1)*$AH315:$AO315)))</f>
        <v>0</v>
      </c>
      <c r="AX315" s="0" t="n">
        <f aca="false">MIN(AO315,MAX(0,$AP315-SUMPRODUCT(($AH$1:$AO$1&lt;AO$1)*$AH315:$AO315)))</f>
        <v>0</v>
      </c>
      <c r="AY315" s="0" t="n">
        <f aca="false">ROUND(AH315-AQ315,2)</f>
        <v>0</v>
      </c>
      <c r="AZ315" s="0" t="n">
        <f aca="false">ROUND(AI315-AR315,2)</f>
        <v>0</v>
      </c>
      <c r="BA315" s="0" t="n">
        <f aca="false">ROUND(AJ315-AS315,2)</f>
        <v>0</v>
      </c>
      <c r="BB315" s="0" t="n">
        <f aca="false">ROUND(AK315-AT315,2)</f>
        <v>0</v>
      </c>
      <c r="BC315" s="0" t="n">
        <f aca="false">ROUND(AL315-AU315,2)</f>
        <v>0</v>
      </c>
      <c r="BD315" s="0" t="n">
        <f aca="false">ROUND(AM315-AV315,2)</f>
        <v>0</v>
      </c>
      <c r="BE315" s="0" t="n">
        <f aca="false">ROUND(AN315-AW315,2)</f>
        <v>0</v>
      </c>
      <c r="BF315" s="0" t="n">
        <f aca="false">ROUND(AO315-AX315,2)</f>
        <v>0</v>
      </c>
      <c r="BG315" s="0" t="n">
        <f aca="false">SUM(AY315:BF315)</f>
        <v>0</v>
      </c>
    </row>
    <row r="316" customFormat="false" ht="15" hidden="false" customHeight="false" outlineLevel="0" collapsed="false">
      <c r="A316" s="0" t="n">
        <v>314</v>
      </c>
      <c r="B316" s="0" t="n">
        <f aca="false">AY315</f>
        <v>0</v>
      </c>
      <c r="C316" s="0" t="n">
        <f aca="false">AZ315</f>
        <v>0</v>
      </c>
      <c r="D316" s="0" t="n">
        <f aca="false">BA315</f>
        <v>0</v>
      </c>
      <c r="E316" s="0" t="n">
        <f aca="false">BB315</f>
        <v>0</v>
      </c>
      <c r="F316" s="0" t="n">
        <f aca="false">BC315</f>
        <v>0</v>
      </c>
      <c r="G316" s="0" t="n">
        <f aca="false">BD315</f>
        <v>0</v>
      </c>
      <c r="H316" s="0" t="n">
        <f aca="false">BE315</f>
        <v>0</v>
      </c>
      <c r="I316" s="0" t="n">
        <f aca="false">BF315</f>
        <v>0</v>
      </c>
      <c r="J316" s="0" t="n">
        <f aca="false">B316*N('Debt Payoff'!D9)/12</f>
        <v>0</v>
      </c>
      <c r="K316" s="0" t="n">
        <f aca="false">C316*N('Debt Payoff'!D10)/12</f>
        <v>0</v>
      </c>
      <c r="L316" s="0" t="n">
        <f aca="false">D316*N('Debt Payoff'!D11)/12</f>
        <v>0</v>
      </c>
      <c r="M316" s="0" t="n">
        <f aca="false">E316*N('Debt Payoff'!D12)/12</f>
        <v>0</v>
      </c>
      <c r="N316" s="0" t="n">
        <f aca="false">F316*N('Debt Payoff'!D13)/12</f>
        <v>0</v>
      </c>
      <c r="O316" s="0" t="n">
        <f aca="false">G316*N('Debt Payoff'!D14)/12</f>
        <v>0</v>
      </c>
      <c r="P316" s="0" t="n">
        <f aca="false">H316*N('Debt Payoff'!D15)/12</f>
        <v>0</v>
      </c>
      <c r="Q316" s="0" t="n">
        <f aca="false">I316*N('Debt Payoff'!D16)/12</f>
        <v>0</v>
      </c>
      <c r="R316" s="0" t="n">
        <f aca="false">B316+J316</f>
        <v>0</v>
      </c>
      <c r="S316" s="0" t="n">
        <f aca="false">C316+K316</f>
        <v>0</v>
      </c>
      <c r="T316" s="0" t="n">
        <f aca="false">D316+L316</f>
        <v>0</v>
      </c>
      <c r="U316" s="0" t="n">
        <f aca="false">E316+M316</f>
        <v>0</v>
      </c>
      <c r="V316" s="0" t="n">
        <f aca="false">F316+N316</f>
        <v>0</v>
      </c>
      <c r="W316" s="0" t="n">
        <f aca="false">G316+O316</f>
        <v>0</v>
      </c>
      <c r="X316" s="0" t="n">
        <f aca="false">H316+P316</f>
        <v>0</v>
      </c>
      <c r="Y316" s="0" t="n">
        <f aca="false">I316+Q316</f>
        <v>0</v>
      </c>
      <c r="Z316" s="0" t="n">
        <f aca="false">MIN(R316,N('Debt Payoff'!E9))</f>
        <v>0</v>
      </c>
      <c r="AA316" s="0" t="n">
        <f aca="false">MIN(S316,N('Debt Payoff'!E10))</f>
        <v>0</v>
      </c>
      <c r="AB316" s="0" t="n">
        <f aca="false">MIN(T316,N('Debt Payoff'!E11))</f>
        <v>0</v>
      </c>
      <c r="AC316" s="0" t="n">
        <f aca="false">MIN(U316,N('Debt Payoff'!E12))</f>
        <v>0</v>
      </c>
      <c r="AD316" s="0" t="n">
        <f aca="false">MIN(V316,N('Debt Payoff'!E13))</f>
        <v>0</v>
      </c>
      <c r="AE316" s="0" t="n">
        <f aca="false">MIN(W316,N('Debt Payoff'!E14))</f>
        <v>0</v>
      </c>
      <c r="AF316" s="0" t="n">
        <f aca="false">MIN(X316,N('Debt Payoff'!E15))</f>
        <v>0</v>
      </c>
      <c r="AG316" s="0" t="n">
        <f aca="false">MIN(Y316,N('Debt Payoff'!E16))</f>
        <v>0</v>
      </c>
      <c r="AH316" s="0" t="n">
        <f aca="false">R316-Z316</f>
        <v>0</v>
      </c>
      <c r="AI316" s="0" t="n">
        <f aca="false">S316-AA316</f>
        <v>0</v>
      </c>
      <c r="AJ316" s="0" t="n">
        <f aca="false">T316-AB316</f>
        <v>0</v>
      </c>
      <c r="AK316" s="0" t="n">
        <f aca="false">U316-AC316</f>
        <v>0</v>
      </c>
      <c r="AL316" s="0" t="n">
        <f aca="false">V316-AD316</f>
        <v>0</v>
      </c>
      <c r="AM316" s="0" t="n">
        <f aca="false">W316-AE316</f>
        <v>0</v>
      </c>
      <c r="AN316" s="0" t="n">
        <f aca="false">X316-AF316</f>
        <v>0</v>
      </c>
      <c r="AO316" s="0" t="n">
        <f aca="false">Y316-AG316</f>
        <v>0</v>
      </c>
      <c r="AP316" s="0" t="n">
        <f aca="false">MAX(0,'Debt Payoff'!$D$17-SUM(Z316:AG316))</f>
        <v>805</v>
      </c>
      <c r="AQ316" s="0" t="n">
        <f aca="false">MIN(AH316,MAX(0,$AP316-SUMPRODUCT(($AH$1:$AO$1&lt;AH$1)*$AH316:$AO316)))</f>
        <v>0</v>
      </c>
      <c r="AR316" s="0" t="n">
        <f aca="false">MIN(AI316,MAX(0,$AP316-SUMPRODUCT(($AH$1:$AO$1&lt;AI$1)*$AH316:$AO316)))</f>
        <v>0</v>
      </c>
      <c r="AS316" s="0" t="n">
        <f aca="false">MIN(AJ316,MAX(0,$AP316-SUMPRODUCT(($AH$1:$AO$1&lt;AJ$1)*$AH316:$AO316)))</f>
        <v>0</v>
      </c>
      <c r="AT316" s="0" t="n">
        <f aca="false">MIN(AK316,MAX(0,$AP316-SUMPRODUCT(($AH$1:$AO$1&lt;AK$1)*$AH316:$AO316)))</f>
        <v>0</v>
      </c>
      <c r="AU316" s="0" t="n">
        <f aca="false">MIN(AL316,MAX(0,$AP316-SUMPRODUCT(($AH$1:$AO$1&lt;AL$1)*$AH316:$AO316)))</f>
        <v>0</v>
      </c>
      <c r="AV316" s="0" t="n">
        <f aca="false">MIN(AM316,MAX(0,$AP316-SUMPRODUCT(($AH$1:$AO$1&lt;AM$1)*$AH316:$AO316)))</f>
        <v>0</v>
      </c>
      <c r="AW316" s="0" t="n">
        <f aca="false">MIN(AN316,MAX(0,$AP316-SUMPRODUCT(($AH$1:$AO$1&lt;AN$1)*$AH316:$AO316)))</f>
        <v>0</v>
      </c>
      <c r="AX316" s="0" t="n">
        <f aca="false">MIN(AO316,MAX(0,$AP316-SUMPRODUCT(($AH$1:$AO$1&lt;AO$1)*$AH316:$AO316)))</f>
        <v>0</v>
      </c>
      <c r="AY316" s="0" t="n">
        <f aca="false">ROUND(AH316-AQ316,2)</f>
        <v>0</v>
      </c>
      <c r="AZ316" s="0" t="n">
        <f aca="false">ROUND(AI316-AR316,2)</f>
        <v>0</v>
      </c>
      <c r="BA316" s="0" t="n">
        <f aca="false">ROUND(AJ316-AS316,2)</f>
        <v>0</v>
      </c>
      <c r="BB316" s="0" t="n">
        <f aca="false">ROUND(AK316-AT316,2)</f>
        <v>0</v>
      </c>
      <c r="BC316" s="0" t="n">
        <f aca="false">ROUND(AL316-AU316,2)</f>
        <v>0</v>
      </c>
      <c r="BD316" s="0" t="n">
        <f aca="false">ROUND(AM316-AV316,2)</f>
        <v>0</v>
      </c>
      <c r="BE316" s="0" t="n">
        <f aca="false">ROUND(AN316-AW316,2)</f>
        <v>0</v>
      </c>
      <c r="BF316" s="0" t="n">
        <f aca="false">ROUND(AO316-AX316,2)</f>
        <v>0</v>
      </c>
      <c r="BG316" s="0" t="n">
        <f aca="false">SUM(AY316:BF316)</f>
        <v>0</v>
      </c>
    </row>
    <row r="317" customFormat="false" ht="15" hidden="false" customHeight="false" outlineLevel="0" collapsed="false">
      <c r="A317" s="0" t="n">
        <v>315</v>
      </c>
      <c r="B317" s="0" t="n">
        <f aca="false">AY316</f>
        <v>0</v>
      </c>
      <c r="C317" s="0" t="n">
        <f aca="false">AZ316</f>
        <v>0</v>
      </c>
      <c r="D317" s="0" t="n">
        <f aca="false">BA316</f>
        <v>0</v>
      </c>
      <c r="E317" s="0" t="n">
        <f aca="false">BB316</f>
        <v>0</v>
      </c>
      <c r="F317" s="0" t="n">
        <f aca="false">BC316</f>
        <v>0</v>
      </c>
      <c r="G317" s="0" t="n">
        <f aca="false">BD316</f>
        <v>0</v>
      </c>
      <c r="H317" s="0" t="n">
        <f aca="false">BE316</f>
        <v>0</v>
      </c>
      <c r="I317" s="0" t="n">
        <f aca="false">BF316</f>
        <v>0</v>
      </c>
      <c r="J317" s="0" t="n">
        <f aca="false">B317*N('Debt Payoff'!D9)/12</f>
        <v>0</v>
      </c>
      <c r="K317" s="0" t="n">
        <f aca="false">C317*N('Debt Payoff'!D10)/12</f>
        <v>0</v>
      </c>
      <c r="L317" s="0" t="n">
        <f aca="false">D317*N('Debt Payoff'!D11)/12</f>
        <v>0</v>
      </c>
      <c r="M317" s="0" t="n">
        <f aca="false">E317*N('Debt Payoff'!D12)/12</f>
        <v>0</v>
      </c>
      <c r="N317" s="0" t="n">
        <f aca="false">F317*N('Debt Payoff'!D13)/12</f>
        <v>0</v>
      </c>
      <c r="O317" s="0" t="n">
        <f aca="false">G317*N('Debt Payoff'!D14)/12</f>
        <v>0</v>
      </c>
      <c r="P317" s="0" t="n">
        <f aca="false">H317*N('Debt Payoff'!D15)/12</f>
        <v>0</v>
      </c>
      <c r="Q317" s="0" t="n">
        <f aca="false">I317*N('Debt Payoff'!D16)/12</f>
        <v>0</v>
      </c>
      <c r="R317" s="0" t="n">
        <f aca="false">B317+J317</f>
        <v>0</v>
      </c>
      <c r="S317" s="0" t="n">
        <f aca="false">C317+K317</f>
        <v>0</v>
      </c>
      <c r="T317" s="0" t="n">
        <f aca="false">D317+L317</f>
        <v>0</v>
      </c>
      <c r="U317" s="0" t="n">
        <f aca="false">E317+M317</f>
        <v>0</v>
      </c>
      <c r="V317" s="0" t="n">
        <f aca="false">F317+N317</f>
        <v>0</v>
      </c>
      <c r="W317" s="0" t="n">
        <f aca="false">G317+O317</f>
        <v>0</v>
      </c>
      <c r="X317" s="0" t="n">
        <f aca="false">H317+P317</f>
        <v>0</v>
      </c>
      <c r="Y317" s="0" t="n">
        <f aca="false">I317+Q317</f>
        <v>0</v>
      </c>
      <c r="Z317" s="0" t="n">
        <f aca="false">MIN(R317,N('Debt Payoff'!E9))</f>
        <v>0</v>
      </c>
      <c r="AA317" s="0" t="n">
        <f aca="false">MIN(S317,N('Debt Payoff'!E10))</f>
        <v>0</v>
      </c>
      <c r="AB317" s="0" t="n">
        <f aca="false">MIN(T317,N('Debt Payoff'!E11))</f>
        <v>0</v>
      </c>
      <c r="AC317" s="0" t="n">
        <f aca="false">MIN(U317,N('Debt Payoff'!E12))</f>
        <v>0</v>
      </c>
      <c r="AD317" s="0" t="n">
        <f aca="false">MIN(V317,N('Debt Payoff'!E13))</f>
        <v>0</v>
      </c>
      <c r="AE317" s="0" t="n">
        <f aca="false">MIN(W317,N('Debt Payoff'!E14))</f>
        <v>0</v>
      </c>
      <c r="AF317" s="0" t="n">
        <f aca="false">MIN(X317,N('Debt Payoff'!E15))</f>
        <v>0</v>
      </c>
      <c r="AG317" s="0" t="n">
        <f aca="false">MIN(Y317,N('Debt Payoff'!E16))</f>
        <v>0</v>
      </c>
      <c r="AH317" s="0" t="n">
        <f aca="false">R317-Z317</f>
        <v>0</v>
      </c>
      <c r="AI317" s="0" t="n">
        <f aca="false">S317-AA317</f>
        <v>0</v>
      </c>
      <c r="AJ317" s="0" t="n">
        <f aca="false">T317-AB317</f>
        <v>0</v>
      </c>
      <c r="AK317" s="0" t="n">
        <f aca="false">U317-AC317</f>
        <v>0</v>
      </c>
      <c r="AL317" s="0" t="n">
        <f aca="false">V317-AD317</f>
        <v>0</v>
      </c>
      <c r="AM317" s="0" t="n">
        <f aca="false">W317-AE317</f>
        <v>0</v>
      </c>
      <c r="AN317" s="0" t="n">
        <f aca="false">X317-AF317</f>
        <v>0</v>
      </c>
      <c r="AO317" s="0" t="n">
        <f aca="false">Y317-AG317</f>
        <v>0</v>
      </c>
      <c r="AP317" s="0" t="n">
        <f aca="false">MAX(0,'Debt Payoff'!$D$17-SUM(Z317:AG317))</f>
        <v>805</v>
      </c>
      <c r="AQ317" s="0" t="n">
        <f aca="false">MIN(AH317,MAX(0,$AP317-SUMPRODUCT(($AH$1:$AO$1&lt;AH$1)*$AH317:$AO317)))</f>
        <v>0</v>
      </c>
      <c r="AR317" s="0" t="n">
        <f aca="false">MIN(AI317,MAX(0,$AP317-SUMPRODUCT(($AH$1:$AO$1&lt;AI$1)*$AH317:$AO317)))</f>
        <v>0</v>
      </c>
      <c r="AS317" s="0" t="n">
        <f aca="false">MIN(AJ317,MAX(0,$AP317-SUMPRODUCT(($AH$1:$AO$1&lt;AJ$1)*$AH317:$AO317)))</f>
        <v>0</v>
      </c>
      <c r="AT317" s="0" t="n">
        <f aca="false">MIN(AK317,MAX(0,$AP317-SUMPRODUCT(($AH$1:$AO$1&lt;AK$1)*$AH317:$AO317)))</f>
        <v>0</v>
      </c>
      <c r="AU317" s="0" t="n">
        <f aca="false">MIN(AL317,MAX(0,$AP317-SUMPRODUCT(($AH$1:$AO$1&lt;AL$1)*$AH317:$AO317)))</f>
        <v>0</v>
      </c>
      <c r="AV317" s="0" t="n">
        <f aca="false">MIN(AM317,MAX(0,$AP317-SUMPRODUCT(($AH$1:$AO$1&lt;AM$1)*$AH317:$AO317)))</f>
        <v>0</v>
      </c>
      <c r="AW317" s="0" t="n">
        <f aca="false">MIN(AN317,MAX(0,$AP317-SUMPRODUCT(($AH$1:$AO$1&lt;AN$1)*$AH317:$AO317)))</f>
        <v>0</v>
      </c>
      <c r="AX317" s="0" t="n">
        <f aca="false">MIN(AO317,MAX(0,$AP317-SUMPRODUCT(($AH$1:$AO$1&lt;AO$1)*$AH317:$AO317)))</f>
        <v>0</v>
      </c>
      <c r="AY317" s="0" t="n">
        <f aca="false">ROUND(AH317-AQ317,2)</f>
        <v>0</v>
      </c>
      <c r="AZ317" s="0" t="n">
        <f aca="false">ROUND(AI317-AR317,2)</f>
        <v>0</v>
      </c>
      <c r="BA317" s="0" t="n">
        <f aca="false">ROUND(AJ317-AS317,2)</f>
        <v>0</v>
      </c>
      <c r="BB317" s="0" t="n">
        <f aca="false">ROUND(AK317-AT317,2)</f>
        <v>0</v>
      </c>
      <c r="BC317" s="0" t="n">
        <f aca="false">ROUND(AL317-AU317,2)</f>
        <v>0</v>
      </c>
      <c r="BD317" s="0" t="n">
        <f aca="false">ROUND(AM317-AV317,2)</f>
        <v>0</v>
      </c>
      <c r="BE317" s="0" t="n">
        <f aca="false">ROUND(AN317-AW317,2)</f>
        <v>0</v>
      </c>
      <c r="BF317" s="0" t="n">
        <f aca="false">ROUND(AO317-AX317,2)</f>
        <v>0</v>
      </c>
      <c r="BG317" s="0" t="n">
        <f aca="false">SUM(AY317:BF317)</f>
        <v>0</v>
      </c>
    </row>
    <row r="318" customFormat="false" ht="15" hidden="false" customHeight="false" outlineLevel="0" collapsed="false">
      <c r="A318" s="0" t="n">
        <v>316</v>
      </c>
      <c r="B318" s="0" t="n">
        <f aca="false">AY317</f>
        <v>0</v>
      </c>
      <c r="C318" s="0" t="n">
        <f aca="false">AZ317</f>
        <v>0</v>
      </c>
      <c r="D318" s="0" t="n">
        <f aca="false">BA317</f>
        <v>0</v>
      </c>
      <c r="E318" s="0" t="n">
        <f aca="false">BB317</f>
        <v>0</v>
      </c>
      <c r="F318" s="0" t="n">
        <f aca="false">BC317</f>
        <v>0</v>
      </c>
      <c r="G318" s="0" t="n">
        <f aca="false">BD317</f>
        <v>0</v>
      </c>
      <c r="H318" s="0" t="n">
        <f aca="false">BE317</f>
        <v>0</v>
      </c>
      <c r="I318" s="0" t="n">
        <f aca="false">BF317</f>
        <v>0</v>
      </c>
      <c r="J318" s="0" t="n">
        <f aca="false">B318*N('Debt Payoff'!D9)/12</f>
        <v>0</v>
      </c>
      <c r="K318" s="0" t="n">
        <f aca="false">C318*N('Debt Payoff'!D10)/12</f>
        <v>0</v>
      </c>
      <c r="L318" s="0" t="n">
        <f aca="false">D318*N('Debt Payoff'!D11)/12</f>
        <v>0</v>
      </c>
      <c r="M318" s="0" t="n">
        <f aca="false">E318*N('Debt Payoff'!D12)/12</f>
        <v>0</v>
      </c>
      <c r="N318" s="0" t="n">
        <f aca="false">F318*N('Debt Payoff'!D13)/12</f>
        <v>0</v>
      </c>
      <c r="O318" s="0" t="n">
        <f aca="false">G318*N('Debt Payoff'!D14)/12</f>
        <v>0</v>
      </c>
      <c r="P318" s="0" t="n">
        <f aca="false">H318*N('Debt Payoff'!D15)/12</f>
        <v>0</v>
      </c>
      <c r="Q318" s="0" t="n">
        <f aca="false">I318*N('Debt Payoff'!D16)/12</f>
        <v>0</v>
      </c>
      <c r="R318" s="0" t="n">
        <f aca="false">B318+J318</f>
        <v>0</v>
      </c>
      <c r="S318" s="0" t="n">
        <f aca="false">C318+K318</f>
        <v>0</v>
      </c>
      <c r="T318" s="0" t="n">
        <f aca="false">D318+L318</f>
        <v>0</v>
      </c>
      <c r="U318" s="0" t="n">
        <f aca="false">E318+M318</f>
        <v>0</v>
      </c>
      <c r="V318" s="0" t="n">
        <f aca="false">F318+N318</f>
        <v>0</v>
      </c>
      <c r="W318" s="0" t="n">
        <f aca="false">G318+O318</f>
        <v>0</v>
      </c>
      <c r="X318" s="0" t="n">
        <f aca="false">H318+P318</f>
        <v>0</v>
      </c>
      <c r="Y318" s="0" t="n">
        <f aca="false">I318+Q318</f>
        <v>0</v>
      </c>
      <c r="Z318" s="0" t="n">
        <f aca="false">MIN(R318,N('Debt Payoff'!E9))</f>
        <v>0</v>
      </c>
      <c r="AA318" s="0" t="n">
        <f aca="false">MIN(S318,N('Debt Payoff'!E10))</f>
        <v>0</v>
      </c>
      <c r="AB318" s="0" t="n">
        <f aca="false">MIN(T318,N('Debt Payoff'!E11))</f>
        <v>0</v>
      </c>
      <c r="AC318" s="0" t="n">
        <f aca="false">MIN(U318,N('Debt Payoff'!E12))</f>
        <v>0</v>
      </c>
      <c r="AD318" s="0" t="n">
        <f aca="false">MIN(V318,N('Debt Payoff'!E13))</f>
        <v>0</v>
      </c>
      <c r="AE318" s="0" t="n">
        <f aca="false">MIN(W318,N('Debt Payoff'!E14))</f>
        <v>0</v>
      </c>
      <c r="AF318" s="0" t="n">
        <f aca="false">MIN(X318,N('Debt Payoff'!E15))</f>
        <v>0</v>
      </c>
      <c r="AG318" s="0" t="n">
        <f aca="false">MIN(Y318,N('Debt Payoff'!E16))</f>
        <v>0</v>
      </c>
      <c r="AH318" s="0" t="n">
        <f aca="false">R318-Z318</f>
        <v>0</v>
      </c>
      <c r="AI318" s="0" t="n">
        <f aca="false">S318-AA318</f>
        <v>0</v>
      </c>
      <c r="AJ318" s="0" t="n">
        <f aca="false">T318-AB318</f>
        <v>0</v>
      </c>
      <c r="AK318" s="0" t="n">
        <f aca="false">U318-AC318</f>
        <v>0</v>
      </c>
      <c r="AL318" s="0" t="n">
        <f aca="false">V318-AD318</f>
        <v>0</v>
      </c>
      <c r="AM318" s="0" t="n">
        <f aca="false">W318-AE318</f>
        <v>0</v>
      </c>
      <c r="AN318" s="0" t="n">
        <f aca="false">X318-AF318</f>
        <v>0</v>
      </c>
      <c r="AO318" s="0" t="n">
        <f aca="false">Y318-AG318</f>
        <v>0</v>
      </c>
      <c r="AP318" s="0" t="n">
        <f aca="false">MAX(0,'Debt Payoff'!$D$17-SUM(Z318:AG318))</f>
        <v>805</v>
      </c>
      <c r="AQ318" s="0" t="n">
        <f aca="false">MIN(AH318,MAX(0,$AP318-SUMPRODUCT(($AH$1:$AO$1&lt;AH$1)*$AH318:$AO318)))</f>
        <v>0</v>
      </c>
      <c r="AR318" s="0" t="n">
        <f aca="false">MIN(AI318,MAX(0,$AP318-SUMPRODUCT(($AH$1:$AO$1&lt;AI$1)*$AH318:$AO318)))</f>
        <v>0</v>
      </c>
      <c r="AS318" s="0" t="n">
        <f aca="false">MIN(AJ318,MAX(0,$AP318-SUMPRODUCT(($AH$1:$AO$1&lt;AJ$1)*$AH318:$AO318)))</f>
        <v>0</v>
      </c>
      <c r="AT318" s="0" t="n">
        <f aca="false">MIN(AK318,MAX(0,$AP318-SUMPRODUCT(($AH$1:$AO$1&lt;AK$1)*$AH318:$AO318)))</f>
        <v>0</v>
      </c>
      <c r="AU318" s="0" t="n">
        <f aca="false">MIN(AL318,MAX(0,$AP318-SUMPRODUCT(($AH$1:$AO$1&lt;AL$1)*$AH318:$AO318)))</f>
        <v>0</v>
      </c>
      <c r="AV318" s="0" t="n">
        <f aca="false">MIN(AM318,MAX(0,$AP318-SUMPRODUCT(($AH$1:$AO$1&lt;AM$1)*$AH318:$AO318)))</f>
        <v>0</v>
      </c>
      <c r="AW318" s="0" t="n">
        <f aca="false">MIN(AN318,MAX(0,$AP318-SUMPRODUCT(($AH$1:$AO$1&lt;AN$1)*$AH318:$AO318)))</f>
        <v>0</v>
      </c>
      <c r="AX318" s="0" t="n">
        <f aca="false">MIN(AO318,MAX(0,$AP318-SUMPRODUCT(($AH$1:$AO$1&lt;AO$1)*$AH318:$AO318)))</f>
        <v>0</v>
      </c>
      <c r="AY318" s="0" t="n">
        <f aca="false">ROUND(AH318-AQ318,2)</f>
        <v>0</v>
      </c>
      <c r="AZ318" s="0" t="n">
        <f aca="false">ROUND(AI318-AR318,2)</f>
        <v>0</v>
      </c>
      <c r="BA318" s="0" t="n">
        <f aca="false">ROUND(AJ318-AS318,2)</f>
        <v>0</v>
      </c>
      <c r="BB318" s="0" t="n">
        <f aca="false">ROUND(AK318-AT318,2)</f>
        <v>0</v>
      </c>
      <c r="BC318" s="0" t="n">
        <f aca="false">ROUND(AL318-AU318,2)</f>
        <v>0</v>
      </c>
      <c r="BD318" s="0" t="n">
        <f aca="false">ROUND(AM318-AV318,2)</f>
        <v>0</v>
      </c>
      <c r="BE318" s="0" t="n">
        <f aca="false">ROUND(AN318-AW318,2)</f>
        <v>0</v>
      </c>
      <c r="BF318" s="0" t="n">
        <f aca="false">ROUND(AO318-AX318,2)</f>
        <v>0</v>
      </c>
      <c r="BG318" s="0" t="n">
        <f aca="false">SUM(AY318:BF318)</f>
        <v>0</v>
      </c>
    </row>
    <row r="319" customFormat="false" ht="15" hidden="false" customHeight="false" outlineLevel="0" collapsed="false">
      <c r="A319" s="0" t="n">
        <v>317</v>
      </c>
      <c r="B319" s="0" t="n">
        <f aca="false">AY318</f>
        <v>0</v>
      </c>
      <c r="C319" s="0" t="n">
        <f aca="false">AZ318</f>
        <v>0</v>
      </c>
      <c r="D319" s="0" t="n">
        <f aca="false">BA318</f>
        <v>0</v>
      </c>
      <c r="E319" s="0" t="n">
        <f aca="false">BB318</f>
        <v>0</v>
      </c>
      <c r="F319" s="0" t="n">
        <f aca="false">BC318</f>
        <v>0</v>
      </c>
      <c r="G319" s="0" t="n">
        <f aca="false">BD318</f>
        <v>0</v>
      </c>
      <c r="H319" s="0" t="n">
        <f aca="false">BE318</f>
        <v>0</v>
      </c>
      <c r="I319" s="0" t="n">
        <f aca="false">BF318</f>
        <v>0</v>
      </c>
      <c r="J319" s="0" t="n">
        <f aca="false">B319*N('Debt Payoff'!D9)/12</f>
        <v>0</v>
      </c>
      <c r="K319" s="0" t="n">
        <f aca="false">C319*N('Debt Payoff'!D10)/12</f>
        <v>0</v>
      </c>
      <c r="L319" s="0" t="n">
        <f aca="false">D319*N('Debt Payoff'!D11)/12</f>
        <v>0</v>
      </c>
      <c r="M319" s="0" t="n">
        <f aca="false">E319*N('Debt Payoff'!D12)/12</f>
        <v>0</v>
      </c>
      <c r="N319" s="0" t="n">
        <f aca="false">F319*N('Debt Payoff'!D13)/12</f>
        <v>0</v>
      </c>
      <c r="O319" s="0" t="n">
        <f aca="false">G319*N('Debt Payoff'!D14)/12</f>
        <v>0</v>
      </c>
      <c r="P319" s="0" t="n">
        <f aca="false">H319*N('Debt Payoff'!D15)/12</f>
        <v>0</v>
      </c>
      <c r="Q319" s="0" t="n">
        <f aca="false">I319*N('Debt Payoff'!D16)/12</f>
        <v>0</v>
      </c>
      <c r="R319" s="0" t="n">
        <f aca="false">B319+J319</f>
        <v>0</v>
      </c>
      <c r="S319" s="0" t="n">
        <f aca="false">C319+K319</f>
        <v>0</v>
      </c>
      <c r="T319" s="0" t="n">
        <f aca="false">D319+L319</f>
        <v>0</v>
      </c>
      <c r="U319" s="0" t="n">
        <f aca="false">E319+M319</f>
        <v>0</v>
      </c>
      <c r="V319" s="0" t="n">
        <f aca="false">F319+N319</f>
        <v>0</v>
      </c>
      <c r="W319" s="0" t="n">
        <f aca="false">G319+O319</f>
        <v>0</v>
      </c>
      <c r="X319" s="0" t="n">
        <f aca="false">H319+P319</f>
        <v>0</v>
      </c>
      <c r="Y319" s="0" t="n">
        <f aca="false">I319+Q319</f>
        <v>0</v>
      </c>
      <c r="Z319" s="0" t="n">
        <f aca="false">MIN(R319,N('Debt Payoff'!E9))</f>
        <v>0</v>
      </c>
      <c r="AA319" s="0" t="n">
        <f aca="false">MIN(S319,N('Debt Payoff'!E10))</f>
        <v>0</v>
      </c>
      <c r="AB319" s="0" t="n">
        <f aca="false">MIN(T319,N('Debt Payoff'!E11))</f>
        <v>0</v>
      </c>
      <c r="AC319" s="0" t="n">
        <f aca="false">MIN(U319,N('Debt Payoff'!E12))</f>
        <v>0</v>
      </c>
      <c r="AD319" s="0" t="n">
        <f aca="false">MIN(V319,N('Debt Payoff'!E13))</f>
        <v>0</v>
      </c>
      <c r="AE319" s="0" t="n">
        <f aca="false">MIN(W319,N('Debt Payoff'!E14))</f>
        <v>0</v>
      </c>
      <c r="AF319" s="0" t="n">
        <f aca="false">MIN(X319,N('Debt Payoff'!E15))</f>
        <v>0</v>
      </c>
      <c r="AG319" s="0" t="n">
        <f aca="false">MIN(Y319,N('Debt Payoff'!E16))</f>
        <v>0</v>
      </c>
      <c r="AH319" s="0" t="n">
        <f aca="false">R319-Z319</f>
        <v>0</v>
      </c>
      <c r="AI319" s="0" t="n">
        <f aca="false">S319-AA319</f>
        <v>0</v>
      </c>
      <c r="AJ319" s="0" t="n">
        <f aca="false">T319-AB319</f>
        <v>0</v>
      </c>
      <c r="AK319" s="0" t="n">
        <f aca="false">U319-AC319</f>
        <v>0</v>
      </c>
      <c r="AL319" s="0" t="n">
        <f aca="false">V319-AD319</f>
        <v>0</v>
      </c>
      <c r="AM319" s="0" t="n">
        <f aca="false">W319-AE319</f>
        <v>0</v>
      </c>
      <c r="AN319" s="0" t="n">
        <f aca="false">X319-AF319</f>
        <v>0</v>
      </c>
      <c r="AO319" s="0" t="n">
        <f aca="false">Y319-AG319</f>
        <v>0</v>
      </c>
      <c r="AP319" s="0" t="n">
        <f aca="false">MAX(0,'Debt Payoff'!$D$17-SUM(Z319:AG319))</f>
        <v>805</v>
      </c>
      <c r="AQ319" s="0" t="n">
        <f aca="false">MIN(AH319,MAX(0,$AP319-SUMPRODUCT(($AH$1:$AO$1&lt;AH$1)*$AH319:$AO319)))</f>
        <v>0</v>
      </c>
      <c r="AR319" s="0" t="n">
        <f aca="false">MIN(AI319,MAX(0,$AP319-SUMPRODUCT(($AH$1:$AO$1&lt;AI$1)*$AH319:$AO319)))</f>
        <v>0</v>
      </c>
      <c r="AS319" s="0" t="n">
        <f aca="false">MIN(AJ319,MAX(0,$AP319-SUMPRODUCT(($AH$1:$AO$1&lt;AJ$1)*$AH319:$AO319)))</f>
        <v>0</v>
      </c>
      <c r="AT319" s="0" t="n">
        <f aca="false">MIN(AK319,MAX(0,$AP319-SUMPRODUCT(($AH$1:$AO$1&lt;AK$1)*$AH319:$AO319)))</f>
        <v>0</v>
      </c>
      <c r="AU319" s="0" t="n">
        <f aca="false">MIN(AL319,MAX(0,$AP319-SUMPRODUCT(($AH$1:$AO$1&lt;AL$1)*$AH319:$AO319)))</f>
        <v>0</v>
      </c>
      <c r="AV319" s="0" t="n">
        <f aca="false">MIN(AM319,MAX(0,$AP319-SUMPRODUCT(($AH$1:$AO$1&lt;AM$1)*$AH319:$AO319)))</f>
        <v>0</v>
      </c>
      <c r="AW319" s="0" t="n">
        <f aca="false">MIN(AN319,MAX(0,$AP319-SUMPRODUCT(($AH$1:$AO$1&lt;AN$1)*$AH319:$AO319)))</f>
        <v>0</v>
      </c>
      <c r="AX319" s="0" t="n">
        <f aca="false">MIN(AO319,MAX(0,$AP319-SUMPRODUCT(($AH$1:$AO$1&lt;AO$1)*$AH319:$AO319)))</f>
        <v>0</v>
      </c>
      <c r="AY319" s="0" t="n">
        <f aca="false">ROUND(AH319-AQ319,2)</f>
        <v>0</v>
      </c>
      <c r="AZ319" s="0" t="n">
        <f aca="false">ROUND(AI319-AR319,2)</f>
        <v>0</v>
      </c>
      <c r="BA319" s="0" t="n">
        <f aca="false">ROUND(AJ319-AS319,2)</f>
        <v>0</v>
      </c>
      <c r="BB319" s="0" t="n">
        <f aca="false">ROUND(AK319-AT319,2)</f>
        <v>0</v>
      </c>
      <c r="BC319" s="0" t="n">
        <f aca="false">ROUND(AL319-AU319,2)</f>
        <v>0</v>
      </c>
      <c r="BD319" s="0" t="n">
        <f aca="false">ROUND(AM319-AV319,2)</f>
        <v>0</v>
      </c>
      <c r="BE319" s="0" t="n">
        <f aca="false">ROUND(AN319-AW319,2)</f>
        <v>0</v>
      </c>
      <c r="BF319" s="0" t="n">
        <f aca="false">ROUND(AO319-AX319,2)</f>
        <v>0</v>
      </c>
      <c r="BG319" s="0" t="n">
        <f aca="false">SUM(AY319:BF319)</f>
        <v>0</v>
      </c>
    </row>
    <row r="320" customFormat="false" ht="15" hidden="false" customHeight="false" outlineLevel="0" collapsed="false">
      <c r="A320" s="0" t="n">
        <v>318</v>
      </c>
      <c r="B320" s="0" t="n">
        <f aca="false">AY319</f>
        <v>0</v>
      </c>
      <c r="C320" s="0" t="n">
        <f aca="false">AZ319</f>
        <v>0</v>
      </c>
      <c r="D320" s="0" t="n">
        <f aca="false">BA319</f>
        <v>0</v>
      </c>
      <c r="E320" s="0" t="n">
        <f aca="false">BB319</f>
        <v>0</v>
      </c>
      <c r="F320" s="0" t="n">
        <f aca="false">BC319</f>
        <v>0</v>
      </c>
      <c r="G320" s="0" t="n">
        <f aca="false">BD319</f>
        <v>0</v>
      </c>
      <c r="H320" s="0" t="n">
        <f aca="false">BE319</f>
        <v>0</v>
      </c>
      <c r="I320" s="0" t="n">
        <f aca="false">BF319</f>
        <v>0</v>
      </c>
      <c r="J320" s="0" t="n">
        <f aca="false">B320*N('Debt Payoff'!D9)/12</f>
        <v>0</v>
      </c>
      <c r="K320" s="0" t="n">
        <f aca="false">C320*N('Debt Payoff'!D10)/12</f>
        <v>0</v>
      </c>
      <c r="L320" s="0" t="n">
        <f aca="false">D320*N('Debt Payoff'!D11)/12</f>
        <v>0</v>
      </c>
      <c r="M320" s="0" t="n">
        <f aca="false">E320*N('Debt Payoff'!D12)/12</f>
        <v>0</v>
      </c>
      <c r="N320" s="0" t="n">
        <f aca="false">F320*N('Debt Payoff'!D13)/12</f>
        <v>0</v>
      </c>
      <c r="O320" s="0" t="n">
        <f aca="false">G320*N('Debt Payoff'!D14)/12</f>
        <v>0</v>
      </c>
      <c r="P320" s="0" t="n">
        <f aca="false">H320*N('Debt Payoff'!D15)/12</f>
        <v>0</v>
      </c>
      <c r="Q320" s="0" t="n">
        <f aca="false">I320*N('Debt Payoff'!D16)/12</f>
        <v>0</v>
      </c>
      <c r="R320" s="0" t="n">
        <f aca="false">B320+J320</f>
        <v>0</v>
      </c>
      <c r="S320" s="0" t="n">
        <f aca="false">C320+K320</f>
        <v>0</v>
      </c>
      <c r="T320" s="0" t="n">
        <f aca="false">D320+L320</f>
        <v>0</v>
      </c>
      <c r="U320" s="0" t="n">
        <f aca="false">E320+M320</f>
        <v>0</v>
      </c>
      <c r="V320" s="0" t="n">
        <f aca="false">F320+N320</f>
        <v>0</v>
      </c>
      <c r="W320" s="0" t="n">
        <f aca="false">G320+O320</f>
        <v>0</v>
      </c>
      <c r="X320" s="0" t="n">
        <f aca="false">H320+P320</f>
        <v>0</v>
      </c>
      <c r="Y320" s="0" t="n">
        <f aca="false">I320+Q320</f>
        <v>0</v>
      </c>
      <c r="Z320" s="0" t="n">
        <f aca="false">MIN(R320,N('Debt Payoff'!E9))</f>
        <v>0</v>
      </c>
      <c r="AA320" s="0" t="n">
        <f aca="false">MIN(S320,N('Debt Payoff'!E10))</f>
        <v>0</v>
      </c>
      <c r="AB320" s="0" t="n">
        <f aca="false">MIN(T320,N('Debt Payoff'!E11))</f>
        <v>0</v>
      </c>
      <c r="AC320" s="0" t="n">
        <f aca="false">MIN(U320,N('Debt Payoff'!E12))</f>
        <v>0</v>
      </c>
      <c r="AD320" s="0" t="n">
        <f aca="false">MIN(V320,N('Debt Payoff'!E13))</f>
        <v>0</v>
      </c>
      <c r="AE320" s="0" t="n">
        <f aca="false">MIN(W320,N('Debt Payoff'!E14))</f>
        <v>0</v>
      </c>
      <c r="AF320" s="0" t="n">
        <f aca="false">MIN(X320,N('Debt Payoff'!E15))</f>
        <v>0</v>
      </c>
      <c r="AG320" s="0" t="n">
        <f aca="false">MIN(Y320,N('Debt Payoff'!E16))</f>
        <v>0</v>
      </c>
      <c r="AH320" s="0" t="n">
        <f aca="false">R320-Z320</f>
        <v>0</v>
      </c>
      <c r="AI320" s="0" t="n">
        <f aca="false">S320-AA320</f>
        <v>0</v>
      </c>
      <c r="AJ320" s="0" t="n">
        <f aca="false">T320-AB320</f>
        <v>0</v>
      </c>
      <c r="AK320" s="0" t="n">
        <f aca="false">U320-AC320</f>
        <v>0</v>
      </c>
      <c r="AL320" s="0" t="n">
        <f aca="false">V320-AD320</f>
        <v>0</v>
      </c>
      <c r="AM320" s="0" t="n">
        <f aca="false">W320-AE320</f>
        <v>0</v>
      </c>
      <c r="AN320" s="0" t="n">
        <f aca="false">X320-AF320</f>
        <v>0</v>
      </c>
      <c r="AO320" s="0" t="n">
        <f aca="false">Y320-AG320</f>
        <v>0</v>
      </c>
      <c r="AP320" s="0" t="n">
        <f aca="false">MAX(0,'Debt Payoff'!$D$17-SUM(Z320:AG320))</f>
        <v>805</v>
      </c>
      <c r="AQ320" s="0" t="n">
        <f aca="false">MIN(AH320,MAX(0,$AP320-SUMPRODUCT(($AH$1:$AO$1&lt;AH$1)*$AH320:$AO320)))</f>
        <v>0</v>
      </c>
      <c r="AR320" s="0" t="n">
        <f aca="false">MIN(AI320,MAX(0,$AP320-SUMPRODUCT(($AH$1:$AO$1&lt;AI$1)*$AH320:$AO320)))</f>
        <v>0</v>
      </c>
      <c r="AS320" s="0" t="n">
        <f aca="false">MIN(AJ320,MAX(0,$AP320-SUMPRODUCT(($AH$1:$AO$1&lt;AJ$1)*$AH320:$AO320)))</f>
        <v>0</v>
      </c>
      <c r="AT320" s="0" t="n">
        <f aca="false">MIN(AK320,MAX(0,$AP320-SUMPRODUCT(($AH$1:$AO$1&lt;AK$1)*$AH320:$AO320)))</f>
        <v>0</v>
      </c>
      <c r="AU320" s="0" t="n">
        <f aca="false">MIN(AL320,MAX(0,$AP320-SUMPRODUCT(($AH$1:$AO$1&lt;AL$1)*$AH320:$AO320)))</f>
        <v>0</v>
      </c>
      <c r="AV320" s="0" t="n">
        <f aca="false">MIN(AM320,MAX(0,$AP320-SUMPRODUCT(($AH$1:$AO$1&lt;AM$1)*$AH320:$AO320)))</f>
        <v>0</v>
      </c>
      <c r="AW320" s="0" t="n">
        <f aca="false">MIN(AN320,MAX(0,$AP320-SUMPRODUCT(($AH$1:$AO$1&lt;AN$1)*$AH320:$AO320)))</f>
        <v>0</v>
      </c>
      <c r="AX320" s="0" t="n">
        <f aca="false">MIN(AO320,MAX(0,$AP320-SUMPRODUCT(($AH$1:$AO$1&lt;AO$1)*$AH320:$AO320)))</f>
        <v>0</v>
      </c>
      <c r="AY320" s="0" t="n">
        <f aca="false">ROUND(AH320-AQ320,2)</f>
        <v>0</v>
      </c>
      <c r="AZ320" s="0" t="n">
        <f aca="false">ROUND(AI320-AR320,2)</f>
        <v>0</v>
      </c>
      <c r="BA320" s="0" t="n">
        <f aca="false">ROUND(AJ320-AS320,2)</f>
        <v>0</v>
      </c>
      <c r="BB320" s="0" t="n">
        <f aca="false">ROUND(AK320-AT320,2)</f>
        <v>0</v>
      </c>
      <c r="BC320" s="0" t="n">
        <f aca="false">ROUND(AL320-AU320,2)</f>
        <v>0</v>
      </c>
      <c r="BD320" s="0" t="n">
        <f aca="false">ROUND(AM320-AV320,2)</f>
        <v>0</v>
      </c>
      <c r="BE320" s="0" t="n">
        <f aca="false">ROUND(AN320-AW320,2)</f>
        <v>0</v>
      </c>
      <c r="BF320" s="0" t="n">
        <f aca="false">ROUND(AO320-AX320,2)</f>
        <v>0</v>
      </c>
      <c r="BG320" s="0" t="n">
        <f aca="false">SUM(AY320:BF320)</f>
        <v>0</v>
      </c>
    </row>
    <row r="321" customFormat="false" ht="15" hidden="false" customHeight="false" outlineLevel="0" collapsed="false">
      <c r="A321" s="0" t="n">
        <v>319</v>
      </c>
      <c r="B321" s="0" t="n">
        <f aca="false">AY320</f>
        <v>0</v>
      </c>
      <c r="C321" s="0" t="n">
        <f aca="false">AZ320</f>
        <v>0</v>
      </c>
      <c r="D321" s="0" t="n">
        <f aca="false">BA320</f>
        <v>0</v>
      </c>
      <c r="E321" s="0" t="n">
        <f aca="false">BB320</f>
        <v>0</v>
      </c>
      <c r="F321" s="0" t="n">
        <f aca="false">BC320</f>
        <v>0</v>
      </c>
      <c r="G321" s="0" t="n">
        <f aca="false">BD320</f>
        <v>0</v>
      </c>
      <c r="H321" s="0" t="n">
        <f aca="false">BE320</f>
        <v>0</v>
      </c>
      <c r="I321" s="0" t="n">
        <f aca="false">BF320</f>
        <v>0</v>
      </c>
      <c r="J321" s="0" t="n">
        <f aca="false">B321*N('Debt Payoff'!D9)/12</f>
        <v>0</v>
      </c>
      <c r="K321" s="0" t="n">
        <f aca="false">C321*N('Debt Payoff'!D10)/12</f>
        <v>0</v>
      </c>
      <c r="L321" s="0" t="n">
        <f aca="false">D321*N('Debt Payoff'!D11)/12</f>
        <v>0</v>
      </c>
      <c r="M321" s="0" t="n">
        <f aca="false">E321*N('Debt Payoff'!D12)/12</f>
        <v>0</v>
      </c>
      <c r="N321" s="0" t="n">
        <f aca="false">F321*N('Debt Payoff'!D13)/12</f>
        <v>0</v>
      </c>
      <c r="O321" s="0" t="n">
        <f aca="false">G321*N('Debt Payoff'!D14)/12</f>
        <v>0</v>
      </c>
      <c r="P321" s="0" t="n">
        <f aca="false">H321*N('Debt Payoff'!D15)/12</f>
        <v>0</v>
      </c>
      <c r="Q321" s="0" t="n">
        <f aca="false">I321*N('Debt Payoff'!D16)/12</f>
        <v>0</v>
      </c>
      <c r="R321" s="0" t="n">
        <f aca="false">B321+J321</f>
        <v>0</v>
      </c>
      <c r="S321" s="0" t="n">
        <f aca="false">C321+K321</f>
        <v>0</v>
      </c>
      <c r="T321" s="0" t="n">
        <f aca="false">D321+L321</f>
        <v>0</v>
      </c>
      <c r="U321" s="0" t="n">
        <f aca="false">E321+M321</f>
        <v>0</v>
      </c>
      <c r="V321" s="0" t="n">
        <f aca="false">F321+N321</f>
        <v>0</v>
      </c>
      <c r="W321" s="0" t="n">
        <f aca="false">G321+O321</f>
        <v>0</v>
      </c>
      <c r="X321" s="0" t="n">
        <f aca="false">H321+P321</f>
        <v>0</v>
      </c>
      <c r="Y321" s="0" t="n">
        <f aca="false">I321+Q321</f>
        <v>0</v>
      </c>
      <c r="Z321" s="0" t="n">
        <f aca="false">MIN(R321,N('Debt Payoff'!E9))</f>
        <v>0</v>
      </c>
      <c r="AA321" s="0" t="n">
        <f aca="false">MIN(S321,N('Debt Payoff'!E10))</f>
        <v>0</v>
      </c>
      <c r="AB321" s="0" t="n">
        <f aca="false">MIN(T321,N('Debt Payoff'!E11))</f>
        <v>0</v>
      </c>
      <c r="AC321" s="0" t="n">
        <f aca="false">MIN(U321,N('Debt Payoff'!E12))</f>
        <v>0</v>
      </c>
      <c r="AD321" s="0" t="n">
        <f aca="false">MIN(V321,N('Debt Payoff'!E13))</f>
        <v>0</v>
      </c>
      <c r="AE321" s="0" t="n">
        <f aca="false">MIN(W321,N('Debt Payoff'!E14))</f>
        <v>0</v>
      </c>
      <c r="AF321" s="0" t="n">
        <f aca="false">MIN(X321,N('Debt Payoff'!E15))</f>
        <v>0</v>
      </c>
      <c r="AG321" s="0" t="n">
        <f aca="false">MIN(Y321,N('Debt Payoff'!E16))</f>
        <v>0</v>
      </c>
      <c r="AH321" s="0" t="n">
        <f aca="false">R321-Z321</f>
        <v>0</v>
      </c>
      <c r="AI321" s="0" t="n">
        <f aca="false">S321-AA321</f>
        <v>0</v>
      </c>
      <c r="AJ321" s="0" t="n">
        <f aca="false">T321-AB321</f>
        <v>0</v>
      </c>
      <c r="AK321" s="0" t="n">
        <f aca="false">U321-AC321</f>
        <v>0</v>
      </c>
      <c r="AL321" s="0" t="n">
        <f aca="false">V321-AD321</f>
        <v>0</v>
      </c>
      <c r="AM321" s="0" t="n">
        <f aca="false">W321-AE321</f>
        <v>0</v>
      </c>
      <c r="AN321" s="0" t="n">
        <f aca="false">X321-AF321</f>
        <v>0</v>
      </c>
      <c r="AO321" s="0" t="n">
        <f aca="false">Y321-AG321</f>
        <v>0</v>
      </c>
      <c r="AP321" s="0" t="n">
        <f aca="false">MAX(0,'Debt Payoff'!$D$17-SUM(Z321:AG321))</f>
        <v>805</v>
      </c>
      <c r="AQ321" s="0" t="n">
        <f aca="false">MIN(AH321,MAX(0,$AP321-SUMPRODUCT(($AH$1:$AO$1&lt;AH$1)*$AH321:$AO321)))</f>
        <v>0</v>
      </c>
      <c r="AR321" s="0" t="n">
        <f aca="false">MIN(AI321,MAX(0,$AP321-SUMPRODUCT(($AH$1:$AO$1&lt;AI$1)*$AH321:$AO321)))</f>
        <v>0</v>
      </c>
      <c r="AS321" s="0" t="n">
        <f aca="false">MIN(AJ321,MAX(0,$AP321-SUMPRODUCT(($AH$1:$AO$1&lt;AJ$1)*$AH321:$AO321)))</f>
        <v>0</v>
      </c>
      <c r="AT321" s="0" t="n">
        <f aca="false">MIN(AK321,MAX(0,$AP321-SUMPRODUCT(($AH$1:$AO$1&lt;AK$1)*$AH321:$AO321)))</f>
        <v>0</v>
      </c>
      <c r="AU321" s="0" t="n">
        <f aca="false">MIN(AL321,MAX(0,$AP321-SUMPRODUCT(($AH$1:$AO$1&lt;AL$1)*$AH321:$AO321)))</f>
        <v>0</v>
      </c>
      <c r="AV321" s="0" t="n">
        <f aca="false">MIN(AM321,MAX(0,$AP321-SUMPRODUCT(($AH$1:$AO$1&lt;AM$1)*$AH321:$AO321)))</f>
        <v>0</v>
      </c>
      <c r="AW321" s="0" t="n">
        <f aca="false">MIN(AN321,MAX(0,$AP321-SUMPRODUCT(($AH$1:$AO$1&lt;AN$1)*$AH321:$AO321)))</f>
        <v>0</v>
      </c>
      <c r="AX321" s="0" t="n">
        <f aca="false">MIN(AO321,MAX(0,$AP321-SUMPRODUCT(($AH$1:$AO$1&lt;AO$1)*$AH321:$AO321)))</f>
        <v>0</v>
      </c>
      <c r="AY321" s="0" t="n">
        <f aca="false">ROUND(AH321-AQ321,2)</f>
        <v>0</v>
      </c>
      <c r="AZ321" s="0" t="n">
        <f aca="false">ROUND(AI321-AR321,2)</f>
        <v>0</v>
      </c>
      <c r="BA321" s="0" t="n">
        <f aca="false">ROUND(AJ321-AS321,2)</f>
        <v>0</v>
      </c>
      <c r="BB321" s="0" t="n">
        <f aca="false">ROUND(AK321-AT321,2)</f>
        <v>0</v>
      </c>
      <c r="BC321" s="0" t="n">
        <f aca="false">ROUND(AL321-AU321,2)</f>
        <v>0</v>
      </c>
      <c r="BD321" s="0" t="n">
        <f aca="false">ROUND(AM321-AV321,2)</f>
        <v>0</v>
      </c>
      <c r="BE321" s="0" t="n">
        <f aca="false">ROUND(AN321-AW321,2)</f>
        <v>0</v>
      </c>
      <c r="BF321" s="0" t="n">
        <f aca="false">ROUND(AO321-AX321,2)</f>
        <v>0</v>
      </c>
      <c r="BG321" s="0" t="n">
        <f aca="false">SUM(AY321:BF321)</f>
        <v>0</v>
      </c>
    </row>
    <row r="322" customFormat="false" ht="15" hidden="false" customHeight="false" outlineLevel="0" collapsed="false">
      <c r="A322" s="0" t="n">
        <v>320</v>
      </c>
      <c r="B322" s="0" t="n">
        <f aca="false">AY321</f>
        <v>0</v>
      </c>
      <c r="C322" s="0" t="n">
        <f aca="false">AZ321</f>
        <v>0</v>
      </c>
      <c r="D322" s="0" t="n">
        <f aca="false">BA321</f>
        <v>0</v>
      </c>
      <c r="E322" s="0" t="n">
        <f aca="false">BB321</f>
        <v>0</v>
      </c>
      <c r="F322" s="0" t="n">
        <f aca="false">BC321</f>
        <v>0</v>
      </c>
      <c r="G322" s="0" t="n">
        <f aca="false">BD321</f>
        <v>0</v>
      </c>
      <c r="H322" s="0" t="n">
        <f aca="false">BE321</f>
        <v>0</v>
      </c>
      <c r="I322" s="0" t="n">
        <f aca="false">BF321</f>
        <v>0</v>
      </c>
      <c r="J322" s="0" t="n">
        <f aca="false">B322*N('Debt Payoff'!D9)/12</f>
        <v>0</v>
      </c>
      <c r="K322" s="0" t="n">
        <f aca="false">C322*N('Debt Payoff'!D10)/12</f>
        <v>0</v>
      </c>
      <c r="L322" s="0" t="n">
        <f aca="false">D322*N('Debt Payoff'!D11)/12</f>
        <v>0</v>
      </c>
      <c r="M322" s="0" t="n">
        <f aca="false">E322*N('Debt Payoff'!D12)/12</f>
        <v>0</v>
      </c>
      <c r="N322" s="0" t="n">
        <f aca="false">F322*N('Debt Payoff'!D13)/12</f>
        <v>0</v>
      </c>
      <c r="O322" s="0" t="n">
        <f aca="false">G322*N('Debt Payoff'!D14)/12</f>
        <v>0</v>
      </c>
      <c r="P322" s="0" t="n">
        <f aca="false">H322*N('Debt Payoff'!D15)/12</f>
        <v>0</v>
      </c>
      <c r="Q322" s="0" t="n">
        <f aca="false">I322*N('Debt Payoff'!D16)/12</f>
        <v>0</v>
      </c>
      <c r="R322" s="0" t="n">
        <f aca="false">B322+J322</f>
        <v>0</v>
      </c>
      <c r="S322" s="0" t="n">
        <f aca="false">C322+K322</f>
        <v>0</v>
      </c>
      <c r="T322" s="0" t="n">
        <f aca="false">D322+L322</f>
        <v>0</v>
      </c>
      <c r="U322" s="0" t="n">
        <f aca="false">E322+M322</f>
        <v>0</v>
      </c>
      <c r="V322" s="0" t="n">
        <f aca="false">F322+N322</f>
        <v>0</v>
      </c>
      <c r="W322" s="0" t="n">
        <f aca="false">G322+O322</f>
        <v>0</v>
      </c>
      <c r="X322" s="0" t="n">
        <f aca="false">H322+P322</f>
        <v>0</v>
      </c>
      <c r="Y322" s="0" t="n">
        <f aca="false">I322+Q322</f>
        <v>0</v>
      </c>
      <c r="Z322" s="0" t="n">
        <f aca="false">MIN(R322,N('Debt Payoff'!E9))</f>
        <v>0</v>
      </c>
      <c r="AA322" s="0" t="n">
        <f aca="false">MIN(S322,N('Debt Payoff'!E10))</f>
        <v>0</v>
      </c>
      <c r="AB322" s="0" t="n">
        <f aca="false">MIN(T322,N('Debt Payoff'!E11))</f>
        <v>0</v>
      </c>
      <c r="AC322" s="0" t="n">
        <f aca="false">MIN(U322,N('Debt Payoff'!E12))</f>
        <v>0</v>
      </c>
      <c r="AD322" s="0" t="n">
        <f aca="false">MIN(V322,N('Debt Payoff'!E13))</f>
        <v>0</v>
      </c>
      <c r="AE322" s="0" t="n">
        <f aca="false">MIN(W322,N('Debt Payoff'!E14))</f>
        <v>0</v>
      </c>
      <c r="AF322" s="0" t="n">
        <f aca="false">MIN(X322,N('Debt Payoff'!E15))</f>
        <v>0</v>
      </c>
      <c r="AG322" s="0" t="n">
        <f aca="false">MIN(Y322,N('Debt Payoff'!E16))</f>
        <v>0</v>
      </c>
      <c r="AH322" s="0" t="n">
        <f aca="false">R322-Z322</f>
        <v>0</v>
      </c>
      <c r="AI322" s="0" t="n">
        <f aca="false">S322-AA322</f>
        <v>0</v>
      </c>
      <c r="AJ322" s="0" t="n">
        <f aca="false">T322-AB322</f>
        <v>0</v>
      </c>
      <c r="AK322" s="0" t="n">
        <f aca="false">U322-AC322</f>
        <v>0</v>
      </c>
      <c r="AL322" s="0" t="n">
        <f aca="false">V322-AD322</f>
        <v>0</v>
      </c>
      <c r="AM322" s="0" t="n">
        <f aca="false">W322-AE322</f>
        <v>0</v>
      </c>
      <c r="AN322" s="0" t="n">
        <f aca="false">X322-AF322</f>
        <v>0</v>
      </c>
      <c r="AO322" s="0" t="n">
        <f aca="false">Y322-AG322</f>
        <v>0</v>
      </c>
      <c r="AP322" s="0" t="n">
        <f aca="false">MAX(0,'Debt Payoff'!$D$17-SUM(Z322:AG322))</f>
        <v>805</v>
      </c>
      <c r="AQ322" s="0" t="n">
        <f aca="false">MIN(AH322,MAX(0,$AP322-SUMPRODUCT(($AH$1:$AO$1&lt;AH$1)*$AH322:$AO322)))</f>
        <v>0</v>
      </c>
      <c r="AR322" s="0" t="n">
        <f aca="false">MIN(AI322,MAX(0,$AP322-SUMPRODUCT(($AH$1:$AO$1&lt;AI$1)*$AH322:$AO322)))</f>
        <v>0</v>
      </c>
      <c r="AS322" s="0" t="n">
        <f aca="false">MIN(AJ322,MAX(0,$AP322-SUMPRODUCT(($AH$1:$AO$1&lt;AJ$1)*$AH322:$AO322)))</f>
        <v>0</v>
      </c>
      <c r="AT322" s="0" t="n">
        <f aca="false">MIN(AK322,MAX(0,$AP322-SUMPRODUCT(($AH$1:$AO$1&lt;AK$1)*$AH322:$AO322)))</f>
        <v>0</v>
      </c>
      <c r="AU322" s="0" t="n">
        <f aca="false">MIN(AL322,MAX(0,$AP322-SUMPRODUCT(($AH$1:$AO$1&lt;AL$1)*$AH322:$AO322)))</f>
        <v>0</v>
      </c>
      <c r="AV322" s="0" t="n">
        <f aca="false">MIN(AM322,MAX(0,$AP322-SUMPRODUCT(($AH$1:$AO$1&lt;AM$1)*$AH322:$AO322)))</f>
        <v>0</v>
      </c>
      <c r="AW322" s="0" t="n">
        <f aca="false">MIN(AN322,MAX(0,$AP322-SUMPRODUCT(($AH$1:$AO$1&lt;AN$1)*$AH322:$AO322)))</f>
        <v>0</v>
      </c>
      <c r="AX322" s="0" t="n">
        <f aca="false">MIN(AO322,MAX(0,$AP322-SUMPRODUCT(($AH$1:$AO$1&lt;AO$1)*$AH322:$AO322)))</f>
        <v>0</v>
      </c>
      <c r="AY322" s="0" t="n">
        <f aca="false">ROUND(AH322-AQ322,2)</f>
        <v>0</v>
      </c>
      <c r="AZ322" s="0" t="n">
        <f aca="false">ROUND(AI322-AR322,2)</f>
        <v>0</v>
      </c>
      <c r="BA322" s="0" t="n">
        <f aca="false">ROUND(AJ322-AS322,2)</f>
        <v>0</v>
      </c>
      <c r="BB322" s="0" t="n">
        <f aca="false">ROUND(AK322-AT322,2)</f>
        <v>0</v>
      </c>
      <c r="BC322" s="0" t="n">
        <f aca="false">ROUND(AL322-AU322,2)</f>
        <v>0</v>
      </c>
      <c r="BD322" s="0" t="n">
        <f aca="false">ROUND(AM322-AV322,2)</f>
        <v>0</v>
      </c>
      <c r="BE322" s="0" t="n">
        <f aca="false">ROUND(AN322-AW322,2)</f>
        <v>0</v>
      </c>
      <c r="BF322" s="0" t="n">
        <f aca="false">ROUND(AO322-AX322,2)</f>
        <v>0</v>
      </c>
      <c r="BG322" s="0" t="n">
        <f aca="false">SUM(AY322:BF322)</f>
        <v>0</v>
      </c>
    </row>
    <row r="323" customFormat="false" ht="15" hidden="false" customHeight="false" outlineLevel="0" collapsed="false">
      <c r="A323" s="0" t="n">
        <v>321</v>
      </c>
      <c r="B323" s="0" t="n">
        <f aca="false">AY322</f>
        <v>0</v>
      </c>
      <c r="C323" s="0" t="n">
        <f aca="false">AZ322</f>
        <v>0</v>
      </c>
      <c r="D323" s="0" t="n">
        <f aca="false">BA322</f>
        <v>0</v>
      </c>
      <c r="E323" s="0" t="n">
        <f aca="false">BB322</f>
        <v>0</v>
      </c>
      <c r="F323" s="0" t="n">
        <f aca="false">BC322</f>
        <v>0</v>
      </c>
      <c r="G323" s="0" t="n">
        <f aca="false">BD322</f>
        <v>0</v>
      </c>
      <c r="H323" s="0" t="n">
        <f aca="false">BE322</f>
        <v>0</v>
      </c>
      <c r="I323" s="0" t="n">
        <f aca="false">BF322</f>
        <v>0</v>
      </c>
      <c r="J323" s="0" t="n">
        <f aca="false">B323*N('Debt Payoff'!D9)/12</f>
        <v>0</v>
      </c>
      <c r="K323" s="0" t="n">
        <f aca="false">C323*N('Debt Payoff'!D10)/12</f>
        <v>0</v>
      </c>
      <c r="L323" s="0" t="n">
        <f aca="false">D323*N('Debt Payoff'!D11)/12</f>
        <v>0</v>
      </c>
      <c r="M323" s="0" t="n">
        <f aca="false">E323*N('Debt Payoff'!D12)/12</f>
        <v>0</v>
      </c>
      <c r="N323" s="0" t="n">
        <f aca="false">F323*N('Debt Payoff'!D13)/12</f>
        <v>0</v>
      </c>
      <c r="O323" s="0" t="n">
        <f aca="false">G323*N('Debt Payoff'!D14)/12</f>
        <v>0</v>
      </c>
      <c r="P323" s="0" t="n">
        <f aca="false">H323*N('Debt Payoff'!D15)/12</f>
        <v>0</v>
      </c>
      <c r="Q323" s="0" t="n">
        <f aca="false">I323*N('Debt Payoff'!D16)/12</f>
        <v>0</v>
      </c>
      <c r="R323" s="0" t="n">
        <f aca="false">B323+J323</f>
        <v>0</v>
      </c>
      <c r="S323" s="0" t="n">
        <f aca="false">C323+K323</f>
        <v>0</v>
      </c>
      <c r="T323" s="0" t="n">
        <f aca="false">D323+L323</f>
        <v>0</v>
      </c>
      <c r="U323" s="0" t="n">
        <f aca="false">E323+M323</f>
        <v>0</v>
      </c>
      <c r="V323" s="0" t="n">
        <f aca="false">F323+N323</f>
        <v>0</v>
      </c>
      <c r="W323" s="0" t="n">
        <f aca="false">G323+O323</f>
        <v>0</v>
      </c>
      <c r="X323" s="0" t="n">
        <f aca="false">H323+P323</f>
        <v>0</v>
      </c>
      <c r="Y323" s="0" t="n">
        <f aca="false">I323+Q323</f>
        <v>0</v>
      </c>
      <c r="Z323" s="0" t="n">
        <f aca="false">MIN(R323,N('Debt Payoff'!E9))</f>
        <v>0</v>
      </c>
      <c r="AA323" s="0" t="n">
        <f aca="false">MIN(S323,N('Debt Payoff'!E10))</f>
        <v>0</v>
      </c>
      <c r="AB323" s="0" t="n">
        <f aca="false">MIN(T323,N('Debt Payoff'!E11))</f>
        <v>0</v>
      </c>
      <c r="AC323" s="0" t="n">
        <f aca="false">MIN(U323,N('Debt Payoff'!E12))</f>
        <v>0</v>
      </c>
      <c r="AD323" s="0" t="n">
        <f aca="false">MIN(V323,N('Debt Payoff'!E13))</f>
        <v>0</v>
      </c>
      <c r="AE323" s="0" t="n">
        <f aca="false">MIN(W323,N('Debt Payoff'!E14))</f>
        <v>0</v>
      </c>
      <c r="AF323" s="0" t="n">
        <f aca="false">MIN(X323,N('Debt Payoff'!E15))</f>
        <v>0</v>
      </c>
      <c r="AG323" s="0" t="n">
        <f aca="false">MIN(Y323,N('Debt Payoff'!E16))</f>
        <v>0</v>
      </c>
      <c r="AH323" s="0" t="n">
        <f aca="false">R323-Z323</f>
        <v>0</v>
      </c>
      <c r="AI323" s="0" t="n">
        <f aca="false">S323-AA323</f>
        <v>0</v>
      </c>
      <c r="AJ323" s="0" t="n">
        <f aca="false">T323-AB323</f>
        <v>0</v>
      </c>
      <c r="AK323" s="0" t="n">
        <f aca="false">U323-AC323</f>
        <v>0</v>
      </c>
      <c r="AL323" s="0" t="n">
        <f aca="false">V323-AD323</f>
        <v>0</v>
      </c>
      <c r="AM323" s="0" t="n">
        <f aca="false">W323-AE323</f>
        <v>0</v>
      </c>
      <c r="AN323" s="0" t="n">
        <f aca="false">X323-AF323</f>
        <v>0</v>
      </c>
      <c r="AO323" s="0" t="n">
        <f aca="false">Y323-AG323</f>
        <v>0</v>
      </c>
      <c r="AP323" s="0" t="n">
        <f aca="false">MAX(0,'Debt Payoff'!$D$17-SUM(Z323:AG323))</f>
        <v>805</v>
      </c>
      <c r="AQ323" s="0" t="n">
        <f aca="false">MIN(AH323,MAX(0,$AP323-SUMPRODUCT(($AH$1:$AO$1&lt;AH$1)*$AH323:$AO323)))</f>
        <v>0</v>
      </c>
      <c r="AR323" s="0" t="n">
        <f aca="false">MIN(AI323,MAX(0,$AP323-SUMPRODUCT(($AH$1:$AO$1&lt;AI$1)*$AH323:$AO323)))</f>
        <v>0</v>
      </c>
      <c r="AS323" s="0" t="n">
        <f aca="false">MIN(AJ323,MAX(0,$AP323-SUMPRODUCT(($AH$1:$AO$1&lt;AJ$1)*$AH323:$AO323)))</f>
        <v>0</v>
      </c>
      <c r="AT323" s="0" t="n">
        <f aca="false">MIN(AK323,MAX(0,$AP323-SUMPRODUCT(($AH$1:$AO$1&lt;AK$1)*$AH323:$AO323)))</f>
        <v>0</v>
      </c>
      <c r="AU323" s="0" t="n">
        <f aca="false">MIN(AL323,MAX(0,$AP323-SUMPRODUCT(($AH$1:$AO$1&lt;AL$1)*$AH323:$AO323)))</f>
        <v>0</v>
      </c>
      <c r="AV323" s="0" t="n">
        <f aca="false">MIN(AM323,MAX(0,$AP323-SUMPRODUCT(($AH$1:$AO$1&lt;AM$1)*$AH323:$AO323)))</f>
        <v>0</v>
      </c>
      <c r="AW323" s="0" t="n">
        <f aca="false">MIN(AN323,MAX(0,$AP323-SUMPRODUCT(($AH$1:$AO$1&lt;AN$1)*$AH323:$AO323)))</f>
        <v>0</v>
      </c>
      <c r="AX323" s="0" t="n">
        <f aca="false">MIN(AO323,MAX(0,$AP323-SUMPRODUCT(($AH$1:$AO$1&lt;AO$1)*$AH323:$AO323)))</f>
        <v>0</v>
      </c>
      <c r="AY323" s="0" t="n">
        <f aca="false">ROUND(AH323-AQ323,2)</f>
        <v>0</v>
      </c>
      <c r="AZ323" s="0" t="n">
        <f aca="false">ROUND(AI323-AR323,2)</f>
        <v>0</v>
      </c>
      <c r="BA323" s="0" t="n">
        <f aca="false">ROUND(AJ323-AS323,2)</f>
        <v>0</v>
      </c>
      <c r="BB323" s="0" t="n">
        <f aca="false">ROUND(AK323-AT323,2)</f>
        <v>0</v>
      </c>
      <c r="BC323" s="0" t="n">
        <f aca="false">ROUND(AL323-AU323,2)</f>
        <v>0</v>
      </c>
      <c r="BD323" s="0" t="n">
        <f aca="false">ROUND(AM323-AV323,2)</f>
        <v>0</v>
      </c>
      <c r="BE323" s="0" t="n">
        <f aca="false">ROUND(AN323-AW323,2)</f>
        <v>0</v>
      </c>
      <c r="BF323" s="0" t="n">
        <f aca="false">ROUND(AO323-AX323,2)</f>
        <v>0</v>
      </c>
      <c r="BG323" s="0" t="n">
        <f aca="false">SUM(AY323:BF323)</f>
        <v>0</v>
      </c>
    </row>
    <row r="324" customFormat="false" ht="15" hidden="false" customHeight="false" outlineLevel="0" collapsed="false">
      <c r="A324" s="0" t="n">
        <v>322</v>
      </c>
      <c r="B324" s="0" t="n">
        <f aca="false">AY323</f>
        <v>0</v>
      </c>
      <c r="C324" s="0" t="n">
        <f aca="false">AZ323</f>
        <v>0</v>
      </c>
      <c r="D324" s="0" t="n">
        <f aca="false">BA323</f>
        <v>0</v>
      </c>
      <c r="E324" s="0" t="n">
        <f aca="false">BB323</f>
        <v>0</v>
      </c>
      <c r="F324" s="0" t="n">
        <f aca="false">BC323</f>
        <v>0</v>
      </c>
      <c r="G324" s="0" t="n">
        <f aca="false">BD323</f>
        <v>0</v>
      </c>
      <c r="H324" s="0" t="n">
        <f aca="false">BE323</f>
        <v>0</v>
      </c>
      <c r="I324" s="0" t="n">
        <f aca="false">BF323</f>
        <v>0</v>
      </c>
      <c r="J324" s="0" t="n">
        <f aca="false">B324*N('Debt Payoff'!D9)/12</f>
        <v>0</v>
      </c>
      <c r="K324" s="0" t="n">
        <f aca="false">C324*N('Debt Payoff'!D10)/12</f>
        <v>0</v>
      </c>
      <c r="L324" s="0" t="n">
        <f aca="false">D324*N('Debt Payoff'!D11)/12</f>
        <v>0</v>
      </c>
      <c r="M324" s="0" t="n">
        <f aca="false">E324*N('Debt Payoff'!D12)/12</f>
        <v>0</v>
      </c>
      <c r="N324" s="0" t="n">
        <f aca="false">F324*N('Debt Payoff'!D13)/12</f>
        <v>0</v>
      </c>
      <c r="O324" s="0" t="n">
        <f aca="false">G324*N('Debt Payoff'!D14)/12</f>
        <v>0</v>
      </c>
      <c r="P324" s="0" t="n">
        <f aca="false">H324*N('Debt Payoff'!D15)/12</f>
        <v>0</v>
      </c>
      <c r="Q324" s="0" t="n">
        <f aca="false">I324*N('Debt Payoff'!D16)/12</f>
        <v>0</v>
      </c>
      <c r="R324" s="0" t="n">
        <f aca="false">B324+J324</f>
        <v>0</v>
      </c>
      <c r="S324" s="0" t="n">
        <f aca="false">C324+K324</f>
        <v>0</v>
      </c>
      <c r="T324" s="0" t="n">
        <f aca="false">D324+L324</f>
        <v>0</v>
      </c>
      <c r="U324" s="0" t="n">
        <f aca="false">E324+M324</f>
        <v>0</v>
      </c>
      <c r="V324" s="0" t="n">
        <f aca="false">F324+N324</f>
        <v>0</v>
      </c>
      <c r="W324" s="0" t="n">
        <f aca="false">G324+O324</f>
        <v>0</v>
      </c>
      <c r="X324" s="0" t="n">
        <f aca="false">H324+P324</f>
        <v>0</v>
      </c>
      <c r="Y324" s="0" t="n">
        <f aca="false">I324+Q324</f>
        <v>0</v>
      </c>
      <c r="Z324" s="0" t="n">
        <f aca="false">MIN(R324,N('Debt Payoff'!E9))</f>
        <v>0</v>
      </c>
      <c r="AA324" s="0" t="n">
        <f aca="false">MIN(S324,N('Debt Payoff'!E10))</f>
        <v>0</v>
      </c>
      <c r="AB324" s="0" t="n">
        <f aca="false">MIN(T324,N('Debt Payoff'!E11))</f>
        <v>0</v>
      </c>
      <c r="AC324" s="0" t="n">
        <f aca="false">MIN(U324,N('Debt Payoff'!E12))</f>
        <v>0</v>
      </c>
      <c r="AD324" s="0" t="n">
        <f aca="false">MIN(V324,N('Debt Payoff'!E13))</f>
        <v>0</v>
      </c>
      <c r="AE324" s="0" t="n">
        <f aca="false">MIN(W324,N('Debt Payoff'!E14))</f>
        <v>0</v>
      </c>
      <c r="AF324" s="0" t="n">
        <f aca="false">MIN(X324,N('Debt Payoff'!E15))</f>
        <v>0</v>
      </c>
      <c r="AG324" s="0" t="n">
        <f aca="false">MIN(Y324,N('Debt Payoff'!E16))</f>
        <v>0</v>
      </c>
      <c r="AH324" s="0" t="n">
        <f aca="false">R324-Z324</f>
        <v>0</v>
      </c>
      <c r="AI324" s="0" t="n">
        <f aca="false">S324-AA324</f>
        <v>0</v>
      </c>
      <c r="AJ324" s="0" t="n">
        <f aca="false">T324-AB324</f>
        <v>0</v>
      </c>
      <c r="AK324" s="0" t="n">
        <f aca="false">U324-AC324</f>
        <v>0</v>
      </c>
      <c r="AL324" s="0" t="n">
        <f aca="false">V324-AD324</f>
        <v>0</v>
      </c>
      <c r="AM324" s="0" t="n">
        <f aca="false">W324-AE324</f>
        <v>0</v>
      </c>
      <c r="AN324" s="0" t="n">
        <f aca="false">X324-AF324</f>
        <v>0</v>
      </c>
      <c r="AO324" s="0" t="n">
        <f aca="false">Y324-AG324</f>
        <v>0</v>
      </c>
      <c r="AP324" s="0" t="n">
        <f aca="false">MAX(0,'Debt Payoff'!$D$17-SUM(Z324:AG324))</f>
        <v>805</v>
      </c>
      <c r="AQ324" s="0" t="n">
        <f aca="false">MIN(AH324,MAX(0,$AP324-SUMPRODUCT(($AH$1:$AO$1&lt;AH$1)*$AH324:$AO324)))</f>
        <v>0</v>
      </c>
      <c r="AR324" s="0" t="n">
        <f aca="false">MIN(AI324,MAX(0,$AP324-SUMPRODUCT(($AH$1:$AO$1&lt;AI$1)*$AH324:$AO324)))</f>
        <v>0</v>
      </c>
      <c r="AS324" s="0" t="n">
        <f aca="false">MIN(AJ324,MAX(0,$AP324-SUMPRODUCT(($AH$1:$AO$1&lt;AJ$1)*$AH324:$AO324)))</f>
        <v>0</v>
      </c>
      <c r="AT324" s="0" t="n">
        <f aca="false">MIN(AK324,MAX(0,$AP324-SUMPRODUCT(($AH$1:$AO$1&lt;AK$1)*$AH324:$AO324)))</f>
        <v>0</v>
      </c>
      <c r="AU324" s="0" t="n">
        <f aca="false">MIN(AL324,MAX(0,$AP324-SUMPRODUCT(($AH$1:$AO$1&lt;AL$1)*$AH324:$AO324)))</f>
        <v>0</v>
      </c>
      <c r="AV324" s="0" t="n">
        <f aca="false">MIN(AM324,MAX(0,$AP324-SUMPRODUCT(($AH$1:$AO$1&lt;AM$1)*$AH324:$AO324)))</f>
        <v>0</v>
      </c>
      <c r="AW324" s="0" t="n">
        <f aca="false">MIN(AN324,MAX(0,$AP324-SUMPRODUCT(($AH$1:$AO$1&lt;AN$1)*$AH324:$AO324)))</f>
        <v>0</v>
      </c>
      <c r="AX324" s="0" t="n">
        <f aca="false">MIN(AO324,MAX(0,$AP324-SUMPRODUCT(($AH$1:$AO$1&lt;AO$1)*$AH324:$AO324)))</f>
        <v>0</v>
      </c>
      <c r="AY324" s="0" t="n">
        <f aca="false">ROUND(AH324-AQ324,2)</f>
        <v>0</v>
      </c>
      <c r="AZ324" s="0" t="n">
        <f aca="false">ROUND(AI324-AR324,2)</f>
        <v>0</v>
      </c>
      <c r="BA324" s="0" t="n">
        <f aca="false">ROUND(AJ324-AS324,2)</f>
        <v>0</v>
      </c>
      <c r="BB324" s="0" t="n">
        <f aca="false">ROUND(AK324-AT324,2)</f>
        <v>0</v>
      </c>
      <c r="BC324" s="0" t="n">
        <f aca="false">ROUND(AL324-AU324,2)</f>
        <v>0</v>
      </c>
      <c r="BD324" s="0" t="n">
        <f aca="false">ROUND(AM324-AV324,2)</f>
        <v>0</v>
      </c>
      <c r="BE324" s="0" t="n">
        <f aca="false">ROUND(AN324-AW324,2)</f>
        <v>0</v>
      </c>
      <c r="BF324" s="0" t="n">
        <f aca="false">ROUND(AO324-AX324,2)</f>
        <v>0</v>
      </c>
      <c r="BG324" s="0" t="n">
        <f aca="false">SUM(AY324:BF324)</f>
        <v>0</v>
      </c>
    </row>
    <row r="325" customFormat="false" ht="15" hidden="false" customHeight="false" outlineLevel="0" collapsed="false">
      <c r="A325" s="0" t="n">
        <v>323</v>
      </c>
      <c r="B325" s="0" t="n">
        <f aca="false">AY324</f>
        <v>0</v>
      </c>
      <c r="C325" s="0" t="n">
        <f aca="false">AZ324</f>
        <v>0</v>
      </c>
      <c r="D325" s="0" t="n">
        <f aca="false">BA324</f>
        <v>0</v>
      </c>
      <c r="E325" s="0" t="n">
        <f aca="false">BB324</f>
        <v>0</v>
      </c>
      <c r="F325" s="0" t="n">
        <f aca="false">BC324</f>
        <v>0</v>
      </c>
      <c r="G325" s="0" t="n">
        <f aca="false">BD324</f>
        <v>0</v>
      </c>
      <c r="H325" s="0" t="n">
        <f aca="false">BE324</f>
        <v>0</v>
      </c>
      <c r="I325" s="0" t="n">
        <f aca="false">BF324</f>
        <v>0</v>
      </c>
      <c r="J325" s="0" t="n">
        <f aca="false">B325*N('Debt Payoff'!D9)/12</f>
        <v>0</v>
      </c>
      <c r="K325" s="0" t="n">
        <f aca="false">C325*N('Debt Payoff'!D10)/12</f>
        <v>0</v>
      </c>
      <c r="L325" s="0" t="n">
        <f aca="false">D325*N('Debt Payoff'!D11)/12</f>
        <v>0</v>
      </c>
      <c r="M325" s="0" t="n">
        <f aca="false">E325*N('Debt Payoff'!D12)/12</f>
        <v>0</v>
      </c>
      <c r="N325" s="0" t="n">
        <f aca="false">F325*N('Debt Payoff'!D13)/12</f>
        <v>0</v>
      </c>
      <c r="O325" s="0" t="n">
        <f aca="false">G325*N('Debt Payoff'!D14)/12</f>
        <v>0</v>
      </c>
      <c r="P325" s="0" t="n">
        <f aca="false">H325*N('Debt Payoff'!D15)/12</f>
        <v>0</v>
      </c>
      <c r="Q325" s="0" t="n">
        <f aca="false">I325*N('Debt Payoff'!D16)/12</f>
        <v>0</v>
      </c>
      <c r="R325" s="0" t="n">
        <f aca="false">B325+J325</f>
        <v>0</v>
      </c>
      <c r="S325" s="0" t="n">
        <f aca="false">C325+K325</f>
        <v>0</v>
      </c>
      <c r="T325" s="0" t="n">
        <f aca="false">D325+L325</f>
        <v>0</v>
      </c>
      <c r="U325" s="0" t="n">
        <f aca="false">E325+M325</f>
        <v>0</v>
      </c>
      <c r="V325" s="0" t="n">
        <f aca="false">F325+N325</f>
        <v>0</v>
      </c>
      <c r="W325" s="0" t="n">
        <f aca="false">G325+O325</f>
        <v>0</v>
      </c>
      <c r="X325" s="0" t="n">
        <f aca="false">H325+P325</f>
        <v>0</v>
      </c>
      <c r="Y325" s="0" t="n">
        <f aca="false">I325+Q325</f>
        <v>0</v>
      </c>
      <c r="Z325" s="0" t="n">
        <f aca="false">MIN(R325,N('Debt Payoff'!E9))</f>
        <v>0</v>
      </c>
      <c r="AA325" s="0" t="n">
        <f aca="false">MIN(S325,N('Debt Payoff'!E10))</f>
        <v>0</v>
      </c>
      <c r="AB325" s="0" t="n">
        <f aca="false">MIN(T325,N('Debt Payoff'!E11))</f>
        <v>0</v>
      </c>
      <c r="AC325" s="0" t="n">
        <f aca="false">MIN(U325,N('Debt Payoff'!E12))</f>
        <v>0</v>
      </c>
      <c r="AD325" s="0" t="n">
        <f aca="false">MIN(V325,N('Debt Payoff'!E13))</f>
        <v>0</v>
      </c>
      <c r="AE325" s="0" t="n">
        <f aca="false">MIN(W325,N('Debt Payoff'!E14))</f>
        <v>0</v>
      </c>
      <c r="AF325" s="0" t="n">
        <f aca="false">MIN(X325,N('Debt Payoff'!E15))</f>
        <v>0</v>
      </c>
      <c r="AG325" s="0" t="n">
        <f aca="false">MIN(Y325,N('Debt Payoff'!E16))</f>
        <v>0</v>
      </c>
      <c r="AH325" s="0" t="n">
        <f aca="false">R325-Z325</f>
        <v>0</v>
      </c>
      <c r="AI325" s="0" t="n">
        <f aca="false">S325-AA325</f>
        <v>0</v>
      </c>
      <c r="AJ325" s="0" t="n">
        <f aca="false">T325-AB325</f>
        <v>0</v>
      </c>
      <c r="AK325" s="0" t="n">
        <f aca="false">U325-AC325</f>
        <v>0</v>
      </c>
      <c r="AL325" s="0" t="n">
        <f aca="false">V325-AD325</f>
        <v>0</v>
      </c>
      <c r="AM325" s="0" t="n">
        <f aca="false">W325-AE325</f>
        <v>0</v>
      </c>
      <c r="AN325" s="0" t="n">
        <f aca="false">X325-AF325</f>
        <v>0</v>
      </c>
      <c r="AO325" s="0" t="n">
        <f aca="false">Y325-AG325</f>
        <v>0</v>
      </c>
      <c r="AP325" s="0" t="n">
        <f aca="false">MAX(0,'Debt Payoff'!$D$17-SUM(Z325:AG325))</f>
        <v>805</v>
      </c>
      <c r="AQ325" s="0" t="n">
        <f aca="false">MIN(AH325,MAX(0,$AP325-SUMPRODUCT(($AH$1:$AO$1&lt;AH$1)*$AH325:$AO325)))</f>
        <v>0</v>
      </c>
      <c r="AR325" s="0" t="n">
        <f aca="false">MIN(AI325,MAX(0,$AP325-SUMPRODUCT(($AH$1:$AO$1&lt;AI$1)*$AH325:$AO325)))</f>
        <v>0</v>
      </c>
      <c r="AS325" s="0" t="n">
        <f aca="false">MIN(AJ325,MAX(0,$AP325-SUMPRODUCT(($AH$1:$AO$1&lt;AJ$1)*$AH325:$AO325)))</f>
        <v>0</v>
      </c>
      <c r="AT325" s="0" t="n">
        <f aca="false">MIN(AK325,MAX(0,$AP325-SUMPRODUCT(($AH$1:$AO$1&lt;AK$1)*$AH325:$AO325)))</f>
        <v>0</v>
      </c>
      <c r="AU325" s="0" t="n">
        <f aca="false">MIN(AL325,MAX(0,$AP325-SUMPRODUCT(($AH$1:$AO$1&lt;AL$1)*$AH325:$AO325)))</f>
        <v>0</v>
      </c>
      <c r="AV325" s="0" t="n">
        <f aca="false">MIN(AM325,MAX(0,$AP325-SUMPRODUCT(($AH$1:$AO$1&lt;AM$1)*$AH325:$AO325)))</f>
        <v>0</v>
      </c>
      <c r="AW325" s="0" t="n">
        <f aca="false">MIN(AN325,MAX(0,$AP325-SUMPRODUCT(($AH$1:$AO$1&lt;AN$1)*$AH325:$AO325)))</f>
        <v>0</v>
      </c>
      <c r="AX325" s="0" t="n">
        <f aca="false">MIN(AO325,MAX(0,$AP325-SUMPRODUCT(($AH$1:$AO$1&lt;AO$1)*$AH325:$AO325)))</f>
        <v>0</v>
      </c>
      <c r="AY325" s="0" t="n">
        <f aca="false">ROUND(AH325-AQ325,2)</f>
        <v>0</v>
      </c>
      <c r="AZ325" s="0" t="n">
        <f aca="false">ROUND(AI325-AR325,2)</f>
        <v>0</v>
      </c>
      <c r="BA325" s="0" t="n">
        <f aca="false">ROUND(AJ325-AS325,2)</f>
        <v>0</v>
      </c>
      <c r="BB325" s="0" t="n">
        <f aca="false">ROUND(AK325-AT325,2)</f>
        <v>0</v>
      </c>
      <c r="BC325" s="0" t="n">
        <f aca="false">ROUND(AL325-AU325,2)</f>
        <v>0</v>
      </c>
      <c r="BD325" s="0" t="n">
        <f aca="false">ROUND(AM325-AV325,2)</f>
        <v>0</v>
      </c>
      <c r="BE325" s="0" t="n">
        <f aca="false">ROUND(AN325-AW325,2)</f>
        <v>0</v>
      </c>
      <c r="BF325" s="0" t="n">
        <f aca="false">ROUND(AO325-AX325,2)</f>
        <v>0</v>
      </c>
      <c r="BG325" s="0" t="n">
        <f aca="false">SUM(AY325:BF325)</f>
        <v>0</v>
      </c>
    </row>
    <row r="326" customFormat="false" ht="15" hidden="false" customHeight="false" outlineLevel="0" collapsed="false">
      <c r="A326" s="0" t="n">
        <v>324</v>
      </c>
      <c r="B326" s="0" t="n">
        <f aca="false">AY325</f>
        <v>0</v>
      </c>
      <c r="C326" s="0" t="n">
        <f aca="false">AZ325</f>
        <v>0</v>
      </c>
      <c r="D326" s="0" t="n">
        <f aca="false">BA325</f>
        <v>0</v>
      </c>
      <c r="E326" s="0" t="n">
        <f aca="false">BB325</f>
        <v>0</v>
      </c>
      <c r="F326" s="0" t="n">
        <f aca="false">BC325</f>
        <v>0</v>
      </c>
      <c r="G326" s="0" t="n">
        <f aca="false">BD325</f>
        <v>0</v>
      </c>
      <c r="H326" s="0" t="n">
        <f aca="false">BE325</f>
        <v>0</v>
      </c>
      <c r="I326" s="0" t="n">
        <f aca="false">BF325</f>
        <v>0</v>
      </c>
      <c r="J326" s="0" t="n">
        <f aca="false">B326*N('Debt Payoff'!D9)/12</f>
        <v>0</v>
      </c>
      <c r="K326" s="0" t="n">
        <f aca="false">C326*N('Debt Payoff'!D10)/12</f>
        <v>0</v>
      </c>
      <c r="L326" s="0" t="n">
        <f aca="false">D326*N('Debt Payoff'!D11)/12</f>
        <v>0</v>
      </c>
      <c r="M326" s="0" t="n">
        <f aca="false">E326*N('Debt Payoff'!D12)/12</f>
        <v>0</v>
      </c>
      <c r="N326" s="0" t="n">
        <f aca="false">F326*N('Debt Payoff'!D13)/12</f>
        <v>0</v>
      </c>
      <c r="O326" s="0" t="n">
        <f aca="false">G326*N('Debt Payoff'!D14)/12</f>
        <v>0</v>
      </c>
      <c r="P326" s="0" t="n">
        <f aca="false">H326*N('Debt Payoff'!D15)/12</f>
        <v>0</v>
      </c>
      <c r="Q326" s="0" t="n">
        <f aca="false">I326*N('Debt Payoff'!D16)/12</f>
        <v>0</v>
      </c>
      <c r="R326" s="0" t="n">
        <f aca="false">B326+J326</f>
        <v>0</v>
      </c>
      <c r="S326" s="0" t="n">
        <f aca="false">C326+K326</f>
        <v>0</v>
      </c>
      <c r="T326" s="0" t="n">
        <f aca="false">D326+L326</f>
        <v>0</v>
      </c>
      <c r="U326" s="0" t="n">
        <f aca="false">E326+M326</f>
        <v>0</v>
      </c>
      <c r="V326" s="0" t="n">
        <f aca="false">F326+N326</f>
        <v>0</v>
      </c>
      <c r="W326" s="0" t="n">
        <f aca="false">G326+O326</f>
        <v>0</v>
      </c>
      <c r="X326" s="0" t="n">
        <f aca="false">H326+P326</f>
        <v>0</v>
      </c>
      <c r="Y326" s="0" t="n">
        <f aca="false">I326+Q326</f>
        <v>0</v>
      </c>
      <c r="Z326" s="0" t="n">
        <f aca="false">MIN(R326,N('Debt Payoff'!E9))</f>
        <v>0</v>
      </c>
      <c r="AA326" s="0" t="n">
        <f aca="false">MIN(S326,N('Debt Payoff'!E10))</f>
        <v>0</v>
      </c>
      <c r="AB326" s="0" t="n">
        <f aca="false">MIN(T326,N('Debt Payoff'!E11))</f>
        <v>0</v>
      </c>
      <c r="AC326" s="0" t="n">
        <f aca="false">MIN(U326,N('Debt Payoff'!E12))</f>
        <v>0</v>
      </c>
      <c r="AD326" s="0" t="n">
        <f aca="false">MIN(V326,N('Debt Payoff'!E13))</f>
        <v>0</v>
      </c>
      <c r="AE326" s="0" t="n">
        <f aca="false">MIN(W326,N('Debt Payoff'!E14))</f>
        <v>0</v>
      </c>
      <c r="AF326" s="0" t="n">
        <f aca="false">MIN(X326,N('Debt Payoff'!E15))</f>
        <v>0</v>
      </c>
      <c r="AG326" s="0" t="n">
        <f aca="false">MIN(Y326,N('Debt Payoff'!E16))</f>
        <v>0</v>
      </c>
      <c r="AH326" s="0" t="n">
        <f aca="false">R326-Z326</f>
        <v>0</v>
      </c>
      <c r="AI326" s="0" t="n">
        <f aca="false">S326-AA326</f>
        <v>0</v>
      </c>
      <c r="AJ326" s="0" t="n">
        <f aca="false">T326-AB326</f>
        <v>0</v>
      </c>
      <c r="AK326" s="0" t="n">
        <f aca="false">U326-AC326</f>
        <v>0</v>
      </c>
      <c r="AL326" s="0" t="n">
        <f aca="false">V326-AD326</f>
        <v>0</v>
      </c>
      <c r="AM326" s="0" t="n">
        <f aca="false">W326-AE326</f>
        <v>0</v>
      </c>
      <c r="AN326" s="0" t="n">
        <f aca="false">X326-AF326</f>
        <v>0</v>
      </c>
      <c r="AO326" s="0" t="n">
        <f aca="false">Y326-AG326</f>
        <v>0</v>
      </c>
      <c r="AP326" s="0" t="n">
        <f aca="false">MAX(0,'Debt Payoff'!$D$17-SUM(Z326:AG326))</f>
        <v>805</v>
      </c>
      <c r="AQ326" s="0" t="n">
        <f aca="false">MIN(AH326,MAX(0,$AP326-SUMPRODUCT(($AH$1:$AO$1&lt;AH$1)*$AH326:$AO326)))</f>
        <v>0</v>
      </c>
      <c r="AR326" s="0" t="n">
        <f aca="false">MIN(AI326,MAX(0,$AP326-SUMPRODUCT(($AH$1:$AO$1&lt;AI$1)*$AH326:$AO326)))</f>
        <v>0</v>
      </c>
      <c r="AS326" s="0" t="n">
        <f aca="false">MIN(AJ326,MAX(0,$AP326-SUMPRODUCT(($AH$1:$AO$1&lt;AJ$1)*$AH326:$AO326)))</f>
        <v>0</v>
      </c>
      <c r="AT326" s="0" t="n">
        <f aca="false">MIN(AK326,MAX(0,$AP326-SUMPRODUCT(($AH$1:$AO$1&lt;AK$1)*$AH326:$AO326)))</f>
        <v>0</v>
      </c>
      <c r="AU326" s="0" t="n">
        <f aca="false">MIN(AL326,MAX(0,$AP326-SUMPRODUCT(($AH$1:$AO$1&lt;AL$1)*$AH326:$AO326)))</f>
        <v>0</v>
      </c>
      <c r="AV326" s="0" t="n">
        <f aca="false">MIN(AM326,MAX(0,$AP326-SUMPRODUCT(($AH$1:$AO$1&lt;AM$1)*$AH326:$AO326)))</f>
        <v>0</v>
      </c>
      <c r="AW326" s="0" t="n">
        <f aca="false">MIN(AN326,MAX(0,$AP326-SUMPRODUCT(($AH$1:$AO$1&lt;AN$1)*$AH326:$AO326)))</f>
        <v>0</v>
      </c>
      <c r="AX326" s="0" t="n">
        <f aca="false">MIN(AO326,MAX(0,$AP326-SUMPRODUCT(($AH$1:$AO$1&lt;AO$1)*$AH326:$AO326)))</f>
        <v>0</v>
      </c>
      <c r="AY326" s="0" t="n">
        <f aca="false">ROUND(AH326-AQ326,2)</f>
        <v>0</v>
      </c>
      <c r="AZ326" s="0" t="n">
        <f aca="false">ROUND(AI326-AR326,2)</f>
        <v>0</v>
      </c>
      <c r="BA326" s="0" t="n">
        <f aca="false">ROUND(AJ326-AS326,2)</f>
        <v>0</v>
      </c>
      <c r="BB326" s="0" t="n">
        <f aca="false">ROUND(AK326-AT326,2)</f>
        <v>0</v>
      </c>
      <c r="BC326" s="0" t="n">
        <f aca="false">ROUND(AL326-AU326,2)</f>
        <v>0</v>
      </c>
      <c r="BD326" s="0" t="n">
        <f aca="false">ROUND(AM326-AV326,2)</f>
        <v>0</v>
      </c>
      <c r="BE326" s="0" t="n">
        <f aca="false">ROUND(AN326-AW326,2)</f>
        <v>0</v>
      </c>
      <c r="BF326" s="0" t="n">
        <f aca="false">ROUND(AO326-AX326,2)</f>
        <v>0</v>
      </c>
      <c r="BG326" s="0" t="n">
        <f aca="false">SUM(AY326:BF326)</f>
        <v>0</v>
      </c>
    </row>
    <row r="327" customFormat="false" ht="15" hidden="false" customHeight="false" outlineLevel="0" collapsed="false">
      <c r="A327" s="0" t="n">
        <v>325</v>
      </c>
      <c r="B327" s="0" t="n">
        <f aca="false">AY326</f>
        <v>0</v>
      </c>
      <c r="C327" s="0" t="n">
        <f aca="false">AZ326</f>
        <v>0</v>
      </c>
      <c r="D327" s="0" t="n">
        <f aca="false">BA326</f>
        <v>0</v>
      </c>
      <c r="E327" s="0" t="n">
        <f aca="false">BB326</f>
        <v>0</v>
      </c>
      <c r="F327" s="0" t="n">
        <f aca="false">BC326</f>
        <v>0</v>
      </c>
      <c r="G327" s="0" t="n">
        <f aca="false">BD326</f>
        <v>0</v>
      </c>
      <c r="H327" s="0" t="n">
        <f aca="false">BE326</f>
        <v>0</v>
      </c>
      <c r="I327" s="0" t="n">
        <f aca="false">BF326</f>
        <v>0</v>
      </c>
      <c r="J327" s="0" t="n">
        <f aca="false">B327*N('Debt Payoff'!D9)/12</f>
        <v>0</v>
      </c>
      <c r="K327" s="0" t="n">
        <f aca="false">C327*N('Debt Payoff'!D10)/12</f>
        <v>0</v>
      </c>
      <c r="L327" s="0" t="n">
        <f aca="false">D327*N('Debt Payoff'!D11)/12</f>
        <v>0</v>
      </c>
      <c r="M327" s="0" t="n">
        <f aca="false">E327*N('Debt Payoff'!D12)/12</f>
        <v>0</v>
      </c>
      <c r="N327" s="0" t="n">
        <f aca="false">F327*N('Debt Payoff'!D13)/12</f>
        <v>0</v>
      </c>
      <c r="O327" s="0" t="n">
        <f aca="false">G327*N('Debt Payoff'!D14)/12</f>
        <v>0</v>
      </c>
      <c r="P327" s="0" t="n">
        <f aca="false">H327*N('Debt Payoff'!D15)/12</f>
        <v>0</v>
      </c>
      <c r="Q327" s="0" t="n">
        <f aca="false">I327*N('Debt Payoff'!D16)/12</f>
        <v>0</v>
      </c>
      <c r="R327" s="0" t="n">
        <f aca="false">B327+J327</f>
        <v>0</v>
      </c>
      <c r="S327" s="0" t="n">
        <f aca="false">C327+K327</f>
        <v>0</v>
      </c>
      <c r="T327" s="0" t="n">
        <f aca="false">D327+L327</f>
        <v>0</v>
      </c>
      <c r="U327" s="0" t="n">
        <f aca="false">E327+M327</f>
        <v>0</v>
      </c>
      <c r="V327" s="0" t="n">
        <f aca="false">F327+N327</f>
        <v>0</v>
      </c>
      <c r="W327" s="0" t="n">
        <f aca="false">G327+O327</f>
        <v>0</v>
      </c>
      <c r="X327" s="0" t="n">
        <f aca="false">H327+P327</f>
        <v>0</v>
      </c>
      <c r="Y327" s="0" t="n">
        <f aca="false">I327+Q327</f>
        <v>0</v>
      </c>
      <c r="Z327" s="0" t="n">
        <f aca="false">MIN(R327,N('Debt Payoff'!E9))</f>
        <v>0</v>
      </c>
      <c r="AA327" s="0" t="n">
        <f aca="false">MIN(S327,N('Debt Payoff'!E10))</f>
        <v>0</v>
      </c>
      <c r="AB327" s="0" t="n">
        <f aca="false">MIN(T327,N('Debt Payoff'!E11))</f>
        <v>0</v>
      </c>
      <c r="AC327" s="0" t="n">
        <f aca="false">MIN(U327,N('Debt Payoff'!E12))</f>
        <v>0</v>
      </c>
      <c r="AD327" s="0" t="n">
        <f aca="false">MIN(V327,N('Debt Payoff'!E13))</f>
        <v>0</v>
      </c>
      <c r="AE327" s="0" t="n">
        <f aca="false">MIN(W327,N('Debt Payoff'!E14))</f>
        <v>0</v>
      </c>
      <c r="AF327" s="0" t="n">
        <f aca="false">MIN(X327,N('Debt Payoff'!E15))</f>
        <v>0</v>
      </c>
      <c r="AG327" s="0" t="n">
        <f aca="false">MIN(Y327,N('Debt Payoff'!E16))</f>
        <v>0</v>
      </c>
      <c r="AH327" s="0" t="n">
        <f aca="false">R327-Z327</f>
        <v>0</v>
      </c>
      <c r="AI327" s="0" t="n">
        <f aca="false">S327-AA327</f>
        <v>0</v>
      </c>
      <c r="AJ327" s="0" t="n">
        <f aca="false">T327-AB327</f>
        <v>0</v>
      </c>
      <c r="AK327" s="0" t="n">
        <f aca="false">U327-AC327</f>
        <v>0</v>
      </c>
      <c r="AL327" s="0" t="n">
        <f aca="false">V327-AD327</f>
        <v>0</v>
      </c>
      <c r="AM327" s="0" t="n">
        <f aca="false">W327-AE327</f>
        <v>0</v>
      </c>
      <c r="AN327" s="0" t="n">
        <f aca="false">X327-AF327</f>
        <v>0</v>
      </c>
      <c r="AO327" s="0" t="n">
        <f aca="false">Y327-AG327</f>
        <v>0</v>
      </c>
      <c r="AP327" s="0" t="n">
        <f aca="false">MAX(0,'Debt Payoff'!$D$17-SUM(Z327:AG327))</f>
        <v>805</v>
      </c>
      <c r="AQ327" s="0" t="n">
        <f aca="false">MIN(AH327,MAX(0,$AP327-SUMPRODUCT(($AH$1:$AO$1&lt;AH$1)*$AH327:$AO327)))</f>
        <v>0</v>
      </c>
      <c r="AR327" s="0" t="n">
        <f aca="false">MIN(AI327,MAX(0,$AP327-SUMPRODUCT(($AH$1:$AO$1&lt;AI$1)*$AH327:$AO327)))</f>
        <v>0</v>
      </c>
      <c r="AS327" s="0" t="n">
        <f aca="false">MIN(AJ327,MAX(0,$AP327-SUMPRODUCT(($AH$1:$AO$1&lt;AJ$1)*$AH327:$AO327)))</f>
        <v>0</v>
      </c>
      <c r="AT327" s="0" t="n">
        <f aca="false">MIN(AK327,MAX(0,$AP327-SUMPRODUCT(($AH$1:$AO$1&lt;AK$1)*$AH327:$AO327)))</f>
        <v>0</v>
      </c>
      <c r="AU327" s="0" t="n">
        <f aca="false">MIN(AL327,MAX(0,$AP327-SUMPRODUCT(($AH$1:$AO$1&lt;AL$1)*$AH327:$AO327)))</f>
        <v>0</v>
      </c>
      <c r="AV327" s="0" t="n">
        <f aca="false">MIN(AM327,MAX(0,$AP327-SUMPRODUCT(($AH$1:$AO$1&lt;AM$1)*$AH327:$AO327)))</f>
        <v>0</v>
      </c>
      <c r="AW327" s="0" t="n">
        <f aca="false">MIN(AN327,MAX(0,$AP327-SUMPRODUCT(($AH$1:$AO$1&lt;AN$1)*$AH327:$AO327)))</f>
        <v>0</v>
      </c>
      <c r="AX327" s="0" t="n">
        <f aca="false">MIN(AO327,MAX(0,$AP327-SUMPRODUCT(($AH$1:$AO$1&lt;AO$1)*$AH327:$AO327)))</f>
        <v>0</v>
      </c>
      <c r="AY327" s="0" t="n">
        <f aca="false">ROUND(AH327-AQ327,2)</f>
        <v>0</v>
      </c>
      <c r="AZ327" s="0" t="n">
        <f aca="false">ROUND(AI327-AR327,2)</f>
        <v>0</v>
      </c>
      <c r="BA327" s="0" t="n">
        <f aca="false">ROUND(AJ327-AS327,2)</f>
        <v>0</v>
      </c>
      <c r="BB327" s="0" t="n">
        <f aca="false">ROUND(AK327-AT327,2)</f>
        <v>0</v>
      </c>
      <c r="BC327" s="0" t="n">
        <f aca="false">ROUND(AL327-AU327,2)</f>
        <v>0</v>
      </c>
      <c r="BD327" s="0" t="n">
        <f aca="false">ROUND(AM327-AV327,2)</f>
        <v>0</v>
      </c>
      <c r="BE327" s="0" t="n">
        <f aca="false">ROUND(AN327-AW327,2)</f>
        <v>0</v>
      </c>
      <c r="BF327" s="0" t="n">
        <f aca="false">ROUND(AO327-AX327,2)</f>
        <v>0</v>
      </c>
      <c r="BG327" s="0" t="n">
        <f aca="false">SUM(AY327:BF327)</f>
        <v>0</v>
      </c>
    </row>
    <row r="328" customFormat="false" ht="15" hidden="false" customHeight="false" outlineLevel="0" collapsed="false">
      <c r="A328" s="0" t="n">
        <v>326</v>
      </c>
      <c r="B328" s="0" t="n">
        <f aca="false">AY327</f>
        <v>0</v>
      </c>
      <c r="C328" s="0" t="n">
        <f aca="false">AZ327</f>
        <v>0</v>
      </c>
      <c r="D328" s="0" t="n">
        <f aca="false">BA327</f>
        <v>0</v>
      </c>
      <c r="E328" s="0" t="n">
        <f aca="false">BB327</f>
        <v>0</v>
      </c>
      <c r="F328" s="0" t="n">
        <f aca="false">BC327</f>
        <v>0</v>
      </c>
      <c r="G328" s="0" t="n">
        <f aca="false">BD327</f>
        <v>0</v>
      </c>
      <c r="H328" s="0" t="n">
        <f aca="false">BE327</f>
        <v>0</v>
      </c>
      <c r="I328" s="0" t="n">
        <f aca="false">BF327</f>
        <v>0</v>
      </c>
      <c r="J328" s="0" t="n">
        <f aca="false">B328*N('Debt Payoff'!D9)/12</f>
        <v>0</v>
      </c>
      <c r="K328" s="0" t="n">
        <f aca="false">C328*N('Debt Payoff'!D10)/12</f>
        <v>0</v>
      </c>
      <c r="L328" s="0" t="n">
        <f aca="false">D328*N('Debt Payoff'!D11)/12</f>
        <v>0</v>
      </c>
      <c r="M328" s="0" t="n">
        <f aca="false">E328*N('Debt Payoff'!D12)/12</f>
        <v>0</v>
      </c>
      <c r="N328" s="0" t="n">
        <f aca="false">F328*N('Debt Payoff'!D13)/12</f>
        <v>0</v>
      </c>
      <c r="O328" s="0" t="n">
        <f aca="false">G328*N('Debt Payoff'!D14)/12</f>
        <v>0</v>
      </c>
      <c r="P328" s="0" t="n">
        <f aca="false">H328*N('Debt Payoff'!D15)/12</f>
        <v>0</v>
      </c>
      <c r="Q328" s="0" t="n">
        <f aca="false">I328*N('Debt Payoff'!D16)/12</f>
        <v>0</v>
      </c>
      <c r="R328" s="0" t="n">
        <f aca="false">B328+J328</f>
        <v>0</v>
      </c>
      <c r="S328" s="0" t="n">
        <f aca="false">C328+K328</f>
        <v>0</v>
      </c>
      <c r="T328" s="0" t="n">
        <f aca="false">D328+L328</f>
        <v>0</v>
      </c>
      <c r="U328" s="0" t="n">
        <f aca="false">E328+M328</f>
        <v>0</v>
      </c>
      <c r="V328" s="0" t="n">
        <f aca="false">F328+N328</f>
        <v>0</v>
      </c>
      <c r="W328" s="0" t="n">
        <f aca="false">G328+O328</f>
        <v>0</v>
      </c>
      <c r="X328" s="0" t="n">
        <f aca="false">H328+P328</f>
        <v>0</v>
      </c>
      <c r="Y328" s="0" t="n">
        <f aca="false">I328+Q328</f>
        <v>0</v>
      </c>
      <c r="Z328" s="0" t="n">
        <f aca="false">MIN(R328,N('Debt Payoff'!E9))</f>
        <v>0</v>
      </c>
      <c r="AA328" s="0" t="n">
        <f aca="false">MIN(S328,N('Debt Payoff'!E10))</f>
        <v>0</v>
      </c>
      <c r="AB328" s="0" t="n">
        <f aca="false">MIN(T328,N('Debt Payoff'!E11))</f>
        <v>0</v>
      </c>
      <c r="AC328" s="0" t="n">
        <f aca="false">MIN(U328,N('Debt Payoff'!E12))</f>
        <v>0</v>
      </c>
      <c r="AD328" s="0" t="n">
        <f aca="false">MIN(V328,N('Debt Payoff'!E13))</f>
        <v>0</v>
      </c>
      <c r="AE328" s="0" t="n">
        <f aca="false">MIN(W328,N('Debt Payoff'!E14))</f>
        <v>0</v>
      </c>
      <c r="AF328" s="0" t="n">
        <f aca="false">MIN(X328,N('Debt Payoff'!E15))</f>
        <v>0</v>
      </c>
      <c r="AG328" s="0" t="n">
        <f aca="false">MIN(Y328,N('Debt Payoff'!E16))</f>
        <v>0</v>
      </c>
      <c r="AH328" s="0" t="n">
        <f aca="false">R328-Z328</f>
        <v>0</v>
      </c>
      <c r="AI328" s="0" t="n">
        <f aca="false">S328-AA328</f>
        <v>0</v>
      </c>
      <c r="AJ328" s="0" t="n">
        <f aca="false">T328-AB328</f>
        <v>0</v>
      </c>
      <c r="AK328" s="0" t="n">
        <f aca="false">U328-AC328</f>
        <v>0</v>
      </c>
      <c r="AL328" s="0" t="n">
        <f aca="false">V328-AD328</f>
        <v>0</v>
      </c>
      <c r="AM328" s="0" t="n">
        <f aca="false">W328-AE328</f>
        <v>0</v>
      </c>
      <c r="AN328" s="0" t="n">
        <f aca="false">X328-AF328</f>
        <v>0</v>
      </c>
      <c r="AO328" s="0" t="n">
        <f aca="false">Y328-AG328</f>
        <v>0</v>
      </c>
      <c r="AP328" s="0" t="n">
        <f aca="false">MAX(0,'Debt Payoff'!$D$17-SUM(Z328:AG328))</f>
        <v>805</v>
      </c>
      <c r="AQ328" s="0" t="n">
        <f aca="false">MIN(AH328,MAX(0,$AP328-SUMPRODUCT(($AH$1:$AO$1&lt;AH$1)*$AH328:$AO328)))</f>
        <v>0</v>
      </c>
      <c r="AR328" s="0" t="n">
        <f aca="false">MIN(AI328,MAX(0,$AP328-SUMPRODUCT(($AH$1:$AO$1&lt;AI$1)*$AH328:$AO328)))</f>
        <v>0</v>
      </c>
      <c r="AS328" s="0" t="n">
        <f aca="false">MIN(AJ328,MAX(0,$AP328-SUMPRODUCT(($AH$1:$AO$1&lt;AJ$1)*$AH328:$AO328)))</f>
        <v>0</v>
      </c>
      <c r="AT328" s="0" t="n">
        <f aca="false">MIN(AK328,MAX(0,$AP328-SUMPRODUCT(($AH$1:$AO$1&lt;AK$1)*$AH328:$AO328)))</f>
        <v>0</v>
      </c>
      <c r="AU328" s="0" t="n">
        <f aca="false">MIN(AL328,MAX(0,$AP328-SUMPRODUCT(($AH$1:$AO$1&lt;AL$1)*$AH328:$AO328)))</f>
        <v>0</v>
      </c>
      <c r="AV328" s="0" t="n">
        <f aca="false">MIN(AM328,MAX(0,$AP328-SUMPRODUCT(($AH$1:$AO$1&lt;AM$1)*$AH328:$AO328)))</f>
        <v>0</v>
      </c>
      <c r="AW328" s="0" t="n">
        <f aca="false">MIN(AN328,MAX(0,$AP328-SUMPRODUCT(($AH$1:$AO$1&lt;AN$1)*$AH328:$AO328)))</f>
        <v>0</v>
      </c>
      <c r="AX328" s="0" t="n">
        <f aca="false">MIN(AO328,MAX(0,$AP328-SUMPRODUCT(($AH$1:$AO$1&lt;AO$1)*$AH328:$AO328)))</f>
        <v>0</v>
      </c>
      <c r="AY328" s="0" t="n">
        <f aca="false">ROUND(AH328-AQ328,2)</f>
        <v>0</v>
      </c>
      <c r="AZ328" s="0" t="n">
        <f aca="false">ROUND(AI328-AR328,2)</f>
        <v>0</v>
      </c>
      <c r="BA328" s="0" t="n">
        <f aca="false">ROUND(AJ328-AS328,2)</f>
        <v>0</v>
      </c>
      <c r="BB328" s="0" t="n">
        <f aca="false">ROUND(AK328-AT328,2)</f>
        <v>0</v>
      </c>
      <c r="BC328" s="0" t="n">
        <f aca="false">ROUND(AL328-AU328,2)</f>
        <v>0</v>
      </c>
      <c r="BD328" s="0" t="n">
        <f aca="false">ROUND(AM328-AV328,2)</f>
        <v>0</v>
      </c>
      <c r="BE328" s="0" t="n">
        <f aca="false">ROUND(AN328-AW328,2)</f>
        <v>0</v>
      </c>
      <c r="BF328" s="0" t="n">
        <f aca="false">ROUND(AO328-AX328,2)</f>
        <v>0</v>
      </c>
      <c r="BG328" s="0" t="n">
        <f aca="false">SUM(AY328:BF328)</f>
        <v>0</v>
      </c>
    </row>
    <row r="329" customFormat="false" ht="15" hidden="false" customHeight="false" outlineLevel="0" collapsed="false">
      <c r="A329" s="0" t="n">
        <v>327</v>
      </c>
      <c r="B329" s="0" t="n">
        <f aca="false">AY328</f>
        <v>0</v>
      </c>
      <c r="C329" s="0" t="n">
        <f aca="false">AZ328</f>
        <v>0</v>
      </c>
      <c r="D329" s="0" t="n">
        <f aca="false">BA328</f>
        <v>0</v>
      </c>
      <c r="E329" s="0" t="n">
        <f aca="false">BB328</f>
        <v>0</v>
      </c>
      <c r="F329" s="0" t="n">
        <f aca="false">BC328</f>
        <v>0</v>
      </c>
      <c r="G329" s="0" t="n">
        <f aca="false">BD328</f>
        <v>0</v>
      </c>
      <c r="H329" s="0" t="n">
        <f aca="false">BE328</f>
        <v>0</v>
      </c>
      <c r="I329" s="0" t="n">
        <f aca="false">BF328</f>
        <v>0</v>
      </c>
      <c r="J329" s="0" t="n">
        <f aca="false">B329*N('Debt Payoff'!D9)/12</f>
        <v>0</v>
      </c>
      <c r="K329" s="0" t="n">
        <f aca="false">C329*N('Debt Payoff'!D10)/12</f>
        <v>0</v>
      </c>
      <c r="L329" s="0" t="n">
        <f aca="false">D329*N('Debt Payoff'!D11)/12</f>
        <v>0</v>
      </c>
      <c r="M329" s="0" t="n">
        <f aca="false">E329*N('Debt Payoff'!D12)/12</f>
        <v>0</v>
      </c>
      <c r="N329" s="0" t="n">
        <f aca="false">F329*N('Debt Payoff'!D13)/12</f>
        <v>0</v>
      </c>
      <c r="O329" s="0" t="n">
        <f aca="false">G329*N('Debt Payoff'!D14)/12</f>
        <v>0</v>
      </c>
      <c r="P329" s="0" t="n">
        <f aca="false">H329*N('Debt Payoff'!D15)/12</f>
        <v>0</v>
      </c>
      <c r="Q329" s="0" t="n">
        <f aca="false">I329*N('Debt Payoff'!D16)/12</f>
        <v>0</v>
      </c>
      <c r="R329" s="0" t="n">
        <f aca="false">B329+J329</f>
        <v>0</v>
      </c>
      <c r="S329" s="0" t="n">
        <f aca="false">C329+K329</f>
        <v>0</v>
      </c>
      <c r="T329" s="0" t="n">
        <f aca="false">D329+L329</f>
        <v>0</v>
      </c>
      <c r="U329" s="0" t="n">
        <f aca="false">E329+M329</f>
        <v>0</v>
      </c>
      <c r="V329" s="0" t="n">
        <f aca="false">F329+N329</f>
        <v>0</v>
      </c>
      <c r="W329" s="0" t="n">
        <f aca="false">G329+O329</f>
        <v>0</v>
      </c>
      <c r="X329" s="0" t="n">
        <f aca="false">H329+P329</f>
        <v>0</v>
      </c>
      <c r="Y329" s="0" t="n">
        <f aca="false">I329+Q329</f>
        <v>0</v>
      </c>
      <c r="Z329" s="0" t="n">
        <f aca="false">MIN(R329,N('Debt Payoff'!E9))</f>
        <v>0</v>
      </c>
      <c r="AA329" s="0" t="n">
        <f aca="false">MIN(S329,N('Debt Payoff'!E10))</f>
        <v>0</v>
      </c>
      <c r="AB329" s="0" t="n">
        <f aca="false">MIN(T329,N('Debt Payoff'!E11))</f>
        <v>0</v>
      </c>
      <c r="AC329" s="0" t="n">
        <f aca="false">MIN(U329,N('Debt Payoff'!E12))</f>
        <v>0</v>
      </c>
      <c r="AD329" s="0" t="n">
        <f aca="false">MIN(V329,N('Debt Payoff'!E13))</f>
        <v>0</v>
      </c>
      <c r="AE329" s="0" t="n">
        <f aca="false">MIN(W329,N('Debt Payoff'!E14))</f>
        <v>0</v>
      </c>
      <c r="AF329" s="0" t="n">
        <f aca="false">MIN(X329,N('Debt Payoff'!E15))</f>
        <v>0</v>
      </c>
      <c r="AG329" s="0" t="n">
        <f aca="false">MIN(Y329,N('Debt Payoff'!E16))</f>
        <v>0</v>
      </c>
      <c r="AH329" s="0" t="n">
        <f aca="false">R329-Z329</f>
        <v>0</v>
      </c>
      <c r="AI329" s="0" t="n">
        <f aca="false">S329-AA329</f>
        <v>0</v>
      </c>
      <c r="AJ329" s="0" t="n">
        <f aca="false">T329-AB329</f>
        <v>0</v>
      </c>
      <c r="AK329" s="0" t="n">
        <f aca="false">U329-AC329</f>
        <v>0</v>
      </c>
      <c r="AL329" s="0" t="n">
        <f aca="false">V329-AD329</f>
        <v>0</v>
      </c>
      <c r="AM329" s="0" t="n">
        <f aca="false">W329-AE329</f>
        <v>0</v>
      </c>
      <c r="AN329" s="0" t="n">
        <f aca="false">X329-AF329</f>
        <v>0</v>
      </c>
      <c r="AO329" s="0" t="n">
        <f aca="false">Y329-AG329</f>
        <v>0</v>
      </c>
      <c r="AP329" s="0" t="n">
        <f aca="false">MAX(0,'Debt Payoff'!$D$17-SUM(Z329:AG329))</f>
        <v>805</v>
      </c>
      <c r="AQ329" s="0" t="n">
        <f aca="false">MIN(AH329,MAX(0,$AP329-SUMPRODUCT(($AH$1:$AO$1&lt;AH$1)*$AH329:$AO329)))</f>
        <v>0</v>
      </c>
      <c r="AR329" s="0" t="n">
        <f aca="false">MIN(AI329,MAX(0,$AP329-SUMPRODUCT(($AH$1:$AO$1&lt;AI$1)*$AH329:$AO329)))</f>
        <v>0</v>
      </c>
      <c r="AS329" s="0" t="n">
        <f aca="false">MIN(AJ329,MAX(0,$AP329-SUMPRODUCT(($AH$1:$AO$1&lt;AJ$1)*$AH329:$AO329)))</f>
        <v>0</v>
      </c>
      <c r="AT329" s="0" t="n">
        <f aca="false">MIN(AK329,MAX(0,$AP329-SUMPRODUCT(($AH$1:$AO$1&lt;AK$1)*$AH329:$AO329)))</f>
        <v>0</v>
      </c>
      <c r="AU329" s="0" t="n">
        <f aca="false">MIN(AL329,MAX(0,$AP329-SUMPRODUCT(($AH$1:$AO$1&lt;AL$1)*$AH329:$AO329)))</f>
        <v>0</v>
      </c>
      <c r="AV329" s="0" t="n">
        <f aca="false">MIN(AM329,MAX(0,$AP329-SUMPRODUCT(($AH$1:$AO$1&lt;AM$1)*$AH329:$AO329)))</f>
        <v>0</v>
      </c>
      <c r="AW329" s="0" t="n">
        <f aca="false">MIN(AN329,MAX(0,$AP329-SUMPRODUCT(($AH$1:$AO$1&lt;AN$1)*$AH329:$AO329)))</f>
        <v>0</v>
      </c>
      <c r="AX329" s="0" t="n">
        <f aca="false">MIN(AO329,MAX(0,$AP329-SUMPRODUCT(($AH$1:$AO$1&lt;AO$1)*$AH329:$AO329)))</f>
        <v>0</v>
      </c>
      <c r="AY329" s="0" t="n">
        <f aca="false">ROUND(AH329-AQ329,2)</f>
        <v>0</v>
      </c>
      <c r="AZ329" s="0" t="n">
        <f aca="false">ROUND(AI329-AR329,2)</f>
        <v>0</v>
      </c>
      <c r="BA329" s="0" t="n">
        <f aca="false">ROUND(AJ329-AS329,2)</f>
        <v>0</v>
      </c>
      <c r="BB329" s="0" t="n">
        <f aca="false">ROUND(AK329-AT329,2)</f>
        <v>0</v>
      </c>
      <c r="BC329" s="0" t="n">
        <f aca="false">ROUND(AL329-AU329,2)</f>
        <v>0</v>
      </c>
      <c r="BD329" s="0" t="n">
        <f aca="false">ROUND(AM329-AV329,2)</f>
        <v>0</v>
      </c>
      <c r="BE329" s="0" t="n">
        <f aca="false">ROUND(AN329-AW329,2)</f>
        <v>0</v>
      </c>
      <c r="BF329" s="0" t="n">
        <f aca="false">ROUND(AO329-AX329,2)</f>
        <v>0</v>
      </c>
      <c r="BG329" s="0" t="n">
        <f aca="false">SUM(AY329:BF329)</f>
        <v>0</v>
      </c>
    </row>
    <row r="330" customFormat="false" ht="15" hidden="false" customHeight="false" outlineLevel="0" collapsed="false">
      <c r="A330" s="0" t="n">
        <v>328</v>
      </c>
      <c r="B330" s="0" t="n">
        <f aca="false">AY329</f>
        <v>0</v>
      </c>
      <c r="C330" s="0" t="n">
        <f aca="false">AZ329</f>
        <v>0</v>
      </c>
      <c r="D330" s="0" t="n">
        <f aca="false">BA329</f>
        <v>0</v>
      </c>
      <c r="E330" s="0" t="n">
        <f aca="false">BB329</f>
        <v>0</v>
      </c>
      <c r="F330" s="0" t="n">
        <f aca="false">BC329</f>
        <v>0</v>
      </c>
      <c r="G330" s="0" t="n">
        <f aca="false">BD329</f>
        <v>0</v>
      </c>
      <c r="H330" s="0" t="n">
        <f aca="false">BE329</f>
        <v>0</v>
      </c>
      <c r="I330" s="0" t="n">
        <f aca="false">BF329</f>
        <v>0</v>
      </c>
      <c r="J330" s="0" t="n">
        <f aca="false">B330*N('Debt Payoff'!D9)/12</f>
        <v>0</v>
      </c>
      <c r="K330" s="0" t="n">
        <f aca="false">C330*N('Debt Payoff'!D10)/12</f>
        <v>0</v>
      </c>
      <c r="L330" s="0" t="n">
        <f aca="false">D330*N('Debt Payoff'!D11)/12</f>
        <v>0</v>
      </c>
      <c r="M330" s="0" t="n">
        <f aca="false">E330*N('Debt Payoff'!D12)/12</f>
        <v>0</v>
      </c>
      <c r="N330" s="0" t="n">
        <f aca="false">F330*N('Debt Payoff'!D13)/12</f>
        <v>0</v>
      </c>
      <c r="O330" s="0" t="n">
        <f aca="false">G330*N('Debt Payoff'!D14)/12</f>
        <v>0</v>
      </c>
      <c r="P330" s="0" t="n">
        <f aca="false">H330*N('Debt Payoff'!D15)/12</f>
        <v>0</v>
      </c>
      <c r="Q330" s="0" t="n">
        <f aca="false">I330*N('Debt Payoff'!D16)/12</f>
        <v>0</v>
      </c>
      <c r="R330" s="0" t="n">
        <f aca="false">B330+J330</f>
        <v>0</v>
      </c>
      <c r="S330" s="0" t="n">
        <f aca="false">C330+K330</f>
        <v>0</v>
      </c>
      <c r="T330" s="0" t="n">
        <f aca="false">D330+L330</f>
        <v>0</v>
      </c>
      <c r="U330" s="0" t="n">
        <f aca="false">E330+M330</f>
        <v>0</v>
      </c>
      <c r="V330" s="0" t="n">
        <f aca="false">F330+N330</f>
        <v>0</v>
      </c>
      <c r="W330" s="0" t="n">
        <f aca="false">G330+O330</f>
        <v>0</v>
      </c>
      <c r="X330" s="0" t="n">
        <f aca="false">H330+P330</f>
        <v>0</v>
      </c>
      <c r="Y330" s="0" t="n">
        <f aca="false">I330+Q330</f>
        <v>0</v>
      </c>
      <c r="Z330" s="0" t="n">
        <f aca="false">MIN(R330,N('Debt Payoff'!E9))</f>
        <v>0</v>
      </c>
      <c r="AA330" s="0" t="n">
        <f aca="false">MIN(S330,N('Debt Payoff'!E10))</f>
        <v>0</v>
      </c>
      <c r="AB330" s="0" t="n">
        <f aca="false">MIN(T330,N('Debt Payoff'!E11))</f>
        <v>0</v>
      </c>
      <c r="AC330" s="0" t="n">
        <f aca="false">MIN(U330,N('Debt Payoff'!E12))</f>
        <v>0</v>
      </c>
      <c r="AD330" s="0" t="n">
        <f aca="false">MIN(V330,N('Debt Payoff'!E13))</f>
        <v>0</v>
      </c>
      <c r="AE330" s="0" t="n">
        <f aca="false">MIN(W330,N('Debt Payoff'!E14))</f>
        <v>0</v>
      </c>
      <c r="AF330" s="0" t="n">
        <f aca="false">MIN(X330,N('Debt Payoff'!E15))</f>
        <v>0</v>
      </c>
      <c r="AG330" s="0" t="n">
        <f aca="false">MIN(Y330,N('Debt Payoff'!E16))</f>
        <v>0</v>
      </c>
      <c r="AH330" s="0" t="n">
        <f aca="false">R330-Z330</f>
        <v>0</v>
      </c>
      <c r="AI330" s="0" t="n">
        <f aca="false">S330-AA330</f>
        <v>0</v>
      </c>
      <c r="AJ330" s="0" t="n">
        <f aca="false">T330-AB330</f>
        <v>0</v>
      </c>
      <c r="AK330" s="0" t="n">
        <f aca="false">U330-AC330</f>
        <v>0</v>
      </c>
      <c r="AL330" s="0" t="n">
        <f aca="false">V330-AD330</f>
        <v>0</v>
      </c>
      <c r="AM330" s="0" t="n">
        <f aca="false">W330-AE330</f>
        <v>0</v>
      </c>
      <c r="AN330" s="0" t="n">
        <f aca="false">X330-AF330</f>
        <v>0</v>
      </c>
      <c r="AO330" s="0" t="n">
        <f aca="false">Y330-AG330</f>
        <v>0</v>
      </c>
      <c r="AP330" s="0" t="n">
        <f aca="false">MAX(0,'Debt Payoff'!$D$17-SUM(Z330:AG330))</f>
        <v>805</v>
      </c>
      <c r="AQ330" s="0" t="n">
        <f aca="false">MIN(AH330,MAX(0,$AP330-SUMPRODUCT(($AH$1:$AO$1&lt;AH$1)*$AH330:$AO330)))</f>
        <v>0</v>
      </c>
      <c r="AR330" s="0" t="n">
        <f aca="false">MIN(AI330,MAX(0,$AP330-SUMPRODUCT(($AH$1:$AO$1&lt;AI$1)*$AH330:$AO330)))</f>
        <v>0</v>
      </c>
      <c r="AS330" s="0" t="n">
        <f aca="false">MIN(AJ330,MAX(0,$AP330-SUMPRODUCT(($AH$1:$AO$1&lt;AJ$1)*$AH330:$AO330)))</f>
        <v>0</v>
      </c>
      <c r="AT330" s="0" t="n">
        <f aca="false">MIN(AK330,MAX(0,$AP330-SUMPRODUCT(($AH$1:$AO$1&lt;AK$1)*$AH330:$AO330)))</f>
        <v>0</v>
      </c>
      <c r="AU330" s="0" t="n">
        <f aca="false">MIN(AL330,MAX(0,$AP330-SUMPRODUCT(($AH$1:$AO$1&lt;AL$1)*$AH330:$AO330)))</f>
        <v>0</v>
      </c>
      <c r="AV330" s="0" t="n">
        <f aca="false">MIN(AM330,MAX(0,$AP330-SUMPRODUCT(($AH$1:$AO$1&lt;AM$1)*$AH330:$AO330)))</f>
        <v>0</v>
      </c>
      <c r="AW330" s="0" t="n">
        <f aca="false">MIN(AN330,MAX(0,$AP330-SUMPRODUCT(($AH$1:$AO$1&lt;AN$1)*$AH330:$AO330)))</f>
        <v>0</v>
      </c>
      <c r="AX330" s="0" t="n">
        <f aca="false">MIN(AO330,MAX(0,$AP330-SUMPRODUCT(($AH$1:$AO$1&lt;AO$1)*$AH330:$AO330)))</f>
        <v>0</v>
      </c>
      <c r="AY330" s="0" t="n">
        <f aca="false">ROUND(AH330-AQ330,2)</f>
        <v>0</v>
      </c>
      <c r="AZ330" s="0" t="n">
        <f aca="false">ROUND(AI330-AR330,2)</f>
        <v>0</v>
      </c>
      <c r="BA330" s="0" t="n">
        <f aca="false">ROUND(AJ330-AS330,2)</f>
        <v>0</v>
      </c>
      <c r="BB330" s="0" t="n">
        <f aca="false">ROUND(AK330-AT330,2)</f>
        <v>0</v>
      </c>
      <c r="BC330" s="0" t="n">
        <f aca="false">ROUND(AL330-AU330,2)</f>
        <v>0</v>
      </c>
      <c r="BD330" s="0" t="n">
        <f aca="false">ROUND(AM330-AV330,2)</f>
        <v>0</v>
      </c>
      <c r="BE330" s="0" t="n">
        <f aca="false">ROUND(AN330-AW330,2)</f>
        <v>0</v>
      </c>
      <c r="BF330" s="0" t="n">
        <f aca="false">ROUND(AO330-AX330,2)</f>
        <v>0</v>
      </c>
      <c r="BG330" s="0" t="n">
        <f aca="false">SUM(AY330:BF330)</f>
        <v>0</v>
      </c>
    </row>
    <row r="331" customFormat="false" ht="15" hidden="false" customHeight="false" outlineLevel="0" collapsed="false">
      <c r="A331" s="0" t="n">
        <v>329</v>
      </c>
      <c r="B331" s="0" t="n">
        <f aca="false">AY330</f>
        <v>0</v>
      </c>
      <c r="C331" s="0" t="n">
        <f aca="false">AZ330</f>
        <v>0</v>
      </c>
      <c r="D331" s="0" t="n">
        <f aca="false">BA330</f>
        <v>0</v>
      </c>
      <c r="E331" s="0" t="n">
        <f aca="false">BB330</f>
        <v>0</v>
      </c>
      <c r="F331" s="0" t="n">
        <f aca="false">BC330</f>
        <v>0</v>
      </c>
      <c r="G331" s="0" t="n">
        <f aca="false">BD330</f>
        <v>0</v>
      </c>
      <c r="H331" s="0" t="n">
        <f aca="false">BE330</f>
        <v>0</v>
      </c>
      <c r="I331" s="0" t="n">
        <f aca="false">BF330</f>
        <v>0</v>
      </c>
      <c r="J331" s="0" t="n">
        <f aca="false">B331*N('Debt Payoff'!D9)/12</f>
        <v>0</v>
      </c>
      <c r="K331" s="0" t="n">
        <f aca="false">C331*N('Debt Payoff'!D10)/12</f>
        <v>0</v>
      </c>
      <c r="L331" s="0" t="n">
        <f aca="false">D331*N('Debt Payoff'!D11)/12</f>
        <v>0</v>
      </c>
      <c r="M331" s="0" t="n">
        <f aca="false">E331*N('Debt Payoff'!D12)/12</f>
        <v>0</v>
      </c>
      <c r="N331" s="0" t="n">
        <f aca="false">F331*N('Debt Payoff'!D13)/12</f>
        <v>0</v>
      </c>
      <c r="O331" s="0" t="n">
        <f aca="false">G331*N('Debt Payoff'!D14)/12</f>
        <v>0</v>
      </c>
      <c r="P331" s="0" t="n">
        <f aca="false">H331*N('Debt Payoff'!D15)/12</f>
        <v>0</v>
      </c>
      <c r="Q331" s="0" t="n">
        <f aca="false">I331*N('Debt Payoff'!D16)/12</f>
        <v>0</v>
      </c>
      <c r="R331" s="0" t="n">
        <f aca="false">B331+J331</f>
        <v>0</v>
      </c>
      <c r="S331" s="0" t="n">
        <f aca="false">C331+K331</f>
        <v>0</v>
      </c>
      <c r="T331" s="0" t="n">
        <f aca="false">D331+L331</f>
        <v>0</v>
      </c>
      <c r="U331" s="0" t="n">
        <f aca="false">E331+M331</f>
        <v>0</v>
      </c>
      <c r="V331" s="0" t="n">
        <f aca="false">F331+N331</f>
        <v>0</v>
      </c>
      <c r="W331" s="0" t="n">
        <f aca="false">G331+O331</f>
        <v>0</v>
      </c>
      <c r="X331" s="0" t="n">
        <f aca="false">H331+P331</f>
        <v>0</v>
      </c>
      <c r="Y331" s="0" t="n">
        <f aca="false">I331+Q331</f>
        <v>0</v>
      </c>
      <c r="Z331" s="0" t="n">
        <f aca="false">MIN(R331,N('Debt Payoff'!E9))</f>
        <v>0</v>
      </c>
      <c r="AA331" s="0" t="n">
        <f aca="false">MIN(S331,N('Debt Payoff'!E10))</f>
        <v>0</v>
      </c>
      <c r="AB331" s="0" t="n">
        <f aca="false">MIN(T331,N('Debt Payoff'!E11))</f>
        <v>0</v>
      </c>
      <c r="AC331" s="0" t="n">
        <f aca="false">MIN(U331,N('Debt Payoff'!E12))</f>
        <v>0</v>
      </c>
      <c r="AD331" s="0" t="n">
        <f aca="false">MIN(V331,N('Debt Payoff'!E13))</f>
        <v>0</v>
      </c>
      <c r="AE331" s="0" t="n">
        <f aca="false">MIN(W331,N('Debt Payoff'!E14))</f>
        <v>0</v>
      </c>
      <c r="AF331" s="0" t="n">
        <f aca="false">MIN(X331,N('Debt Payoff'!E15))</f>
        <v>0</v>
      </c>
      <c r="AG331" s="0" t="n">
        <f aca="false">MIN(Y331,N('Debt Payoff'!E16))</f>
        <v>0</v>
      </c>
      <c r="AH331" s="0" t="n">
        <f aca="false">R331-Z331</f>
        <v>0</v>
      </c>
      <c r="AI331" s="0" t="n">
        <f aca="false">S331-AA331</f>
        <v>0</v>
      </c>
      <c r="AJ331" s="0" t="n">
        <f aca="false">T331-AB331</f>
        <v>0</v>
      </c>
      <c r="AK331" s="0" t="n">
        <f aca="false">U331-AC331</f>
        <v>0</v>
      </c>
      <c r="AL331" s="0" t="n">
        <f aca="false">V331-AD331</f>
        <v>0</v>
      </c>
      <c r="AM331" s="0" t="n">
        <f aca="false">W331-AE331</f>
        <v>0</v>
      </c>
      <c r="AN331" s="0" t="n">
        <f aca="false">X331-AF331</f>
        <v>0</v>
      </c>
      <c r="AO331" s="0" t="n">
        <f aca="false">Y331-AG331</f>
        <v>0</v>
      </c>
      <c r="AP331" s="0" t="n">
        <f aca="false">MAX(0,'Debt Payoff'!$D$17-SUM(Z331:AG331))</f>
        <v>805</v>
      </c>
      <c r="AQ331" s="0" t="n">
        <f aca="false">MIN(AH331,MAX(0,$AP331-SUMPRODUCT(($AH$1:$AO$1&lt;AH$1)*$AH331:$AO331)))</f>
        <v>0</v>
      </c>
      <c r="AR331" s="0" t="n">
        <f aca="false">MIN(AI331,MAX(0,$AP331-SUMPRODUCT(($AH$1:$AO$1&lt;AI$1)*$AH331:$AO331)))</f>
        <v>0</v>
      </c>
      <c r="AS331" s="0" t="n">
        <f aca="false">MIN(AJ331,MAX(0,$AP331-SUMPRODUCT(($AH$1:$AO$1&lt;AJ$1)*$AH331:$AO331)))</f>
        <v>0</v>
      </c>
      <c r="AT331" s="0" t="n">
        <f aca="false">MIN(AK331,MAX(0,$AP331-SUMPRODUCT(($AH$1:$AO$1&lt;AK$1)*$AH331:$AO331)))</f>
        <v>0</v>
      </c>
      <c r="AU331" s="0" t="n">
        <f aca="false">MIN(AL331,MAX(0,$AP331-SUMPRODUCT(($AH$1:$AO$1&lt;AL$1)*$AH331:$AO331)))</f>
        <v>0</v>
      </c>
      <c r="AV331" s="0" t="n">
        <f aca="false">MIN(AM331,MAX(0,$AP331-SUMPRODUCT(($AH$1:$AO$1&lt;AM$1)*$AH331:$AO331)))</f>
        <v>0</v>
      </c>
      <c r="AW331" s="0" t="n">
        <f aca="false">MIN(AN331,MAX(0,$AP331-SUMPRODUCT(($AH$1:$AO$1&lt;AN$1)*$AH331:$AO331)))</f>
        <v>0</v>
      </c>
      <c r="AX331" s="0" t="n">
        <f aca="false">MIN(AO331,MAX(0,$AP331-SUMPRODUCT(($AH$1:$AO$1&lt;AO$1)*$AH331:$AO331)))</f>
        <v>0</v>
      </c>
      <c r="AY331" s="0" t="n">
        <f aca="false">ROUND(AH331-AQ331,2)</f>
        <v>0</v>
      </c>
      <c r="AZ331" s="0" t="n">
        <f aca="false">ROUND(AI331-AR331,2)</f>
        <v>0</v>
      </c>
      <c r="BA331" s="0" t="n">
        <f aca="false">ROUND(AJ331-AS331,2)</f>
        <v>0</v>
      </c>
      <c r="BB331" s="0" t="n">
        <f aca="false">ROUND(AK331-AT331,2)</f>
        <v>0</v>
      </c>
      <c r="BC331" s="0" t="n">
        <f aca="false">ROUND(AL331-AU331,2)</f>
        <v>0</v>
      </c>
      <c r="BD331" s="0" t="n">
        <f aca="false">ROUND(AM331-AV331,2)</f>
        <v>0</v>
      </c>
      <c r="BE331" s="0" t="n">
        <f aca="false">ROUND(AN331-AW331,2)</f>
        <v>0</v>
      </c>
      <c r="BF331" s="0" t="n">
        <f aca="false">ROUND(AO331-AX331,2)</f>
        <v>0</v>
      </c>
      <c r="BG331" s="0" t="n">
        <f aca="false">SUM(AY331:BF331)</f>
        <v>0</v>
      </c>
    </row>
    <row r="332" customFormat="false" ht="15" hidden="false" customHeight="false" outlineLevel="0" collapsed="false">
      <c r="A332" s="0" t="n">
        <v>330</v>
      </c>
      <c r="B332" s="0" t="n">
        <f aca="false">AY331</f>
        <v>0</v>
      </c>
      <c r="C332" s="0" t="n">
        <f aca="false">AZ331</f>
        <v>0</v>
      </c>
      <c r="D332" s="0" t="n">
        <f aca="false">BA331</f>
        <v>0</v>
      </c>
      <c r="E332" s="0" t="n">
        <f aca="false">BB331</f>
        <v>0</v>
      </c>
      <c r="F332" s="0" t="n">
        <f aca="false">BC331</f>
        <v>0</v>
      </c>
      <c r="G332" s="0" t="n">
        <f aca="false">BD331</f>
        <v>0</v>
      </c>
      <c r="H332" s="0" t="n">
        <f aca="false">BE331</f>
        <v>0</v>
      </c>
      <c r="I332" s="0" t="n">
        <f aca="false">BF331</f>
        <v>0</v>
      </c>
      <c r="J332" s="0" t="n">
        <f aca="false">B332*N('Debt Payoff'!D9)/12</f>
        <v>0</v>
      </c>
      <c r="K332" s="0" t="n">
        <f aca="false">C332*N('Debt Payoff'!D10)/12</f>
        <v>0</v>
      </c>
      <c r="L332" s="0" t="n">
        <f aca="false">D332*N('Debt Payoff'!D11)/12</f>
        <v>0</v>
      </c>
      <c r="M332" s="0" t="n">
        <f aca="false">E332*N('Debt Payoff'!D12)/12</f>
        <v>0</v>
      </c>
      <c r="N332" s="0" t="n">
        <f aca="false">F332*N('Debt Payoff'!D13)/12</f>
        <v>0</v>
      </c>
      <c r="O332" s="0" t="n">
        <f aca="false">G332*N('Debt Payoff'!D14)/12</f>
        <v>0</v>
      </c>
      <c r="P332" s="0" t="n">
        <f aca="false">H332*N('Debt Payoff'!D15)/12</f>
        <v>0</v>
      </c>
      <c r="Q332" s="0" t="n">
        <f aca="false">I332*N('Debt Payoff'!D16)/12</f>
        <v>0</v>
      </c>
      <c r="R332" s="0" t="n">
        <f aca="false">B332+J332</f>
        <v>0</v>
      </c>
      <c r="S332" s="0" t="n">
        <f aca="false">C332+K332</f>
        <v>0</v>
      </c>
      <c r="T332" s="0" t="n">
        <f aca="false">D332+L332</f>
        <v>0</v>
      </c>
      <c r="U332" s="0" t="n">
        <f aca="false">E332+M332</f>
        <v>0</v>
      </c>
      <c r="V332" s="0" t="n">
        <f aca="false">F332+N332</f>
        <v>0</v>
      </c>
      <c r="W332" s="0" t="n">
        <f aca="false">G332+O332</f>
        <v>0</v>
      </c>
      <c r="X332" s="0" t="n">
        <f aca="false">H332+P332</f>
        <v>0</v>
      </c>
      <c r="Y332" s="0" t="n">
        <f aca="false">I332+Q332</f>
        <v>0</v>
      </c>
      <c r="Z332" s="0" t="n">
        <f aca="false">MIN(R332,N('Debt Payoff'!E9))</f>
        <v>0</v>
      </c>
      <c r="AA332" s="0" t="n">
        <f aca="false">MIN(S332,N('Debt Payoff'!E10))</f>
        <v>0</v>
      </c>
      <c r="AB332" s="0" t="n">
        <f aca="false">MIN(T332,N('Debt Payoff'!E11))</f>
        <v>0</v>
      </c>
      <c r="AC332" s="0" t="n">
        <f aca="false">MIN(U332,N('Debt Payoff'!E12))</f>
        <v>0</v>
      </c>
      <c r="AD332" s="0" t="n">
        <f aca="false">MIN(V332,N('Debt Payoff'!E13))</f>
        <v>0</v>
      </c>
      <c r="AE332" s="0" t="n">
        <f aca="false">MIN(W332,N('Debt Payoff'!E14))</f>
        <v>0</v>
      </c>
      <c r="AF332" s="0" t="n">
        <f aca="false">MIN(X332,N('Debt Payoff'!E15))</f>
        <v>0</v>
      </c>
      <c r="AG332" s="0" t="n">
        <f aca="false">MIN(Y332,N('Debt Payoff'!E16))</f>
        <v>0</v>
      </c>
      <c r="AH332" s="0" t="n">
        <f aca="false">R332-Z332</f>
        <v>0</v>
      </c>
      <c r="AI332" s="0" t="n">
        <f aca="false">S332-AA332</f>
        <v>0</v>
      </c>
      <c r="AJ332" s="0" t="n">
        <f aca="false">T332-AB332</f>
        <v>0</v>
      </c>
      <c r="AK332" s="0" t="n">
        <f aca="false">U332-AC332</f>
        <v>0</v>
      </c>
      <c r="AL332" s="0" t="n">
        <f aca="false">V332-AD332</f>
        <v>0</v>
      </c>
      <c r="AM332" s="0" t="n">
        <f aca="false">W332-AE332</f>
        <v>0</v>
      </c>
      <c r="AN332" s="0" t="n">
        <f aca="false">X332-AF332</f>
        <v>0</v>
      </c>
      <c r="AO332" s="0" t="n">
        <f aca="false">Y332-AG332</f>
        <v>0</v>
      </c>
      <c r="AP332" s="0" t="n">
        <f aca="false">MAX(0,'Debt Payoff'!$D$17-SUM(Z332:AG332))</f>
        <v>805</v>
      </c>
      <c r="AQ332" s="0" t="n">
        <f aca="false">MIN(AH332,MAX(0,$AP332-SUMPRODUCT(($AH$1:$AO$1&lt;AH$1)*$AH332:$AO332)))</f>
        <v>0</v>
      </c>
      <c r="AR332" s="0" t="n">
        <f aca="false">MIN(AI332,MAX(0,$AP332-SUMPRODUCT(($AH$1:$AO$1&lt;AI$1)*$AH332:$AO332)))</f>
        <v>0</v>
      </c>
      <c r="AS332" s="0" t="n">
        <f aca="false">MIN(AJ332,MAX(0,$AP332-SUMPRODUCT(($AH$1:$AO$1&lt;AJ$1)*$AH332:$AO332)))</f>
        <v>0</v>
      </c>
      <c r="AT332" s="0" t="n">
        <f aca="false">MIN(AK332,MAX(0,$AP332-SUMPRODUCT(($AH$1:$AO$1&lt;AK$1)*$AH332:$AO332)))</f>
        <v>0</v>
      </c>
      <c r="AU332" s="0" t="n">
        <f aca="false">MIN(AL332,MAX(0,$AP332-SUMPRODUCT(($AH$1:$AO$1&lt;AL$1)*$AH332:$AO332)))</f>
        <v>0</v>
      </c>
      <c r="AV332" s="0" t="n">
        <f aca="false">MIN(AM332,MAX(0,$AP332-SUMPRODUCT(($AH$1:$AO$1&lt;AM$1)*$AH332:$AO332)))</f>
        <v>0</v>
      </c>
      <c r="AW332" s="0" t="n">
        <f aca="false">MIN(AN332,MAX(0,$AP332-SUMPRODUCT(($AH$1:$AO$1&lt;AN$1)*$AH332:$AO332)))</f>
        <v>0</v>
      </c>
      <c r="AX332" s="0" t="n">
        <f aca="false">MIN(AO332,MAX(0,$AP332-SUMPRODUCT(($AH$1:$AO$1&lt;AO$1)*$AH332:$AO332)))</f>
        <v>0</v>
      </c>
      <c r="AY332" s="0" t="n">
        <f aca="false">ROUND(AH332-AQ332,2)</f>
        <v>0</v>
      </c>
      <c r="AZ332" s="0" t="n">
        <f aca="false">ROUND(AI332-AR332,2)</f>
        <v>0</v>
      </c>
      <c r="BA332" s="0" t="n">
        <f aca="false">ROUND(AJ332-AS332,2)</f>
        <v>0</v>
      </c>
      <c r="BB332" s="0" t="n">
        <f aca="false">ROUND(AK332-AT332,2)</f>
        <v>0</v>
      </c>
      <c r="BC332" s="0" t="n">
        <f aca="false">ROUND(AL332-AU332,2)</f>
        <v>0</v>
      </c>
      <c r="BD332" s="0" t="n">
        <f aca="false">ROUND(AM332-AV332,2)</f>
        <v>0</v>
      </c>
      <c r="BE332" s="0" t="n">
        <f aca="false">ROUND(AN332-AW332,2)</f>
        <v>0</v>
      </c>
      <c r="BF332" s="0" t="n">
        <f aca="false">ROUND(AO332-AX332,2)</f>
        <v>0</v>
      </c>
      <c r="BG332" s="0" t="n">
        <f aca="false">SUM(AY332:BF332)</f>
        <v>0</v>
      </c>
    </row>
    <row r="333" customFormat="false" ht="15" hidden="false" customHeight="false" outlineLevel="0" collapsed="false">
      <c r="A333" s="0" t="n">
        <v>331</v>
      </c>
      <c r="B333" s="0" t="n">
        <f aca="false">AY332</f>
        <v>0</v>
      </c>
      <c r="C333" s="0" t="n">
        <f aca="false">AZ332</f>
        <v>0</v>
      </c>
      <c r="D333" s="0" t="n">
        <f aca="false">BA332</f>
        <v>0</v>
      </c>
      <c r="E333" s="0" t="n">
        <f aca="false">BB332</f>
        <v>0</v>
      </c>
      <c r="F333" s="0" t="n">
        <f aca="false">BC332</f>
        <v>0</v>
      </c>
      <c r="G333" s="0" t="n">
        <f aca="false">BD332</f>
        <v>0</v>
      </c>
      <c r="H333" s="0" t="n">
        <f aca="false">BE332</f>
        <v>0</v>
      </c>
      <c r="I333" s="0" t="n">
        <f aca="false">BF332</f>
        <v>0</v>
      </c>
      <c r="J333" s="0" t="n">
        <f aca="false">B333*N('Debt Payoff'!D9)/12</f>
        <v>0</v>
      </c>
      <c r="K333" s="0" t="n">
        <f aca="false">C333*N('Debt Payoff'!D10)/12</f>
        <v>0</v>
      </c>
      <c r="L333" s="0" t="n">
        <f aca="false">D333*N('Debt Payoff'!D11)/12</f>
        <v>0</v>
      </c>
      <c r="M333" s="0" t="n">
        <f aca="false">E333*N('Debt Payoff'!D12)/12</f>
        <v>0</v>
      </c>
      <c r="N333" s="0" t="n">
        <f aca="false">F333*N('Debt Payoff'!D13)/12</f>
        <v>0</v>
      </c>
      <c r="O333" s="0" t="n">
        <f aca="false">G333*N('Debt Payoff'!D14)/12</f>
        <v>0</v>
      </c>
      <c r="P333" s="0" t="n">
        <f aca="false">H333*N('Debt Payoff'!D15)/12</f>
        <v>0</v>
      </c>
      <c r="Q333" s="0" t="n">
        <f aca="false">I333*N('Debt Payoff'!D16)/12</f>
        <v>0</v>
      </c>
      <c r="R333" s="0" t="n">
        <f aca="false">B333+J333</f>
        <v>0</v>
      </c>
      <c r="S333" s="0" t="n">
        <f aca="false">C333+K333</f>
        <v>0</v>
      </c>
      <c r="T333" s="0" t="n">
        <f aca="false">D333+L333</f>
        <v>0</v>
      </c>
      <c r="U333" s="0" t="n">
        <f aca="false">E333+M333</f>
        <v>0</v>
      </c>
      <c r="V333" s="0" t="n">
        <f aca="false">F333+N333</f>
        <v>0</v>
      </c>
      <c r="W333" s="0" t="n">
        <f aca="false">G333+O333</f>
        <v>0</v>
      </c>
      <c r="X333" s="0" t="n">
        <f aca="false">H333+P333</f>
        <v>0</v>
      </c>
      <c r="Y333" s="0" t="n">
        <f aca="false">I333+Q333</f>
        <v>0</v>
      </c>
      <c r="Z333" s="0" t="n">
        <f aca="false">MIN(R333,N('Debt Payoff'!E9))</f>
        <v>0</v>
      </c>
      <c r="AA333" s="0" t="n">
        <f aca="false">MIN(S333,N('Debt Payoff'!E10))</f>
        <v>0</v>
      </c>
      <c r="AB333" s="0" t="n">
        <f aca="false">MIN(T333,N('Debt Payoff'!E11))</f>
        <v>0</v>
      </c>
      <c r="AC333" s="0" t="n">
        <f aca="false">MIN(U333,N('Debt Payoff'!E12))</f>
        <v>0</v>
      </c>
      <c r="AD333" s="0" t="n">
        <f aca="false">MIN(V333,N('Debt Payoff'!E13))</f>
        <v>0</v>
      </c>
      <c r="AE333" s="0" t="n">
        <f aca="false">MIN(W333,N('Debt Payoff'!E14))</f>
        <v>0</v>
      </c>
      <c r="AF333" s="0" t="n">
        <f aca="false">MIN(X333,N('Debt Payoff'!E15))</f>
        <v>0</v>
      </c>
      <c r="AG333" s="0" t="n">
        <f aca="false">MIN(Y333,N('Debt Payoff'!E16))</f>
        <v>0</v>
      </c>
      <c r="AH333" s="0" t="n">
        <f aca="false">R333-Z333</f>
        <v>0</v>
      </c>
      <c r="AI333" s="0" t="n">
        <f aca="false">S333-AA333</f>
        <v>0</v>
      </c>
      <c r="AJ333" s="0" t="n">
        <f aca="false">T333-AB333</f>
        <v>0</v>
      </c>
      <c r="AK333" s="0" t="n">
        <f aca="false">U333-AC333</f>
        <v>0</v>
      </c>
      <c r="AL333" s="0" t="n">
        <f aca="false">V333-AD333</f>
        <v>0</v>
      </c>
      <c r="AM333" s="0" t="n">
        <f aca="false">W333-AE333</f>
        <v>0</v>
      </c>
      <c r="AN333" s="0" t="n">
        <f aca="false">X333-AF333</f>
        <v>0</v>
      </c>
      <c r="AO333" s="0" t="n">
        <f aca="false">Y333-AG333</f>
        <v>0</v>
      </c>
      <c r="AP333" s="0" t="n">
        <f aca="false">MAX(0,'Debt Payoff'!$D$17-SUM(Z333:AG333))</f>
        <v>805</v>
      </c>
      <c r="AQ333" s="0" t="n">
        <f aca="false">MIN(AH333,MAX(0,$AP333-SUMPRODUCT(($AH$1:$AO$1&lt;AH$1)*$AH333:$AO333)))</f>
        <v>0</v>
      </c>
      <c r="AR333" s="0" t="n">
        <f aca="false">MIN(AI333,MAX(0,$AP333-SUMPRODUCT(($AH$1:$AO$1&lt;AI$1)*$AH333:$AO333)))</f>
        <v>0</v>
      </c>
      <c r="AS333" s="0" t="n">
        <f aca="false">MIN(AJ333,MAX(0,$AP333-SUMPRODUCT(($AH$1:$AO$1&lt;AJ$1)*$AH333:$AO333)))</f>
        <v>0</v>
      </c>
      <c r="AT333" s="0" t="n">
        <f aca="false">MIN(AK333,MAX(0,$AP333-SUMPRODUCT(($AH$1:$AO$1&lt;AK$1)*$AH333:$AO333)))</f>
        <v>0</v>
      </c>
      <c r="AU333" s="0" t="n">
        <f aca="false">MIN(AL333,MAX(0,$AP333-SUMPRODUCT(($AH$1:$AO$1&lt;AL$1)*$AH333:$AO333)))</f>
        <v>0</v>
      </c>
      <c r="AV333" s="0" t="n">
        <f aca="false">MIN(AM333,MAX(0,$AP333-SUMPRODUCT(($AH$1:$AO$1&lt;AM$1)*$AH333:$AO333)))</f>
        <v>0</v>
      </c>
      <c r="AW333" s="0" t="n">
        <f aca="false">MIN(AN333,MAX(0,$AP333-SUMPRODUCT(($AH$1:$AO$1&lt;AN$1)*$AH333:$AO333)))</f>
        <v>0</v>
      </c>
      <c r="AX333" s="0" t="n">
        <f aca="false">MIN(AO333,MAX(0,$AP333-SUMPRODUCT(($AH$1:$AO$1&lt;AO$1)*$AH333:$AO333)))</f>
        <v>0</v>
      </c>
      <c r="AY333" s="0" t="n">
        <f aca="false">ROUND(AH333-AQ333,2)</f>
        <v>0</v>
      </c>
      <c r="AZ333" s="0" t="n">
        <f aca="false">ROUND(AI333-AR333,2)</f>
        <v>0</v>
      </c>
      <c r="BA333" s="0" t="n">
        <f aca="false">ROUND(AJ333-AS333,2)</f>
        <v>0</v>
      </c>
      <c r="BB333" s="0" t="n">
        <f aca="false">ROUND(AK333-AT333,2)</f>
        <v>0</v>
      </c>
      <c r="BC333" s="0" t="n">
        <f aca="false">ROUND(AL333-AU333,2)</f>
        <v>0</v>
      </c>
      <c r="BD333" s="0" t="n">
        <f aca="false">ROUND(AM333-AV333,2)</f>
        <v>0</v>
      </c>
      <c r="BE333" s="0" t="n">
        <f aca="false">ROUND(AN333-AW333,2)</f>
        <v>0</v>
      </c>
      <c r="BF333" s="0" t="n">
        <f aca="false">ROUND(AO333-AX333,2)</f>
        <v>0</v>
      </c>
      <c r="BG333" s="0" t="n">
        <f aca="false">SUM(AY333:BF333)</f>
        <v>0</v>
      </c>
    </row>
    <row r="334" customFormat="false" ht="15" hidden="false" customHeight="false" outlineLevel="0" collapsed="false">
      <c r="A334" s="0" t="n">
        <v>332</v>
      </c>
      <c r="B334" s="0" t="n">
        <f aca="false">AY333</f>
        <v>0</v>
      </c>
      <c r="C334" s="0" t="n">
        <f aca="false">AZ333</f>
        <v>0</v>
      </c>
      <c r="D334" s="0" t="n">
        <f aca="false">BA333</f>
        <v>0</v>
      </c>
      <c r="E334" s="0" t="n">
        <f aca="false">BB333</f>
        <v>0</v>
      </c>
      <c r="F334" s="0" t="n">
        <f aca="false">BC333</f>
        <v>0</v>
      </c>
      <c r="G334" s="0" t="n">
        <f aca="false">BD333</f>
        <v>0</v>
      </c>
      <c r="H334" s="0" t="n">
        <f aca="false">BE333</f>
        <v>0</v>
      </c>
      <c r="I334" s="0" t="n">
        <f aca="false">BF333</f>
        <v>0</v>
      </c>
      <c r="J334" s="0" t="n">
        <f aca="false">B334*N('Debt Payoff'!D9)/12</f>
        <v>0</v>
      </c>
      <c r="K334" s="0" t="n">
        <f aca="false">C334*N('Debt Payoff'!D10)/12</f>
        <v>0</v>
      </c>
      <c r="L334" s="0" t="n">
        <f aca="false">D334*N('Debt Payoff'!D11)/12</f>
        <v>0</v>
      </c>
      <c r="M334" s="0" t="n">
        <f aca="false">E334*N('Debt Payoff'!D12)/12</f>
        <v>0</v>
      </c>
      <c r="N334" s="0" t="n">
        <f aca="false">F334*N('Debt Payoff'!D13)/12</f>
        <v>0</v>
      </c>
      <c r="O334" s="0" t="n">
        <f aca="false">G334*N('Debt Payoff'!D14)/12</f>
        <v>0</v>
      </c>
      <c r="P334" s="0" t="n">
        <f aca="false">H334*N('Debt Payoff'!D15)/12</f>
        <v>0</v>
      </c>
      <c r="Q334" s="0" t="n">
        <f aca="false">I334*N('Debt Payoff'!D16)/12</f>
        <v>0</v>
      </c>
      <c r="R334" s="0" t="n">
        <f aca="false">B334+J334</f>
        <v>0</v>
      </c>
      <c r="S334" s="0" t="n">
        <f aca="false">C334+K334</f>
        <v>0</v>
      </c>
      <c r="T334" s="0" t="n">
        <f aca="false">D334+L334</f>
        <v>0</v>
      </c>
      <c r="U334" s="0" t="n">
        <f aca="false">E334+M334</f>
        <v>0</v>
      </c>
      <c r="V334" s="0" t="n">
        <f aca="false">F334+N334</f>
        <v>0</v>
      </c>
      <c r="W334" s="0" t="n">
        <f aca="false">G334+O334</f>
        <v>0</v>
      </c>
      <c r="X334" s="0" t="n">
        <f aca="false">H334+P334</f>
        <v>0</v>
      </c>
      <c r="Y334" s="0" t="n">
        <f aca="false">I334+Q334</f>
        <v>0</v>
      </c>
      <c r="Z334" s="0" t="n">
        <f aca="false">MIN(R334,N('Debt Payoff'!E9))</f>
        <v>0</v>
      </c>
      <c r="AA334" s="0" t="n">
        <f aca="false">MIN(S334,N('Debt Payoff'!E10))</f>
        <v>0</v>
      </c>
      <c r="AB334" s="0" t="n">
        <f aca="false">MIN(T334,N('Debt Payoff'!E11))</f>
        <v>0</v>
      </c>
      <c r="AC334" s="0" t="n">
        <f aca="false">MIN(U334,N('Debt Payoff'!E12))</f>
        <v>0</v>
      </c>
      <c r="AD334" s="0" t="n">
        <f aca="false">MIN(V334,N('Debt Payoff'!E13))</f>
        <v>0</v>
      </c>
      <c r="AE334" s="0" t="n">
        <f aca="false">MIN(W334,N('Debt Payoff'!E14))</f>
        <v>0</v>
      </c>
      <c r="AF334" s="0" t="n">
        <f aca="false">MIN(X334,N('Debt Payoff'!E15))</f>
        <v>0</v>
      </c>
      <c r="AG334" s="0" t="n">
        <f aca="false">MIN(Y334,N('Debt Payoff'!E16))</f>
        <v>0</v>
      </c>
      <c r="AH334" s="0" t="n">
        <f aca="false">R334-Z334</f>
        <v>0</v>
      </c>
      <c r="AI334" s="0" t="n">
        <f aca="false">S334-AA334</f>
        <v>0</v>
      </c>
      <c r="AJ334" s="0" t="n">
        <f aca="false">T334-AB334</f>
        <v>0</v>
      </c>
      <c r="AK334" s="0" t="n">
        <f aca="false">U334-AC334</f>
        <v>0</v>
      </c>
      <c r="AL334" s="0" t="n">
        <f aca="false">V334-AD334</f>
        <v>0</v>
      </c>
      <c r="AM334" s="0" t="n">
        <f aca="false">W334-AE334</f>
        <v>0</v>
      </c>
      <c r="AN334" s="0" t="n">
        <f aca="false">X334-AF334</f>
        <v>0</v>
      </c>
      <c r="AO334" s="0" t="n">
        <f aca="false">Y334-AG334</f>
        <v>0</v>
      </c>
      <c r="AP334" s="0" t="n">
        <f aca="false">MAX(0,'Debt Payoff'!$D$17-SUM(Z334:AG334))</f>
        <v>805</v>
      </c>
      <c r="AQ334" s="0" t="n">
        <f aca="false">MIN(AH334,MAX(0,$AP334-SUMPRODUCT(($AH$1:$AO$1&lt;AH$1)*$AH334:$AO334)))</f>
        <v>0</v>
      </c>
      <c r="AR334" s="0" t="n">
        <f aca="false">MIN(AI334,MAX(0,$AP334-SUMPRODUCT(($AH$1:$AO$1&lt;AI$1)*$AH334:$AO334)))</f>
        <v>0</v>
      </c>
      <c r="AS334" s="0" t="n">
        <f aca="false">MIN(AJ334,MAX(0,$AP334-SUMPRODUCT(($AH$1:$AO$1&lt;AJ$1)*$AH334:$AO334)))</f>
        <v>0</v>
      </c>
      <c r="AT334" s="0" t="n">
        <f aca="false">MIN(AK334,MAX(0,$AP334-SUMPRODUCT(($AH$1:$AO$1&lt;AK$1)*$AH334:$AO334)))</f>
        <v>0</v>
      </c>
      <c r="AU334" s="0" t="n">
        <f aca="false">MIN(AL334,MAX(0,$AP334-SUMPRODUCT(($AH$1:$AO$1&lt;AL$1)*$AH334:$AO334)))</f>
        <v>0</v>
      </c>
      <c r="AV334" s="0" t="n">
        <f aca="false">MIN(AM334,MAX(0,$AP334-SUMPRODUCT(($AH$1:$AO$1&lt;AM$1)*$AH334:$AO334)))</f>
        <v>0</v>
      </c>
      <c r="AW334" s="0" t="n">
        <f aca="false">MIN(AN334,MAX(0,$AP334-SUMPRODUCT(($AH$1:$AO$1&lt;AN$1)*$AH334:$AO334)))</f>
        <v>0</v>
      </c>
      <c r="AX334" s="0" t="n">
        <f aca="false">MIN(AO334,MAX(0,$AP334-SUMPRODUCT(($AH$1:$AO$1&lt;AO$1)*$AH334:$AO334)))</f>
        <v>0</v>
      </c>
      <c r="AY334" s="0" t="n">
        <f aca="false">ROUND(AH334-AQ334,2)</f>
        <v>0</v>
      </c>
      <c r="AZ334" s="0" t="n">
        <f aca="false">ROUND(AI334-AR334,2)</f>
        <v>0</v>
      </c>
      <c r="BA334" s="0" t="n">
        <f aca="false">ROUND(AJ334-AS334,2)</f>
        <v>0</v>
      </c>
      <c r="BB334" s="0" t="n">
        <f aca="false">ROUND(AK334-AT334,2)</f>
        <v>0</v>
      </c>
      <c r="BC334" s="0" t="n">
        <f aca="false">ROUND(AL334-AU334,2)</f>
        <v>0</v>
      </c>
      <c r="BD334" s="0" t="n">
        <f aca="false">ROUND(AM334-AV334,2)</f>
        <v>0</v>
      </c>
      <c r="BE334" s="0" t="n">
        <f aca="false">ROUND(AN334-AW334,2)</f>
        <v>0</v>
      </c>
      <c r="BF334" s="0" t="n">
        <f aca="false">ROUND(AO334-AX334,2)</f>
        <v>0</v>
      </c>
      <c r="BG334" s="0" t="n">
        <f aca="false">SUM(AY334:BF334)</f>
        <v>0</v>
      </c>
    </row>
    <row r="335" customFormat="false" ht="15" hidden="false" customHeight="false" outlineLevel="0" collapsed="false">
      <c r="A335" s="0" t="n">
        <v>333</v>
      </c>
      <c r="B335" s="0" t="n">
        <f aca="false">AY334</f>
        <v>0</v>
      </c>
      <c r="C335" s="0" t="n">
        <f aca="false">AZ334</f>
        <v>0</v>
      </c>
      <c r="D335" s="0" t="n">
        <f aca="false">BA334</f>
        <v>0</v>
      </c>
      <c r="E335" s="0" t="n">
        <f aca="false">BB334</f>
        <v>0</v>
      </c>
      <c r="F335" s="0" t="n">
        <f aca="false">BC334</f>
        <v>0</v>
      </c>
      <c r="G335" s="0" t="n">
        <f aca="false">BD334</f>
        <v>0</v>
      </c>
      <c r="H335" s="0" t="n">
        <f aca="false">BE334</f>
        <v>0</v>
      </c>
      <c r="I335" s="0" t="n">
        <f aca="false">BF334</f>
        <v>0</v>
      </c>
      <c r="J335" s="0" t="n">
        <f aca="false">B335*N('Debt Payoff'!D9)/12</f>
        <v>0</v>
      </c>
      <c r="K335" s="0" t="n">
        <f aca="false">C335*N('Debt Payoff'!D10)/12</f>
        <v>0</v>
      </c>
      <c r="L335" s="0" t="n">
        <f aca="false">D335*N('Debt Payoff'!D11)/12</f>
        <v>0</v>
      </c>
      <c r="M335" s="0" t="n">
        <f aca="false">E335*N('Debt Payoff'!D12)/12</f>
        <v>0</v>
      </c>
      <c r="N335" s="0" t="n">
        <f aca="false">F335*N('Debt Payoff'!D13)/12</f>
        <v>0</v>
      </c>
      <c r="O335" s="0" t="n">
        <f aca="false">G335*N('Debt Payoff'!D14)/12</f>
        <v>0</v>
      </c>
      <c r="P335" s="0" t="n">
        <f aca="false">H335*N('Debt Payoff'!D15)/12</f>
        <v>0</v>
      </c>
      <c r="Q335" s="0" t="n">
        <f aca="false">I335*N('Debt Payoff'!D16)/12</f>
        <v>0</v>
      </c>
      <c r="R335" s="0" t="n">
        <f aca="false">B335+J335</f>
        <v>0</v>
      </c>
      <c r="S335" s="0" t="n">
        <f aca="false">C335+K335</f>
        <v>0</v>
      </c>
      <c r="T335" s="0" t="n">
        <f aca="false">D335+L335</f>
        <v>0</v>
      </c>
      <c r="U335" s="0" t="n">
        <f aca="false">E335+M335</f>
        <v>0</v>
      </c>
      <c r="V335" s="0" t="n">
        <f aca="false">F335+N335</f>
        <v>0</v>
      </c>
      <c r="W335" s="0" t="n">
        <f aca="false">G335+O335</f>
        <v>0</v>
      </c>
      <c r="X335" s="0" t="n">
        <f aca="false">H335+P335</f>
        <v>0</v>
      </c>
      <c r="Y335" s="0" t="n">
        <f aca="false">I335+Q335</f>
        <v>0</v>
      </c>
      <c r="Z335" s="0" t="n">
        <f aca="false">MIN(R335,N('Debt Payoff'!E9))</f>
        <v>0</v>
      </c>
      <c r="AA335" s="0" t="n">
        <f aca="false">MIN(S335,N('Debt Payoff'!E10))</f>
        <v>0</v>
      </c>
      <c r="AB335" s="0" t="n">
        <f aca="false">MIN(T335,N('Debt Payoff'!E11))</f>
        <v>0</v>
      </c>
      <c r="AC335" s="0" t="n">
        <f aca="false">MIN(U335,N('Debt Payoff'!E12))</f>
        <v>0</v>
      </c>
      <c r="AD335" s="0" t="n">
        <f aca="false">MIN(V335,N('Debt Payoff'!E13))</f>
        <v>0</v>
      </c>
      <c r="AE335" s="0" t="n">
        <f aca="false">MIN(W335,N('Debt Payoff'!E14))</f>
        <v>0</v>
      </c>
      <c r="AF335" s="0" t="n">
        <f aca="false">MIN(X335,N('Debt Payoff'!E15))</f>
        <v>0</v>
      </c>
      <c r="AG335" s="0" t="n">
        <f aca="false">MIN(Y335,N('Debt Payoff'!E16))</f>
        <v>0</v>
      </c>
      <c r="AH335" s="0" t="n">
        <f aca="false">R335-Z335</f>
        <v>0</v>
      </c>
      <c r="AI335" s="0" t="n">
        <f aca="false">S335-AA335</f>
        <v>0</v>
      </c>
      <c r="AJ335" s="0" t="n">
        <f aca="false">T335-AB335</f>
        <v>0</v>
      </c>
      <c r="AK335" s="0" t="n">
        <f aca="false">U335-AC335</f>
        <v>0</v>
      </c>
      <c r="AL335" s="0" t="n">
        <f aca="false">V335-AD335</f>
        <v>0</v>
      </c>
      <c r="AM335" s="0" t="n">
        <f aca="false">W335-AE335</f>
        <v>0</v>
      </c>
      <c r="AN335" s="0" t="n">
        <f aca="false">X335-AF335</f>
        <v>0</v>
      </c>
      <c r="AO335" s="0" t="n">
        <f aca="false">Y335-AG335</f>
        <v>0</v>
      </c>
      <c r="AP335" s="0" t="n">
        <f aca="false">MAX(0,'Debt Payoff'!$D$17-SUM(Z335:AG335))</f>
        <v>805</v>
      </c>
      <c r="AQ335" s="0" t="n">
        <f aca="false">MIN(AH335,MAX(0,$AP335-SUMPRODUCT(($AH$1:$AO$1&lt;AH$1)*$AH335:$AO335)))</f>
        <v>0</v>
      </c>
      <c r="AR335" s="0" t="n">
        <f aca="false">MIN(AI335,MAX(0,$AP335-SUMPRODUCT(($AH$1:$AO$1&lt;AI$1)*$AH335:$AO335)))</f>
        <v>0</v>
      </c>
      <c r="AS335" s="0" t="n">
        <f aca="false">MIN(AJ335,MAX(0,$AP335-SUMPRODUCT(($AH$1:$AO$1&lt;AJ$1)*$AH335:$AO335)))</f>
        <v>0</v>
      </c>
      <c r="AT335" s="0" t="n">
        <f aca="false">MIN(AK335,MAX(0,$AP335-SUMPRODUCT(($AH$1:$AO$1&lt;AK$1)*$AH335:$AO335)))</f>
        <v>0</v>
      </c>
      <c r="AU335" s="0" t="n">
        <f aca="false">MIN(AL335,MAX(0,$AP335-SUMPRODUCT(($AH$1:$AO$1&lt;AL$1)*$AH335:$AO335)))</f>
        <v>0</v>
      </c>
      <c r="AV335" s="0" t="n">
        <f aca="false">MIN(AM335,MAX(0,$AP335-SUMPRODUCT(($AH$1:$AO$1&lt;AM$1)*$AH335:$AO335)))</f>
        <v>0</v>
      </c>
      <c r="AW335" s="0" t="n">
        <f aca="false">MIN(AN335,MAX(0,$AP335-SUMPRODUCT(($AH$1:$AO$1&lt;AN$1)*$AH335:$AO335)))</f>
        <v>0</v>
      </c>
      <c r="AX335" s="0" t="n">
        <f aca="false">MIN(AO335,MAX(0,$AP335-SUMPRODUCT(($AH$1:$AO$1&lt;AO$1)*$AH335:$AO335)))</f>
        <v>0</v>
      </c>
      <c r="AY335" s="0" t="n">
        <f aca="false">ROUND(AH335-AQ335,2)</f>
        <v>0</v>
      </c>
      <c r="AZ335" s="0" t="n">
        <f aca="false">ROUND(AI335-AR335,2)</f>
        <v>0</v>
      </c>
      <c r="BA335" s="0" t="n">
        <f aca="false">ROUND(AJ335-AS335,2)</f>
        <v>0</v>
      </c>
      <c r="BB335" s="0" t="n">
        <f aca="false">ROUND(AK335-AT335,2)</f>
        <v>0</v>
      </c>
      <c r="BC335" s="0" t="n">
        <f aca="false">ROUND(AL335-AU335,2)</f>
        <v>0</v>
      </c>
      <c r="BD335" s="0" t="n">
        <f aca="false">ROUND(AM335-AV335,2)</f>
        <v>0</v>
      </c>
      <c r="BE335" s="0" t="n">
        <f aca="false">ROUND(AN335-AW335,2)</f>
        <v>0</v>
      </c>
      <c r="BF335" s="0" t="n">
        <f aca="false">ROUND(AO335-AX335,2)</f>
        <v>0</v>
      </c>
      <c r="BG335" s="0" t="n">
        <f aca="false">SUM(AY335:BF335)</f>
        <v>0</v>
      </c>
    </row>
    <row r="336" customFormat="false" ht="15" hidden="false" customHeight="false" outlineLevel="0" collapsed="false">
      <c r="A336" s="0" t="n">
        <v>334</v>
      </c>
      <c r="B336" s="0" t="n">
        <f aca="false">AY335</f>
        <v>0</v>
      </c>
      <c r="C336" s="0" t="n">
        <f aca="false">AZ335</f>
        <v>0</v>
      </c>
      <c r="D336" s="0" t="n">
        <f aca="false">BA335</f>
        <v>0</v>
      </c>
      <c r="E336" s="0" t="n">
        <f aca="false">BB335</f>
        <v>0</v>
      </c>
      <c r="F336" s="0" t="n">
        <f aca="false">BC335</f>
        <v>0</v>
      </c>
      <c r="G336" s="0" t="n">
        <f aca="false">BD335</f>
        <v>0</v>
      </c>
      <c r="H336" s="0" t="n">
        <f aca="false">BE335</f>
        <v>0</v>
      </c>
      <c r="I336" s="0" t="n">
        <f aca="false">BF335</f>
        <v>0</v>
      </c>
      <c r="J336" s="0" t="n">
        <f aca="false">B336*N('Debt Payoff'!D9)/12</f>
        <v>0</v>
      </c>
      <c r="K336" s="0" t="n">
        <f aca="false">C336*N('Debt Payoff'!D10)/12</f>
        <v>0</v>
      </c>
      <c r="L336" s="0" t="n">
        <f aca="false">D336*N('Debt Payoff'!D11)/12</f>
        <v>0</v>
      </c>
      <c r="M336" s="0" t="n">
        <f aca="false">E336*N('Debt Payoff'!D12)/12</f>
        <v>0</v>
      </c>
      <c r="N336" s="0" t="n">
        <f aca="false">F336*N('Debt Payoff'!D13)/12</f>
        <v>0</v>
      </c>
      <c r="O336" s="0" t="n">
        <f aca="false">G336*N('Debt Payoff'!D14)/12</f>
        <v>0</v>
      </c>
      <c r="P336" s="0" t="n">
        <f aca="false">H336*N('Debt Payoff'!D15)/12</f>
        <v>0</v>
      </c>
      <c r="Q336" s="0" t="n">
        <f aca="false">I336*N('Debt Payoff'!D16)/12</f>
        <v>0</v>
      </c>
      <c r="R336" s="0" t="n">
        <f aca="false">B336+J336</f>
        <v>0</v>
      </c>
      <c r="S336" s="0" t="n">
        <f aca="false">C336+K336</f>
        <v>0</v>
      </c>
      <c r="T336" s="0" t="n">
        <f aca="false">D336+L336</f>
        <v>0</v>
      </c>
      <c r="U336" s="0" t="n">
        <f aca="false">E336+M336</f>
        <v>0</v>
      </c>
      <c r="V336" s="0" t="n">
        <f aca="false">F336+N336</f>
        <v>0</v>
      </c>
      <c r="W336" s="0" t="n">
        <f aca="false">G336+O336</f>
        <v>0</v>
      </c>
      <c r="X336" s="0" t="n">
        <f aca="false">H336+P336</f>
        <v>0</v>
      </c>
      <c r="Y336" s="0" t="n">
        <f aca="false">I336+Q336</f>
        <v>0</v>
      </c>
      <c r="Z336" s="0" t="n">
        <f aca="false">MIN(R336,N('Debt Payoff'!E9))</f>
        <v>0</v>
      </c>
      <c r="AA336" s="0" t="n">
        <f aca="false">MIN(S336,N('Debt Payoff'!E10))</f>
        <v>0</v>
      </c>
      <c r="AB336" s="0" t="n">
        <f aca="false">MIN(T336,N('Debt Payoff'!E11))</f>
        <v>0</v>
      </c>
      <c r="AC336" s="0" t="n">
        <f aca="false">MIN(U336,N('Debt Payoff'!E12))</f>
        <v>0</v>
      </c>
      <c r="AD336" s="0" t="n">
        <f aca="false">MIN(V336,N('Debt Payoff'!E13))</f>
        <v>0</v>
      </c>
      <c r="AE336" s="0" t="n">
        <f aca="false">MIN(W336,N('Debt Payoff'!E14))</f>
        <v>0</v>
      </c>
      <c r="AF336" s="0" t="n">
        <f aca="false">MIN(X336,N('Debt Payoff'!E15))</f>
        <v>0</v>
      </c>
      <c r="AG336" s="0" t="n">
        <f aca="false">MIN(Y336,N('Debt Payoff'!E16))</f>
        <v>0</v>
      </c>
      <c r="AH336" s="0" t="n">
        <f aca="false">R336-Z336</f>
        <v>0</v>
      </c>
      <c r="AI336" s="0" t="n">
        <f aca="false">S336-AA336</f>
        <v>0</v>
      </c>
      <c r="AJ336" s="0" t="n">
        <f aca="false">T336-AB336</f>
        <v>0</v>
      </c>
      <c r="AK336" s="0" t="n">
        <f aca="false">U336-AC336</f>
        <v>0</v>
      </c>
      <c r="AL336" s="0" t="n">
        <f aca="false">V336-AD336</f>
        <v>0</v>
      </c>
      <c r="AM336" s="0" t="n">
        <f aca="false">W336-AE336</f>
        <v>0</v>
      </c>
      <c r="AN336" s="0" t="n">
        <f aca="false">X336-AF336</f>
        <v>0</v>
      </c>
      <c r="AO336" s="0" t="n">
        <f aca="false">Y336-AG336</f>
        <v>0</v>
      </c>
      <c r="AP336" s="0" t="n">
        <f aca="false">MAX(0,'Debt Payoff'!$D$17-SUM(Z336:AG336))</f>
        <v>805</v>
      </c>
      <c r="AQ336" s="0" t="n">
        <f aca="false">MIN(AH336,MAX(0,$AP336-SUMPRODUCT(($AH$1:$AO$1&lt;AH$1)*$AH336:$AO336)))</f>
        <v>0</v>
      </c>
      <c r="AR336" s="0" t="n">
        <f aca="false">MIN(AI336,MAX(0,$AP336-SUMPRODUCT(($AH$1:$AO$1&lt;AI$1)*$AH336:$AO336)))</f>
        <v>0</v>
      </c>
      <c r="AS336" s="0" t="n">
        <f aca="false">MIN(AJ336,MAX(0,$AP336-SUMPRODUCT(($AH$1:$AO$1&lt;AJ$1)*$AH336:$AO336)))</f>
        <v>0</v>
      </c>
      <c r="AT336" s="0" t="n">
        <f aca="false">MIN(AK336,MAX(0,$AP336-SUMPRODUCT(($AH$1:$AO$1&lt;AK$1)*$AH336:$AO336)))</f>
        <v>0</v>
      </c>
      <c r="AU336" s="0" t="n">
        <f aca="false">MIN(AL336,MAX(0,$AP336-SUMPRODUCT(($AH$1:$AO$1&lt;AL$1)*$AH336:$AO336)))</f>
        <v>0</v>
      </c>
      <c r="AV336" s="0" t="n">
        <f aca="false">MIN(AM336,MAX(0,$AP336-SUMPRODUCT(($AH$1:$AO$1&lt;AM$1)*$AH336:$AO336)))</f>
        <v>0</v>
      </c>
      <c r="AW336" s="0" t="n">
        <f aca="false">MIN(AN336,MAX(0,$AP336-SUMPRODUCT(($AH$1:$AO$1&lt;AN$1)*$AH336:$AO336)))</f>
        <v>0</v>
      </c>
      <c r="AX336" s="0" t="n">
        <f aca="false">MIN(AO336,MAX(0,$AP336-SUMPRODUCT(($AH$1:$AO$1&lt;AO$1)*$AH336:$AO336)))</f>
        <v>0</v>
      </c>
      <c r="AY336" s="0" t="n">
        <f aca="false">ROUND(AH336-AQ336,2)</f>
        <v>0</v>
      </c>
      <c r="AZ336" s="0" t="n">
        <f aca="false">ROUND(AI336-AR336,2)</f>
        <v>0</v>
      </c>
      <c r="BA336" s="0" t="n">
        <f aca="false">ROUND(AJ336-AS336,2)</f>
        <v>0</v>
      </c>
      <c r="BB336" s="0" t="n">
        <f aca="false">ROUND(AK336-AT336,2)</f>
        <v>0</v>
      </c>
      <c r="BC336" s="0" t="n">
        <f aca="false">ROUND(AL336-AU336,2)</f>
        <v>0</v>
      </c>
      <c r="BD336" s="0" t="n">
        <f aca="false">ROUND(AM336-AV336,2)</f>
        <v>0</v>
      </c>
      <c r="BE336" s="0" t="n">
        <f aca="false">ROUND(AN336-AW336,2)</f>
        <v>0</v>
      </c>
      <c r="BF336" s="0" t="n">
        <f aca="false">ROUND(AO336-AX336,2)</f>
        <v>0</v>
      </c>
      <c r="BG336" s="0" t="n">
        <f aca="false">SUM(AY336:BF336)</f>
        <v>0</v>
      </c>
    </row>
    <row r="337" customFormat="false" ht="15" hidden="false" customHeight="false" outlineLevel="0" collapsed="false">
      <c r="A337" s="0" t="n">
        <v>335</v>
      </c>
      <c r="B337" s="0" t="n">
        <f aca="false">AY336</f>
        <v>0</v>
      </c>
      <c r="C337" s="0" t="n">
        <f aca="false">AZ336</f>
        <v>0</v>
      </c>
      <c r="D337" s="0" t="n">
        <f aca="false">BA336</f>
        <v>0</v>
      </c>
      <c r="E337" s="0" t="n">
        <f aca="false">BB336</f>
        <v>0</v>
      </c>
      <c r="F337" s="0" t="n">
        <f aca="false">BC336</f>
        <v>0</v>
      </c>
      <c r="G337" s="0" t="n">
        <f aca="false">BD336</f>
        <v>0</v>
      </c>
      <c r="H337" s="0" t="n">
        <f aca="false">BE336</f>
        <v>0</v>
      </c>
      <c r="I337" s="0" t="n">
        <f aca="false">BF336</f>
        <v>0</v>
      </c>
      <c r="J337" s="0" t="n">
        <f aca="false">B337*N('Debt Payoff'!D9)/12</f>
        <v>0</v>
      </c>
      <c r="K337" s="0" t="n">
        <f aca="false">C337*N('Debt Payoff'!D10)/12</f>
        <v>0</v>
      </c>
      <c r="L337" s="0" t="n">
        <f aca="false">D337*N('Debt Payoff'!D11)/12</f>
        <v>0</v>
      </c>
      <c r="M337" s="0" t="n">
        <f aca="false">E337*N('Debt Payoff'!D12)/12</f>
        <v>0</v>
      </c>
      <c r="N337" s="0" t="n">
        <f aca="false">F337*N('Debt Payoff'!D13)/12</f>
        <v>0</v>
      </c>
      <c r="O337" s="0" t="n">
        <f aca="false">G337*N('Debt Payoff'!D14)/12</f>
        <v>0</v>
      </c>
      <c r="P337" s="0" t="n">
        <f aca="false">H337*N('Debt Payoff'!D15)/12</f>
        <v>0</v>
      </c>
      <c r="Q337" s="0" t="n">
        <f aca="false">I337*N('Debt Payoff'!D16)/12</f>
        <v>0</v>
      </c>
      <c r="R337" s="0" t="n">
        <f aca="false">B337+J337</f>
        <v>0</v>
      </c>
      <c r="S337" s="0" t="n">
        <f aca="false">C337+K337</f>
        <v>0</v>
      </c>
      <c r="T337" s="0" t="n">
        <f aca="false">D337+L337</f>
        <v>0</v>
      </c>
      <c r="U337" s="0" t="n">
        <f aca="false">E337+M337</f>
        <v>0</v>
      </c>
      <c r="V337" s="0" t="n">
        <f aca="false">F337+N337</f>
        <v>0</v>
      </c>
      <c r="W337" s="0" t="n">
        <f aca="false">G337+O337</f>
        <v>0</v>
      </c>
      <c r="X337" s="0" t="n">
        <f aca="false">H337+P337</f>
        <v>0</v>
      </c>
      <c r="Y337" s="0" t="n">
        <f aca="false">I337+Q337</f>
        <v>0</v>
      </c>
      <c r="Z337" s="0" t="n">
        <f aca="false">MIN(R337,N('Debt Payoff'!E9))</f>
        <v>0</v>
      </c>
      <c r="AA337" s="0" t="n">
        <f aca="false">MIN(S337,N('Debt Payoff'!E10))</f>
        <v>0</v>
      </c>
      <c r="AB337" s="0" t="n">
        <f aca="false">MIN(T337,N('Debt Payoff'!E11))</f>
        <v>0</v>
      </c>
      <c r="AC337" s="0" t="n">
        <f aca="false">MIN(U337,N('Debt Payoff'!E12))</f>
        <v>0</v>
      </c>
      <c r="AD337" s="0" t="n">
        <f aca="false">MIN(V337,N('Debt Payoff'!E13))</f>
        <v>0</v>
      </c>
      <c r="AE337" s="0" t="n">
        <f aca="false">MIN(W337,N('Debt Payoff'!E14))</f>
        <v>0</v>
      </c>
      <c r="AF337" s="0" t="n">
        <f aca="false">MIN(X337,N('Debt Payoff'!E15))</f>
        <v>0</v>
      </c>
      <c r="AG337" s="0" t="n">
        <f aca="false">MIN(Y337,N('Debt Payoff'!E16))</f>
        <v>0</v>
      </c>
      <c r="AH337" s="0" t="n">
        <f aca="false">R337-Z337</f>
        <v>0</v>
      </c>
      <c r="AI337" s="0" t="n">
        <f aca="false">S337-AA337</f>
        <v>0</v>
      </c>
      <c r="AJ337" s="0" t="n">
        <f aca="false">T337-AB337</f>
        <v>0</v>
      </c>
      <c r="AK337" s="0" t="n">
        <f aca="false">U337-AC337</f>
        <v>0</v>
      </c>
      <c r="AL337" s="0" t="n">
        <f aca="false">V337-AD337</f>
        <v>0</v>
      </c>
      <c r="AM337" s="0" t="n">
        <f aca="false">W337-AE337</f>
        <v>0</v>
      </c>
      <c r="AN337" s="0" t="n">
        <f aca="false">X337-AF337</f>
        <v>0</v>
      </c>
      <c r="AO337" s="0" t="n">
        <f aca="false">Y337-AG337</f>
        <v>0</v>
      </c>
      <c r="AP337" s="0" t="n">
        <f aca="false">MAX(0,'Debt Payoff'!$D$17-SUM(Z337:AG337))</f>
        <v>805</v>
      </c>
      <c r="AQ337" s="0" t="n">
        <f aca="false">MIN(AH337,MAX(0,$AP337-SUMPRODUCT(($AH$1:$AO$1&lt;AH$1)*$AH337:$AO337)))</f>
        <v>0</v>
      </c>
      <c r="AR337" s="0" t="n">
        <f aca="false">MIN(AI337,MAX(0,$AP337-SUMPRODUCT(($AH$1:$AO$1&lt;AI$1)*$AH337:$AO337)))</f>
        <v>0</v>
      </c>
      <c r="AS337" s="0" t="n">
        <f aca="false">MIN(AJ337,MAX(0,$AP337-SUMPRODUCT(($AH$1:$AO$1&lt;AJ$1)*$AH337:$AO337)))</f>
        <v>0</v>
      </c>
      <c r="AT337" s="0" t="n">
        <f aca="false">MIN(AK337,MAX(0,$AP337-SUMPRODUCT(($AH$1:$AO$1&lt;AK$1)*$AH337:$AO337)))</f>
        <v>0</v>
      </c>
      <c r="AU337" s="0" t="n">
        <f aca="false">MIN(AL337,MAX(0,$AP337-SUMPRODUCT(($AH$1:$AO$1&lt;AL$1)*$AH337:$AO337)))</f>
        <v>0</v>
      </c>
      <c r="AV337" s="0" t="n">
        <f aca="false">MIN(AM337,MAX(0,$AP337-SUMPRODUCT(($AH$1:$AO$1&lt;AM$1)*$AH337:$AO337)))</f>
        <v>0</v>
      </c>
      <c r="AW337" s="0" t="n">
        <f aca="false">MIN(AN337,MAX(0,$AP337-SUMPRODUCT(($AH$1:$AO$1&lt;AN$1)*$AH337:$AO337)))</f>
        <v>0</v>
      </c>
      <c r="AX337" s="0" t="n">
        <f aca="false">MIN(AO337,MAX(0,$AP337-SUMPRODUCT(($AH$1:$AO$1&lt;AO$1)*$AH337:$AO337)))</f>
        <v>0</v>
      </c>
      <c r="AY337" s="0" t="n">
        <f aca="false">ROUND(AH337-AQ337,2)</f>
        <v>0</v>
      </c>
      <c r="AZ337" s="0" t="n">
        <f aca="false">ROUND(AI337-AR337,2)</f>
        <v>0</v>
      </c>
      <c r="BA337" s="0" t="n">
        <f aca="false">ROUND(AJ337-AS337,2)</f>
        <v>0</v>
      </c>
      <c r="BB337" s="0" t="n">
        <f aca="false">ROUND(AK337-AT337,2)</f>
        <v>0</v>
      </c>
      <c r="BC337" s="0" t="n">
        <f aca="false">ROUND(AL337-AU337,2)</f>
        <v>0</v>
      </c>
      <c r="BD337" s="0" t="n">
        <f aca="false">ROUND(AM337-AV337,2)</f>
        <v>0</v>
      </c>
      <c r="BE337" s="0" t="n">
        <f aca="false">ROUND(AN337-AW337,2)</f>
        <v>0</v>
      </c>
      <c r="BF337" s="0" t="n">
        <f aca="false">ROUND(AO337-AX337,2)</f>
        <v>0</v>
      </c>
      <c r="BG337" s="0" t="n">
        <f aca="false">SUM(AY337:BF337)</f>
        <v>0</v>
      </c>
    </row>
    <row r="338" customFormat="false" ht="15" hidden="false" customHeight="false" outlineLevel="0" collapsed="false">
      <c r="A338" s="0" t="n">
        <v>336</v>
      </c>
      <c r="B338" s="0" t="n">
        <f aca="false">AY337</f>
        <v>0</v>
      </c>
      <c r="C338" s="0" t="n">
        <f aca="false">AZ337</f>
        <v>0</v>
      </c>
      <c r="D338" s="0" t="n">
        <f aca="false">BA337</f>
        <v>0</v>
      </c>
      <c r="E338" s="0" t="n">
        <f aca="false">BB337</f>
        <v>0</v>
      </c>
      <c r="F338" s="0" t="n">
        <f aca="false">BC337</f>
        <v>0</v>
      </c>
      <c r="G338" s="0" t="n">
        <f aca="false">BD337</f>
        <v>0</v>
      </c>
      <c r="H338" s="0" t="n">
        <f aca="false">BE337</f>
        <v>0</v>
      </c>
      <c r="I338" s="0" t="n">
        <f aca="false">BF337</f>
        <v>0</v>
      </c>
      <c r="J338" s="0" t="n">
        <f aca="false">B338*N('Debt Payoff'!D9)/12</f>
        <v>0</v>
      </c>
      <c r="K338" s="0" t="n">
        <f aca="false">C338*N('Debt Payoff'!D10)/12</f>
        <v>0</v>
      </c>
      <c r="L338" s="0" t="n">
        <f aca="false">D338*N('Debt Payoff'!D11)/12</f>
        <v>0</v>
      </c>
      <c r="M338" s="0" t="n">
        <f aca="false">E338*N('Debt Payoff'!D12)/12</f>
        <v>0</v>
      </c>
      <c r="N338" s="0" t="n">
        <f aca="false">F338*N('Debt Payoff'!D13)/12</f>
        <v>0</v>
      </c>
      <c r="O338" s="0" t="n">
        <f aca="false">G338*N('Debt Payoff'!D14)/12</f>
        <v>0</v>
      </c>
      <c r="P338" s="0" t="n">
        <f aca="false">H338*N('Debt Payoff'!D15)/12</f>
        <v>0</v>
      </c>
      <c r="Q338" s="0" t="n">
        <f aca="false">I338*N('Debt Payoff'!D16)/12</f>
        <v>0</v>
      </c>
      <c r="R338" s="0" t="n">
        <f aca="false">B338+J338</f>
        <v>0</v>
      </c>
      <c r="S338" s="0" t="n">
        <f aca="false">C338+K338</f>
        <v>0</v>
      </c>
      <c r="T338" s="0" t="n">
        <f aca="false">D338+L338</f>
        <v>0</v>
      </c>
      <c r="U338" s="0" t="n">
        <f aca="false">E338+M338</f>
        <v>0</v>
      </c>
      <c r="V338" s="0" t="n">
        <f aca="false">F338+N338</f>
        <v>0</v>
      </c>
      <c r="W338" s="0" t="n">
        <f aca="false">G338+O338</f>
        <v>0</v>
      </c>
      <c r="X338" s="0" t="n">
        <f aca="false">H338+P338</f>
        <v>0</v>
      </c>
      <c r="Y338" s="0" t="n">
        <f aca="false">I338+Q338</f>
        <v>0</v>
      </c>
      <c r="Z338" s="0" t="n">
        <f aca="false">MIN(R338,N('Debt Payoff'!E9))</f>
        <v>0</v>
      </c>
      <c r="AA338" s="0" t="n">
        <f aca="false">MIN(S338,N('Debt Payoff'!E10))</f>
        <v>0</v>
      </c>
      <c r="AB338" s="0" t="n">
        <f aca="false">MIN(T338,N('Debt Payoff'!E11))</f>
        <v>0</v>
      </c>
      <c r="AC338" s="0" t="n">
        <f aca="false">MIN(U338,N('Debt Payoff'!E12))</f>
        <v>0</v>
      </c>
      <c r="AD338" s="0" t="n">
        <f aca="false">MIN(V338,N('Debt Payoff'!E13))</f>
        <v>0</v>
      </c>
      <c r="AE338" s="0" t="n">
        <f aca="false">MIN(W338,N('Debt Payoff'!E14))</f>
        <v>0</v>
      </c>
      <c r="AF338" s="0" t="n">
        <f aca="false">MIN(X338,N('Debt Payoff'!E15))</f>
        <v>0</v>
      </c>
      <c r="AG338" s="0" t="n">
        <f aca="false">MIN(Y338,N('Debt Payoff'!E16))</f>
        <v>0</v>
      </c>
      <c r="AH338" s="0" t="n">
        <f aca="false">R338-Z338</f>
        <v>0</v>
      </c>
      <c r="AI338" s="0" t="n">
        <f aca="false">S338-AA338</f>
        <v>0</v>
      </c>
      <c r="AJ338" s="0" t="n">
        <f aca="false">T338-AB338</f>
        <v>0</v>
      </c>
      <c r="AK338" s="0" t="n">
        <f aca="false">U338-AC338</f>
        <v>0</v>
      </c>
      <c r="AL338" s="0" t="n">
        <f aca="false">V338-AD338</f>
        <v>0</v>
      </c>
      <c r="AM338" s="0" t="n">
        <f aca="false">W338-AE338</f>
        <v>0</v>
      </c>
      <c r="AN338" s="0" t="n">
        <f aca="false">X338-AF338</f>
        <v>0</v>
      </c>
      <c r="AO338" s="0" t="n">
        <f aca="false">Y338-AG338</f>
        <v>0</v>
      </c>
      <c r="AP338" s="0" t="n">
        <f aca="false">MAX(0,'Debt Payoff'!$D$17-SUM(Z338:AG338))</f>
        <v>805</v>
      </c>
      <c r="AQ338" s="0" t="n">
        <f aca="false">MIN(AH338,MAX(0,$AP338-SUMPRODUCT(($AH$1:$AO$1&lt;AH$1)*$AH338:$AO338)))</f>
        <v>0</v>
      </c>
      <c r="AR338" s="0" t="n">
        <f aca="false">MIN(AI338,MAX(0,$AP338-SUMPRODUCT(($AH$1:$AO$1&lt;AI$1)*$AH338:$AO338)))</f>
        <v>0</v>
      </c>
      <c r="AS338" s="0" t="n">
        <f aca="false">MIN(AJ338,MAX(0,$AP338-SUMPRODUCT(($AH$1:$AO$1&lt;AJ$1)*$AH338:$AO338)))</f>
        <v>0</v>
      </c>
      <c r="AT338" s="0" t="n">
        <f aca="false">MIN(AK338,MAX(0,$AP338-SUMPRODUCT(($AH$1:$AO$1&lt;AK$1)*$AH338:$AO338)))</f>
        <v>0</v>
      </c>
      <c r="AU338" s="0" t="n">
        <f aca="false">MIN(AL338,MAX(0,$AP338-SUMPRODUCT(($AH$1:$AO$1&lt;AL$1)*$AH338:$AO338)))</f>
        <v>0</v>
      </c>
      <c r="AV338" s="0" t="n">
        <f aca="false">MIN(AM338,MAX(0,$AP338-SUMPRODUCT(($AH$1:$AO$1&lt;AM$1)*$AH338:$AO338)))</f>
        <v>0</v>
      </c>
      <c r="AW338" s="0" t="n">
        <f aca="false">MIN(AN338,MAX(0,$AP338-SUMPRODUCT(($AH$1:$AO$1&lt;AN$1)*$AH338:$AO338)))</f>
        <v>0</v>
      </c>
      <c r="AX338" s="0" t="n">
        <f aca="false">MIN(AO338,MAX(0,$AP338-SUMPRODUCT(($AH$1:$AO$1&lt;AO$1)*$AH338:$AO338)))</f>
        <v>0</v>
      </c>
      <c r="AY338" s="0" t="n">
        <f aca="false">ROUND(AH338-AQ338,2)</f>
        <v>0</v>
      </c>
      <c r="AZ338" s="0" t="n">
        <f aca="false">ROUND(AI338-AR338,2)</f>
        <v>0</v>
      </c>
      <c r="BA338" s="0" t="n">
        <f aca="false">ROUND(AJ338-AS338,2)</f>
        <v>0</v>
      </c>
      <c r="BB338" s="0" t="n">
        <f aca="false">ROUND(AK338-AT338,2)</f>
        <v>0</v>
      </c>
      <c r="BC338" s="0" t="n">
        <f aca="false">ROUND(AL338-AU338,2)</f>
        <v>0</v>
      </c>
      <c r="BD338" s="0" t="n">
        <f aca="false">ROUND(AM338-AV338,2)</f>
        <v>0</v>
      </c>
      <c r="BE338" s="0" t="n">
        <f aca="false">ROUND(AN338-AW338,2)</f>
        <v>0</v>
      </c>
      <c r="BF338" s="0" t="n">
        <f aca="false">ROUND(AO338-AX338,2)</f>
        <v>0</v>
      </c>
      <c r="BG338" s="0" t="n">
        <f aca="false">SUM(AY338:BF338)</f>
        <v>0</v>
      </c>
    </row>
    <row r="339" customFormat="false" ht="15" hidden="false" customHeight="false" outlineLevel="0" collapsed="false">
      <c r="A339" s="0" t="n">
        <v>337</v>
      </c>
      <c r="B339" s="0" t="n">
        <f aca="false">AY338</f>
        <v>0</v>
      </c>
      <c r="C339" s="0" t="n">
        <f aca="false">AZ338</f>
        <v>0</v>
      </c>
      <c r="D339" s="0" t="n">
        <f aca="false">BA338</f>
        <v>0</v>
      </c>
      <c r="E339" s="0" t="n">
        <f aca="false">BB338</f>
        <v>0</v>
      </c>
      <c r="F339" s="0" t="n">
        <f aca="false">BC338</f>
        <v>0</v>
      </c>
      <c r="G339" s="0" t="n">
        <f aca="false">BD338</f>
        <v>0</v>
      </c>
      <c r="H339" s="0" t="n">
        <f aca="false">BE338</f>
        <v>0</v>
      </c>
      <c r="I339" s="0" t="n">
        <f aca="false">BF338</f>
        <v>0</v>
      </c>
      <c r="J339" s="0" t="n">
        <f aca="false">B339*N('Debt Payoff'!D9)/12</f>
        <v>0</v>
      </c>
      <c r="K339" s="0" t="n">
        <f aca="false">C339*N('Debt Payoff'!D10)/12</f>
        <v>0</v>
      </c>
      <c r="L339" s="0" t="n">
        <f aca="false">D339*N('Debt Payoff'!D11)/12</f>
        <v>0</v>
      </c>
      <c r="M339" s="0" t="n">
        <f aca="false">E339*N('Debt Payoff'!D12)/12</f>
        <v>0</v>
      </c>
      <c r="N339" s="0" t="n">
        <f aca="false">F339*N('Debt Payoff'!D13)/12</f>
        <v>0</v>
      </c>
      <c r="O339" s="0" t="n">
        <f aca="false">G339*N('Debt Payoff'!D14)/12</f>
        <v>0</v>
      </c>
      <c r="P339" s="0" t="n">
        <f aca="false">H339*N('Debt Payoff'!D15)/12</f>
        <v>0</v>
      </c>
      <c r="Q339" s="0" t="n">
        <f aca="false">I339*N('Debt Payoff'!D16)/12</f>
        <v>0</v>
      </c>
      <c r="R339" s="0" t="n">
        <f aca="false">B339+J339</f>
        <v>0</v>
      </c>
      <c r="S339" s="0" t="n">
        <f aca="false">C339+K339</f>
        <v>0</v>
      </c>
      <c r="T339" s="0" t="n">
        <f aca="false">D339+L339</f>
        <v>0</v>
      </c>
      <c r="U339" s="0" t="n">
        <f aca="false">E339+M339</f>
        <v>0</v>
      </c>
      <c r="V339" s="0" t="n">
        <f aca="false">F339+N339</f>
        <v>0</v>
      </c>
      <c r="W339" s="0" t="n">
        <f aca="false">G339+O339</f>
        <v>0</v>
      </c>
      <c r="X339" s="0" t="n">
        <f aca="false">H339+P339</f>
        <v>0</v>
      </c>
      <c r="Y339" s="0" t="n">
        <f aca="false">I339+Q339</f>
        <v>0</v>
      </c>
      <c r="Z339" s="0" t="n">
        <f aca="false">MIN(R339,N('Debt Payoff'!E9))</f>
        <v>0</v>
      </c>
      <c r="AA339" s="0" t="n">
        <f aca="false">MIN(S339,N('Debt Payoff'!E10))</f>
        <v>0</v>
      </c>
      <c r="AB339" s="0" t="n">
        <f aca="false">MIN(T339,N('Debt Payoff'!E11))</f>
        <v>0</v>
      </c>
      <c r="AC339" s="0" t="n">
        <f aca="false">MIN(U339,N('Debt Payoff'!E12))</f>
        <v>0</v>
      </c>
      <c r="AD339" s="0" t="n">
        <f aca="false">MIN(V339,N('Debt Payoff'!E13))</f>
        <v>0</v>
      </c>
      <c r="AE339" s="0" t="n">
        <f aca="false">MIN(W339,N('Debt Payoff'!E14))</f>
        <v>0</v>
      </c>
      <c r="AF339" s="0" t="n">
        <f aca="false">MIN(X339,N('Debt Payoff'!E15))</f>
        <v>0</v>
      </c>
      <c r="AG339" s="0" t="n">
        <f aca="false">MIN(Y339,N('Debt Payoff'!E16))</f>
        <v>0</v>
      </c>
      <c r="AH339" s="0" t="n">
        <f aca="false">R339-Z339</f>
        <v>0</v>
      </c>
      <c r="AI339" s="0" t="n">
        <f aca="false">S339-AA339</f>
        <v>0</v>
      </c>
      <c r="AJ339" s="0" t="n">
        <f aca="false">T339-AB339</f>
        <v>0</v>
      </c>
      <c r="AK339" s="0" t="n">
        <f aca="false">U339-AC339</f>
        <v>0</v>
      </c>
      <c r="AL339" s="0" t="n">
        <f aca="false">V339-AD339</f>
        <v>0</v>
      </c>
      <c r="AM339" s="0" t="n">
        <f aca="false">W339-AE339</f>
        <v>0</v>
      </c>
      <c r="AN339" s="0" t="n">
        <f aca="false">X339-AF339</f>
        <v>0</v>
      </c>
      <c r="AO339" s="0" t="n">
        <f aca="false">Y339-AG339</f>
        <v>0</v>
      </c>
      <c r="AP339" s="0" t="n">
        <f aca="false">MAX(0,'Debt Payoff'!$D$17-SUM(Z339:AG339))</f>
        <v>805</v>
      </c>
      <c r="AQ339" s="0" t="n">
        <f aca="false">MIN(AH339,MAX(0,$AP339-SUMPRODUCT(($AH$1:$AO$1&lt;AH$1)*$AH339:$AO339)))</f>
        <v>0</v>
      </c>
      <c r="AR339" s="0" t="n">
        <f aca="false">MIN(AI339,MAX(0,$AP339-SUMPRODUCT(($AH$1:$AO$1&lt;AI$1)*$AH339:$AO339)))</f>
        <v>0</v>
      </c>
      <c r="AS339" s="0" t="n">
        <f aca="false">MIN(AJ339,MAX(0,$AP339-SUMPRODUCT(($AH$1:$AO$1&lt;AJ$1)*$AH339:$AO339)))</f>
        <v>0</v>
      </c>
      <c r="AT339" s="0" t="n">
        <f aca="false">MIN(AK339,MAX(0,$AP339-SUMPRODUCT(($AH$1:$AO$1&lt;AK$1)*$AH339:$AO339)))</f>
        <v>0</v>
      </c>
      <c r="AU339" s="0" t="n">
        <f aca="false">MIN(AL339,MAX(0,$AP339-SUMPRODUCT(($AH$1:$AO$1&lt;AL$1)*$AH339:$AO339)))</f>
        <v>0</v>
      </c>
      <c r="AV339" s="0" t="n">
        <f aca="false">MIN(AM339,MAX(0,$AP339-SUMPRODUCT(($AH$1:$AO$1&lt;AM$1)*$AH339:$AO339)))</f>
        <v>0</v>
      </c>
      <c r="AW339" s="0" t="n">
        <f aca="false">MIN(AN339,MAX(0,$AP339-SUMPRODUCT(($AH$1:$AO$1&lt;AN$1)*$AH339:$AO339)))</f>
        <v>0</v>
      </c>
      <c r="AX339" s="0" t="n">
        <f aca="false">MIN(AO339,MAX(0,$AP339-SUMPRODUCT(($AH$1:$AO$1&lt;AO$1)*$AH339:$AO339)))</f>
        <v>0</v>
      </c>
      <c r="AY339" s="0" t="n">
        <f aca="false">ROUND(AH339-AQ339,2)</f>
        <v>0</v>
      </c>
      <c r="AZ339" s="0" t="n">
        <f aca="false">ROUND(AI339-AR339,2)</f>
        <v>0</v>
      </c>
      <c r="BA339" s="0" t="n">
        <f aca="false">ROUND(AJ339-AS339,2)</f>
        <v>0</v>
      </c>
      <c r="BB339" s="0" t="n">
        <f aca="false">ROUND(AK339-AT339,2)</f>
        <v>0</v>
      </c>
      <c r="BC339" s="0" t="n">
        <f aca="false">ROUND(AL339-AU339,2)</f>
        <v>0</v>
      </c>
      <c r="BD339" s="0" t="n">
        <f aca="false">ROUND(AM339-AV339,2)</f>
        <v>0</v>
      </c>
      <c r="BE339" s="0" t="n">
        <f aca="false">ROUND(AN339-AW339,2)</f>
        <v>0</v>
      </c>
      <c r="BF339" s="0" t="n">
        <f aca="false">ROUND(AO339-AX339,2)</f>
        <v>0</v>
      </c>
      <c r="BG339" s="0" t="n">
        <f aca="false">SUM(AY339:BF339)</f>
        <v>0</v>
      </c>
    </row>
    <row r="340" customFormat="false" ht="15" hidden="false" customHeight="false" outlineLevel="0" collapsed="false">
      <c r="A340" s="0" t="n">
        <v>338</v>
      </c>
      <c r="B340" s="0" t="n">
        <f aca="false">AY339</f>
        <v>0</v>
      </c>
      <c r="C340" s="0" t="n">
        <f aca="false">AZ339</f>
        <v>0</v>
      </c>
      <c r="D340" s="0" t="n">
        <f aca="false">BA339</f>
        <v>0</v>
      </c>
      <c r="E340" s="0" t="n">
        <f aca="false">BB339</f>
        <v>0</v>
      </c>
      <c r="F340" s="0" t="n">
        <f aca="false">BC339</f>
        <v>0</v>
      </c>
      <c r="G340" s="0" t="n">
        <f aca="false">BD339</f>
        <v>0</v>
      </c>
      <c r="H340" s="0" t="n">
        <f aca="false">BE339</f>
        <v>0</v>
      </c>
      <c r="I340" s="0" t="n">
        <f aca="false">BF339</f>
        <v>0</v>
      </c>
      <c r="J340" s="0" t="n">
        <f aca="false">B340*N('Debt Payoff'!D9)/12</f>
        <v>0</v>
      </c>
      <c r="K340" s="0" t="n">
        <f aca="false">C340*N('Debt Payoff'!D10)/12</f>
        <v>0</v>
      </c>
      <c r="L340" s="0" t="n">
        <f aca="false">D340*N('Debt Payoff'!D11)/12</f>
        <v>0</v>
      </c>
      <c r="M340" s="0" t="n">
        <f aca="false">E340*N('Debt Payoff'!D12)/12</f>
        <v>0</v>
      </c>
      <c r="N340" s="0" t="n">
        <f aca="false">F340*N('Debt Payoff'!D13)/12</f>
        <v>0</v>
      </c>
      <c r="O340" s="0" t="n">
        <f aca="false">G340*N('Debt Payoff'!D14)/12</f>
        <v>0</v>
      </c>
      <c r="P340" s="0" t="n">
        <f aca="false">H340*N('Debt Payoff'!D15)/12</f>
        <v>0</v>
      </c>
      <c r="Q340" s="0" t="n">
        <f aca="false">I340*N('Debt Payoff'!D16)/12</f>
        <v>0</v>
      </c>
      <c r="R340" s="0" t="n">
        <f aca="false">B340+J340</f>
        <v>0</v>
      </c>
      <c r="S340" s="0" t="n">
        <f aca="false">C340+K340</f>
        <v>0</v>
      </c>
      <c r="T340" s="0" t="n">
        <f aca="false">D340+L340</f>
        <v>0</v>
      </c>
      <c r="U340" s="0" t="n">
        <f aca="false">E340+M340</f>
        <v>0</v>
      </c>
      <c r="V340" s="0" t="n">
        <f aca="false">F340+N340</f>
        <v>0</v>
      </c>
      <c r="W340" s="0" t="n">
        <f aca="false">G340+O340</f>
        <v>0</v>
      </c>
      <c r="X340" s="0" t="n">
        <f aca="false">H340+P340</f>
        <v>0</v>
      </c>
      <c r="Y340" s="0" t="n">
        <f aca="false">I340+Q340</f>
        <v>0</v>
      </c>
      <c r="Z340" s="0" t="n">
        <f aca="false">MIN(R340,N('Debt Payoff'!E9))</f>
        <v>0</v>
      </c>
      <c r="AA340" s="0" t="n">
        <f aca="false">MIN(S340,N('Debt Payoff'!E10))</f>
        <v>0</v>
      </c>
      <c r="AB340" s="0" t="n">
        <f aca="false">MIN(T340,N('Debt Payoff'!E11))</f>
        <v>0</v>
      </c>
      <c r="AC340" s="0" t="n">
        <f aca="false">MIN(U340,N('Debt Payoff'!E12))</f>
        <v>0</v>
      </c>
      <c r="AD340" s="0" t="n">
        <f aca="false">MIN(V340,N('Debt Payoff'!E13))</f>
        <v>0</v>
      </c>
      <c r="AE340" s="0" t="n">
        <f aca="false">MIN(W340,N('Debt Payoff'!E14))</f>
        <v>0</v>
      </c>
      <c r="AF340" s="0" t="n">
        <f aca="false">MIN(X340,N('Debt Payoff'!E15))</f>
        <v>0</v>
      </c>
      <c r="AG340" s="0" t="n">
        <f aca="false">MIN(Y340,N('Debt Payoff'!E16))</f>
        <v>0</v>
      </c>
      <c r="AH340" s="0" t="n">
        <f aca="false">R340-Z340</f>
        <v>0</v>
      </c>
      <c r="AI340" s="0" t="n">
        <f aca="false">S340-AA340</f>
        <v>0</v>
      </c>
      <c r="AJ340" s="0" t="n">
        <f aca="false">T340-AB340</f>
        <v>0</v>
      </c>
      <c r="AK340" s="0" t="n">
        <f aca="false">U340-AC340</f>
        <v>0</v>
      </c>
      <c r="AL340" s="0" t="n">
        <f aca="false">V340-AD340</f>
        <v>0</v>
      </c>
      <c r="AM340" s="0" t="n">
        <f aca="false">W340-AE340</f>
        <v>0</v>
      </c>
      <c r="AN340" s="0" t="n">
        <f aca="false">X340-AF340</f>
        <v>0</v>
      </c>
      <c r="AO340" s="0" t="n">
        <f aca="false">Y340-AG340</f>
        <v>0</v>
      </c>
      <c r="AP340" s="0" t="n">
        <f aca="false">MAX(0,'Debt Payoff'!$D$17-SUM(Z340:AG340))</f>
        <v>805</v>
      </c>
      <c r="AQ340" s="0" t="n">
        <f aca="false">MIN(AH340,MAX(0,$AP340-SUMPRODUCT(($AH$1:$AO$1&lt;AH$1)*$AH340:$AO340)))</f>
        <v>0</v>
      </c>
      <c r="AR340" s="0" t="n">
        <f aca="false">MIN(AI340,MAX(0,$AP340-SUMPRODUCT(($AH$1:$AO$1&lt;AI$1)*$AH340:$AO340)))</f>
        <v>0</v>
      </c>
      <c r="AS340" s="0" t="n">
        <f aca="false">MIN(AJ340,MAX(0,$AP340-SUMPRODUCT(($AH$1:$AO$1&lt;AJ$1)*$AH340:$AO340)))</f>
        <v>0</v>
      </c>
      <c r="AT340" s="0" t="n">
        <f aca="false">MIN(AK340,MAX(0,$AP340-SUMPRODUCT(($AH$1:$AO$1&lt;AK$1)*$AH340:$AO340)))</f>
        <v>0</v>
      </c>
      <c r="AU340" s="0" t="n">
        <f aca="false">MIN(AL340,MAX(0,$AP340-SUMPRODUCT(($AH$1:$AO$1&lt;AL$1)*$AH340:$AO340)))</f>
        <v>0</v>
      </c>
      <c r="AV340" s="0" t="n">
        <f aca="false">MIN(AM340,MAX(0,$AP340-SUMPRODUCT(($AH$1:$AO$1&lt;AM$1)*$AH340:$AO340)))</f>
        <v>0</v>
      </c>
      <c r="AW340" s="0" t="n">
        <f aca="false">MIN(AN340,MAX(0,$AP340-SUMPRODUCT(($AH$1:$AO$1&lt;AN$1)*$AH340:$AO340)))</f>
        <v>0</v>
      </c>
      <c r="AX340" s="0" t="n">
        <f aca="false">MIN(AO340,MAX(0,$AP340-SUMPRODUCT(($AH$1:$AO$1&lt;AO$1)*$AH340:$AO340)))</f>
        <v>0</v>
      </c>
      <c r="AY340" s="0" t="n">
        <f aca="false">ROUND(AH340-AQ340,2)</f>
        <v>0</v>
      </c>
      <c r="AZ340" s="0" t="n">
        <f aca="false">ROUND(AI340-AR340,2)</f>
        <v>0</v>
      </c>
      <c r="BA340" s="0" t="n">
        <f aca="false">ROUND(AJ340-AS340,2)</f>
        <v>0</v>
      </c>
      <c r="BB340" s="0" t="n">
        <f aca="false">ROUND(AK340-AT340,2)</f>
        <v>0</v>
      </c>
      <c r="BC340" s="0" t="n">
        <f aca="false">ROUND(AL340-AU340,2)</f>
        <v>0</v>
      </c>
      <c r="BD340" s="0" t="n">
        <f aca="false">ROUND(AM340-AV340,2)</f>
        <v>0</v>
      </c>
      <c r="BE340" s="0" t="n">
        <f aca="false">ROUND(AN340-AW340,2)</f>
        <v>0</v>
      </c>
      <c r="BF340" s="0" t="n">
        <f aca="false">ROUND(AO340-AX340,2)</f>
        <v>0</v>
      </c>
      <c r="BG340" s="0" t="n">
        <f aca="false">SUM(AY340:BF340)</f>
        <v>0</v>
      </c>
    </row>
    <row r="341" customFormat="false" ht="15" hidden="false" customHeight="false" outlineLevel="0" collapsed="false">
      <c r="A341" s="0" t="n">
        <v>339</v>
      </c>
      <c r="B341" s="0" t="n">
        <f aca="false">AY340</f>
        <v>0</v>
      </c>
      <c r="C341" s="0" t="n">
        <f aca="false">AZ340</f>
        <v>0</v>
      </c>
      <c r="D341" s="0" t="n">
        <f aca="false">BA340</f>
        <v>0</v>
      </c>
      <c r="E341" s="0" t="n">
        <f aca="false">BB340</f>
        <v>0</v>
      </c>
      <c r="F341" s="0" t="n">
        <f aca="false">BC340</f>
        <v>0</v>
      </c>
      <c r="G341" s="0" t="n">
        <f aca="false">BD340</f>
        <v>0</v>
      </c>
      <c r="H341" s="0" t="n">
        <f aca="false">BE340</f>
        <v>0</v>
      </c>
      <c r="I341" s="0" t="n">
        <f aca="false">BF340</f>
        <v>0</v>
      </c>
      <c r="J341" s="0" t="n">
        <f aca="false">B341*N('Debt Payoff'!D9)/12</f>
        <v>0</v>
      </c>
      <c r="K341" s="0" t="n">
        <f aca="false">C341*N('Debt Payoff'!D10)/12</f>
        <v>0</v>
      </c>
      <c r="L341" s="0" t="n">
        <f aca="false">D341*N('Debt Payoff'!D11)/12</f>
        <v>0</v>
      </c>
      <c r="M341" s="0" t="n">
        <f aca="false">E341*N('Debt Payoff'!D12)/12</f>
        <v>0</v>
      </c>
      <c r="N341" s="0" t="n">
        <f aca="false">F341*N('Debt Payoff'!D13)/12</f>
        <v>0</v>
      </c>
      <c r="O341" s="0" t="n">
        <f aca="false">G341*N('Debt Payoff'!D14)/12</f>
        <v>0</v>
      </c>
      <c r="P341" s="0" t="n">
        <f aca="false">H341*N('Debt Payoff'!D15)/12</f>
        <v>0</v>
      </c>
      <c r="Q341" s="0" t="n">
        <f aca="false">I341*N('Debt Payoff'!D16)/12</f>
        <v>0</v>
      </c>
      <c r="R341" s="0" t="n">
        <f aca="false">B341+J341</f>
        <v>0</v>
      </c>
      <c r="S341" s="0" t="n">
        <f aca="false">C341+K341</f>
        <v>0</v>
      </c>
      <c r="T341" s="0" t="n">
        <f aca="false">D341+L341</f>
        <v>0</v>
      </c>
      <c r="U341" s="0" t="n">
        <f aca="false">E341+M341</f>
        <v>0</v>
      </c>
      <c r="V341" s="0" t="n">
        <f aca="false">F341+N341</f>
        <v>0</v>
      </c>
      <c r="W341" s="0" t="n">
        <f aca="false">G341+O341</f>
        <v>0</v>
      </c>
      <c r="X341" s="0" t="n">
        <f aca="false">H341+P341</f>
        <v>0</v>
      </c>
      <c r="Y341" s="0" t="n">
        <f aca="false">I341+Q341</f>
        <v>0</v>
      </c>
      <c r="Z341" s="0" t="n">
        <f aca="false">MIN(R341,N('Debt Payoff'!E9))</f>
        <v>0</v>
      </c>
      <c r="AA341" s="0" t="n">
        <f aca="false">MIN(S341,N('Debt Payoff'!E10))</f>
        <v>0</v>
      </c>
      <c r="AB341" s="0" t="n">
        <f aca="false">MIN(T341,N('Debt Payoff'!E11))</f>
        <v>0</v>
      </c>
      <c r="AC341" s="0" t="n">
        <f aca="false">MIN(U341,N('Debt Payoff'!E12))</f>
        <v>0</v>
      </c>
      <c r="AD341" s="0" t="n">
        <f aca="false">MIN(V341,N('Debt Payoff'!E13))</f>
        <v>0</v>
      </c>
      <c r="AE341" s="0" t="n">
        <f aca="false">MIN(W341,N('Debt Payoff'!E14))</f>
        <v>0</v>
      </c>
      <c r="AF341" s="0" t="n">
        <f aca="false">MIN(X341,N('Debt Payoff'!E15))</f>
        <v>0</v>
      </c>
      <c r="AG341" s="0" t="n">
        <f aca="false">MIN(Y341,N('Debt Payoff'!E16))</f>
        <v>0</v>
      </c>
      <c r="AH341" s="0" t="n">
        <f aca="false">R341-Z341</f>
        <v>0</v>
      </c>
      <c r="AI341" s="0" t="n">
        <f aca="false">S341-AA341</f>
        <v>0</v>
      </c>
      <c r="AJ341" s="0" t="n">
        <f aca="false">T341-AB341</f>
        <v>0</v>
      </c>
      <c r="AK341" s="0" t="n">
        <f aca="false">U341-AC341</f>
        <v>0</v>
      </c>
      <c r="AL341" s="0" t="n">
        <f aca="false">V341-AD341</f>
        <v>0</v>
      </c>
      <c r="AM341" s="0" t="n">
        <f aca="false">W341-AE341</f>
        <v>0</v>
      </c>
      <c r="AN341" s="0" t="n">
        <f aca="false">X341-AF341</f>
        <v>0</v>
      </c>
      <c r="AO341" s="0" t="n">
        <f aca="false">Y341-AG341</f>
        <v>0</v>
      </c>
      <c r="AP341" s="0" t="n">
        <f aca="false">MAX(0,'Debt Payoff'!$D$17-SUM(Z341:AG341))</f>
        <v>805</v>
      </c>
      <c r="AQ341" s="0" t="n">
        <f aca="false">MIN(AH341,MAX(0,$AP341-SUMPRODUCT(($AH$1:$AO$1&lt;AH$1)*$AH341:$AO341)))</f>
        <v>0</v>
      </c>
      <c r="AR341" s="0" t="n">
        <f aca="false">MIN(AI341,MAX(0,$AP341-SUMPRODUCT(($AH$1:$AO$1&lt;AI$1)*$AH341:$AO341)))</f>
        <v>0</v>
      </c>
      <c r="AS341" s="0" t="n">
        <f aca="false">MIN(AJ341,MAX(0,$AP341-SUMPRODUCT(($AH$1:$AO$1&lt;AJ$1)*$AH341:$AO341)))</f>
        <v>0</v>
      </c>
      <c r="AT341" s="0" t="n">
        <f aca="false">MIN(AK341,MAX(0,$AP341-SUMPRODUCT(($AH$1:$AO$1&lt;AK$1)*$AH341:$AO341)))</f>
        <v>0</v>
      </c>
      <c r="AU341" s="0" t="n">
        <f aca="false">MIN(AL341,MAX(0,$AP341-SUMPRODUCT(($AH$1:$AO$1&lt;AL$1)*$AH341:$AO341)))</f>
        <v>0</v>
      </c>
      <c r="AV341" s="0" t="n">
        <f aca="false">MIN(AM341,MAX(0,$AP341-SUMPRODUCT(($AH$1:$AO$1&lt;AM$1)*$AH341:$AO341)))</f>
        <v>0</v>
      </c>
      <c r="AW341" s="0" t="n">
        <f aca="false">MIN(AN341,MAX(0,$AP341-SUMPRODUCT(($AH$1:$AO$1&lt;AN$1)*$AH341:$AO341)))</f>
        <v>0</v>
      </c>
      <c r="AX341" s="0" t="n">
        <f aca="false">MIN(AO341,MAX(0,$AP341-SUMPRODUCT(($AH$1:$AO$1&lt;AO$1)*$AH341:$AO341)))</f>
        <v>0</v>
      </c>
      <c r="AY341" s="0" t="n">
        <f aca="false">ROUND(AH341-AQ341,2)</f>
        <v>0</v>
      </c>
      <c r="AZ341" s="0" t="n">
        <f aca="false">ROUND(AI341-AR341,2)</f>
        <v>0</v>
      </c>
      <c r="BA341" s="0" t="n">
        <f aca="false">ROUND(AJ341-AS341,2)</f>
        <v>0</v>
      </c>
      <c r="BB341" s="0" t="n">
        <f aca="false">ROUND(AK341-AT341,2)</f>
        <v>0</v>
      </c>
      <c r="BC341" s="0" t="n">
        <f aca="false">ROUND(AL341-AU341,2)</f>
        <v>0</v>
      </c>
      <c r="BD341" s="0" t="n">
        <f aca="false">ROUND(AM341-AV341,2)</f>
        <v>0</v>
      </c>
      <c r="BE341" s="0" t="n">
        <f aca="false">ROUND(AN341-AW341,2)</f>
        <v>0</v>
      </c>
      <c r="BF341" s="0" t="n">
        <f aca="false">ROUND(AO341-AX341,2)</f>
        <v>0</v>
      </c>
      <c r="BG341" s="0" t="n">
        <f aca="false">SUM(AY341:BF341)</f>
        <v>0</v>
      </c>
    </row>
    <row r="342" customFormat="false" ht="15" hidden="false" customHeight="false" outlineLevel="0" collapsed="false">
      <c r="A342" s="0" t="n">
        <v>340</v>
      </c>
      <c r="B342" s="0" t="n">
        <f aca="false">AY341</f>
        <v>0</v>
      </c>
      <c r="C342" s="0" t="n">
        <f aca="false">AZ341</f>
        <v>0</v>
      </c>
      <c r="D342" s="0" t="n">
        <f aca="false">BA341</f>
        <v>0</v>
      </c>
      <c r="E342" s="0" t="n">
        <f aca="false">BB341</f>
        <v>0</v>
      </c>
      <c r="F342" s="0" t="n">
        <f aca="false">BC341</f>
        <v>0</v>
      </c>
      <c r="G342" s="0" t="n">
        <f aca="false">BD341</f>
        <v>0</v>
      </c>
      <c r="H342" s="0" t="n">
        <f aca="false">BE341</f>
        <v>0</v>
      </c>
      <c r="I342" s="0" t="n">
        <f aca="false">BF341</f>
        <v>0</v>
      </c>
      <c r="J342" s="0" t="n">
        <f aca="false">B342*N('Debt Payoff'!D9)/12</f>
        <v>0</v>
      </c>
      <c r="K342" s="0" t="n">
        <f aca="false">C342*N('Debt Payoff'!D10)/12</f>
        <v>0</v>
      </c>
      <c r="L342" s="0" t="n">
        <f aca="false">D342*N('Debt Payoff'!D11)/12</f>
        <v>0</v>
      </c>
      <c r="M342" s="0" t="n">
        <f aca="false">E342*N('Debt Payoff'!D12)/12</f>
        <v>0</v>
      </c>
      <c r="N342" s="0" t="n">
        <f aca="false">F342*N('Debt Payoff'!D13)/12</f>
        <v>0</v>
      </c>
      <c r="O342" s="0" t="n">
        <f aca="false">G342*N('Debt Payoff'!D14)/12</f>
        <v>0</v>
      </c>
      <c r="P342" s="0" t="n">
        <f aca="false">H342*N('Debt Payoff'!D15)/12</f>
        <v>0</v>
      </c>
      <c r="Q342" s="0" t="n">
        <f aca="false">I342*N('Debt Payoff'!D16)/12</f>
        <v>0</v>
      </c>
      <c r="R342" s="0" t="n">
        <f aca="false">B342+J342</f>
        <v>0</v>
      </c>
      <c r="S342" s="0" t="n">
        <f aca="false">C342+K342</f>
        <v>0</v>
      </c>
      <c r="T342" s="0" t="n">
        <f aca="false">D342+L342</f>
        <v>0</v>
      </c>
      <c r="U342" s="0" t="n">
        <f aca="false">E342+M342</f>
        <v>0</v>
      </c>
      <c r="V342" s="0" t="n">
        <f aca="false">F342+N342</f>
        <v>0</v>
      </c>
      <c r="W342" s="0" t="n">
        <f aca="false">G342+O342</f>
        <v>0</v>
      </c>
      <c r="X342" s="0" t="n">
        <f aca="false">H342+P342</f>
        <v>0</v>
      </c>
      <c r="Y342" s="0" t="n">
        <f aca="false">I342+Q342</f>
        <v>0</v>
      </c>
      <c r="Z342" s="0" t="n">
        <f aca="false">MIN(R342,N('Debt Payoff'!E9))</f>
        <v>0</v>
      </c>
      <c r="AA342" s="0" t="n">
        <f aca="false">MIN(S342,N('Debt Payoff'!E10))</f>
        <v>0</v>
      </c>
      <c r="AB342" s="0" t="n">
        <f aca="false">MIN(T342,N('Debt Payoff'!E11))</f>
        <v>0</v>
      </c>
      <c r="AC342" s="0" t="n">
        <f aca="false">MIN(U342,N('Debt Payoff'!E12))</f>
        <v>0</v>
      </c>
      <c r="AD342" s="0" t="n">
        <f aca="false">MIN(V342,N('Debt Payoff'!E13))</f>
        <v>0</v>
      </c>
      <c r="AE342" s="0" t="n">
        <f aca="false">MIN(W342,N('Debt Payoff'!E14))</f>
        <v>0</v>
      </c>
      <c r="AF342" s="0" t="n">
        <f aca="false">MIN(X342,N('Debt Payoff'!E15))</f>
        <v>0</v>
      </c>
      <c r="AG342" s="0" t="n">
        <f aca="false">MIN(Y342,N('Debt Payoff'!E16))</f>
        <v>0</v>
      </c>
      <c r="AH342" s="0" t="n">
        <f aca="false">R342-Z342</f>
        <v>0</v>
      </c>
      <c r="AI342" s="0" t="n">
        <f aca="false">S342-AA342</f>
        <v>0</v>
      </c>
      <c r="AJ342" s="0" t="n">
        <f aca="false">T342-AB342</f>
        <v>0</v>
      </c>
      <c r="AK342" s="0" t="n">
        <f aca="false">U342-AC342</f>
        <v>0</v>
      </c>
      <c r="AL342" s="0" t="n">
        <f aca="false">V342-AD342</f>
        <v>0</v>
      </c>
      <c r="AM342" s="0" t="n">
        <f aca="false">W342-AE342</f>
        <v>0</v>
      </c>
      <c r="AN342" s="0" t="n">
        <f aca="false">X342-AF342</f>
        <v>0</v>
      </c>
      <c r="AO342" s="0" t="n">
        <f aca="false">Y342-AG342</f>
        <v>0</v>
      </c>
      <c r="AP342" s="0" t="n">
        <f aca="false">MAX(0,'Debt Payoff'!$D$17-SUM(Z342:AG342))</f>
        <v>805</v>
      </c>
      <c r="AQ342" s="0" t="n">
        <f aca="false">MIN(AH342,MAX(0,$AP342-SUMPRODUCT(($AH$1:$AO$1&lt;AH$1)*$AH342:$AO342)))</f>
        <v>0</v>
      </c>
      <c r="AR342" s="0" t="n">
        <f aca="false">MIN(AI342,MAX(0,$AP342-SUMPRODUCT(($AH$1:$AO$1&lt;AI$1)*$AH342:$AO342)))</f>
        <v>0</v>
      </c>
      <c r="AS342" s="0" t="n">
        <f aca="false">MIN(AJ342,MAX(0,$AP342-SUMPRODUCT(($AH$1:$AO$1&lt;AJ$1)*$AH342:$AO342)))</f>
        <v>0</v>
      </c>
      <c r="AT342" s="0" t="n">
        <f aca="false">MIN(AK342,MAX(0,$AP342-SUMPRODUCT(($AH$1:$AO$1&lt;AK$1)*$AH342:$AO342)))</f>
        <v>0</v>
      </c>
      <c r="AU342" s="0" t="n">
        <f aca="false">MIN(AL342,MAX(0,$AP342-SUMPRODUCT(($AH$1:$AO$1&lt;AL$1)*$AH342:$AO342)))</f>
        <v>0</v>
      </c>
      <c r="AV342" s="0" t="n">
        <f aca="false">MIN(AM342,MAX(0,$AP342-SUMPRODUCT(($AH$1:$AO$1&lt;AM$1)*$AH342:$AO342)))</f>
        <v>0</v>
      </c>
      <c r="AW342" s="0" t="n">
        <f aca="false">MIN(AN342,MAX(0,$AP342-SUMPRODUCT(($AH$1:$AO$1&lt;AN$1)*$AH342:$AO342)))</f>
        <v>0</v>
      </c>
      <c r="AX342" s="0" t="n">
        <f aca="false">MIN(AO342,MAX(0,$AP342-SUMPRODUCT(($AH$1:$AO$1&lt;AO$1)*$AH342:$AO342)))</f>
        <v>0</v>
      </c>
      <c r="AY342" s="0" t="n">
        <f aca="false">ROUND(AH342-AQ342,2)</f>
        <v>0</v>
      </c>
      <c r="AZ342" s="0" t="n">
        <f aca="false">ROUND(AI342-AR342,2)</f>
        <v>0</v>
      </c>
      <c r="BA342" s="0" t="n">
        <f aca="false">ROUND(AJ342-AS342,2)</f>
        <v>0</v>
      </c>
      <c r="BB342" s="0" t="n">
        <f aca="false">ROUND(AK342-AT342,2)</f>
        <v>0</v>
      </c>
      <c r="BC342" s="0" t="n">
        <f aca="false">ROUND(AL342-AU342,2)</f>
        <v>0</v>
      </c>
      <c r="BD342" s="0" t="n">
        <f aca="false">ROUND(AM342-AV342,2)</f>
        <v>0</v>
      </c>
      <c r="BE342" s="0" t="n">
        <f aca="false">ROUND(AN342-AW342,2)</f>
        <v>0</v>
      </c>
      <c r="BF342" s="0" t="n">
        <f aca="false">ROUND(AO342-AX342,2)</f>
        <v>0</v>
      </c>
      <c r="BG342" s="0" t="n">
        <f aca="false">SUM(AY342:BF342)</f>
        <v>0</v>
      </c>
    </row>
    <row r="343" customFormat="false" ht="15" hidden="false" customHeight="false" outlineLevel="0" collapsed="false">
      <c r="A343" s="0" t="n">
        <v>341</v>
      </c>
      <c r="B343" s="0" t="n">
        <f aca="false">AY342</f>
        <v>0</v>
      </c>
      <c r="C343" s="0" t="n">
        <f aca="false">AZ342</f>
        <v>0</v>
      </c>
      <c r="D343" s="0" t="n">
        <f aca="false">BA342</f>
        <v>0</v>
      </c>
      <c r="E343" s="0" t="n">
        <f aca="false">BB342</f>
        <v>0</v>
      </c>
      <c r="F343" s="0" t="n">
        <f aca="false">BC342</f>
        <v>0</v>
      </c>
      <c r="G343" s="0" t="n">
        <f aca="false">BD342</f>
        <v>0</v>
      </c>
      <c r="H343" s="0" t="n">
        <f aca="false">BE342</f>
        <v>0</v>
      </c>
      <c r="I343" s="0" t="n">
        <f aca="false">BF342</f>
        <v>0</v>
      </c>
      <c r="J343" s="0" t="n">
        <f aca="false">B343*N('Debt Payoff'!D9)/12</f>
        <v>0</v>
      </c>
      <c r="K343" s="0" t="n">
        <f aca="false">C343*N('Debt Payoff'!D10)/12</f>
        <v>0</v>
      </c>
      <c r="L343" s="0" t="n">
        <f aca="false">D343*N('Debt Payoff'!D11)/12</f>
        <v>0</v>
      </c>
      <c r="M343" s="0" t="n">
        <f aca="false">E343*N('Debt Payoff'!D12)/12</f>
        <v>0</v>
      </c>
      <c r="N343" s="0" t="n">
        <f aca="false">F343*N('Debt Payoff'!D13)/12</f>
        <v>0</v>
      </c>
      <c r="O343" s="0" t="n">
        <f aca="false">G343*N('Debt Payoff'!D14)/12</f>
        <v>0</v>
      </c>
      <c r="P343" s="0" t="n">
        <f aca="false">H343*N('Debt Payoff'!D15)/12</f>
        <v>0</v>
      </c>
      <c r="Q343" s="0" t="n">
        <f aca="false">I343*N('Debt Payoff'!D16)/12</f>
        <v>0</v>
      </c>
      <c r="R343" s="0" t="n">
        <f aca="false">B343+J343</f>
        <v>0</v>
      </c>
      <c r="S343" s="0" t="n">
        <f aca="false">C343+K343</f>
        <v>0</v>
      </c>
      <c r="T343" s="0" t="n">
        <f aca="false">D343+L343</f>
        <v>0</v>
      </c>
      <c r="U343" s="0" t="n">
        <f aca="false">E343+M343</f>
        <v>0</v>
      </c>
      <c r="V343" s="0" t="n">
        <f aca="false">F343+N343</f>
        <v>0</v>
      </c>
      <c r="W343" s="0" t="n">
        <f aca="false">G343+O343</f>
        <v>0</v>
      </c>
      <c r="X343" s="0" t="n">
        <f aca="false">H343+P343</f>
        <v>0</v>
      </c>
      <c r="Y343" s="0" t="n">
        <f aca="false">I343+Q343</f>
        <v>0</v>
      </c>
      <c r="Z343" s="0" t="n">
        <f aca="false">MIN(R343,N('Debt Payoff'!E9))</f>
        <v>0</v>
      </c>
      <c r="AA343" s="0" t="n">
        <f aca="false">MIN(S343,N('Debt Payoff'!E10))</f>
        <v>0</v>
      </c>
      <c r="AB343" s="0" t="n">
        <f aca="false">MIN(T343,N('Debt Payoff'!E11))</f>
        <v>0</v>
      </c>
      <c r="AC343" s="0" t="n">
        <f aca="false">MIN(U343,N('Debt Payoff'!E12))</f>
        <v>0</v>
      </c>
      <c r="AD343" s="0" t="n">
        <f aca="false">MIN(V343,N('Debt Payoff'!E13))</f>
        <v>0</v>
      </c>
      <c r="AE343" s="0" t="n">
        <f aca="false">MIN(W343,N('Debt Payoff'!E14))</f>
        <v>0</v>
      </c>
      <c r="AF343" s="0" t="n">
        <f aca="false">MIN(X343,N('Debt Payoff'!E15))</f>
        <v>0</v>
      </c>
      <c r="AG343" s="0" t="n">
        <f aca="false">MIN(Y343,N('Debt Payoff'!E16))</f>
        <v>0</v>
      </c>
      <c r="AH343" s="0" t="n">
        <f aca="false">R343-Z343</f>
        <v>0</v>
      </c>
      <c r="AI343" s="0" t="n">
        <f aca="false">S343-AA343</f>
        <v>0</v>
      </c>
      <c r="AJ343" s="0" t="n">
        <f aca="false">T343-AB343</f>
        <v>0</v>
      </c>
      <c r="AK343" s="0" t="n">
        <f aca="false">U343-AC343</f>
        <v>0</v>
      </c>
      <c r="AL343" s="0" t="n">
        <f aca="false">V343-AD343</f>
        <v>0</v>
      </c>
      <c r="AM343" s="0" t="n">
        <f aca="false">W343-AE343</f>
        <v>0</v>
      </c>
      <c r="AN343" s="0" t="n">
        <f aca="false">X343-AF343</f>
        <v>0</v>
      </c>
      <c r="AO343" s="0" t="n">
        <f aca="false">Y343-AG343</f>
        <v>0</v>
      </c>
      <c r="AP343" s="0" t="n">
        <f aca="false">MAX(0,'Debt Payoff'!$D$17-SUM(Z343:AG343))</f>
        <v>805</v>
      </c>
      <c r="AQ343" s="0" t="n">
        <f aca="false">MIN(AH343,MAX(0,$AP343-SUMPRODUCT(($AH$1:$AO$1&lt;AH$1)*$AH343:$AO343)))</f>
        <v>0</v>
      </c>
      <c r="AR343" s="0" t="n">
        <f aca="false">MIN(AI343,MAX(0,$AP343-SUMPRODUCT(($AH$1:$AO$1&lt;AI$1)*$AH343:$AO343)))</f>
        <v>0</v>
      </c>
      <c r="AS343" s="0" t="n">
        <f aca="false">MIN(AJ343,MAX(0,$AP343-SUMPRODUCT(($AH$1:$AO$1&lt;AJ$1)*$AH343:$AO343)))</f>
        <v>0</v>
      </c>
      <c r="AT343" s="0" t="n">
        <f aca="false">MIN(AK343,MAX(0,$AP343-SUMPRODUCT(($AH$1:$AO$1&lt;AK$1)*$AH343:$AO343)))</f>
        <v>0</v>
      </c>
      <c r="AU343" s="0" t="n">
        <f aca="false">MIN(AL343,MAX(0,$AP343-SUMPRODUCT(($AH$1:$AO$1&lt;AL$1)*$AH343:$AO343)))</f>
        <v>0</v>
      </c>
      <c r="AV343" s="0" t="n">
        <f aca="false">MIN(AM343,MAX(0,$AP343-SUMPRODUCT(($AH$1:$AO$1&lt;AM$1)*$AH343:$AO343)))</f>
        <v>0</v>
      </c>
      <c r="AW343" s="0" t="n">
        <f aca="false">MIN(AN343,MAX(0,$AP343-SUMPRODUCT(($AH$1:$AO$1&lt;AN$1)*$AH343:$AO343)))</f>
        <v>0</v>
      </c>
      <c r="AX343" s="0" t="n">
        <f aca="false">MIN(AO343,MAX(0,$AP343-SUMPRODUCT(($AH$1:$AO$1&lt;AO$1)*$AH343:$AO343)))</f>
        <v>0</v>
      </c>
      <c r="AY343" s="0" t="n">
        <f aca="false">ROUND(AH343-AQ343,2)</f>
        <v>0</v>
      </c>
      <c r="AZ343" s="0" t="n">
        <f aca="false">ROUND(AI343-AR343,2)</f>
        <v>0</v>
      </c>
      <c r="BA343" s="0" t="n">
        <f aca="false">ROUND(AJ343-AS343,2)</f>
        <v>0</v>
      </c>
      <c r="BB343" s="0" t="n">
        <f aca="false">ROUND(AK343-AT343,2)</f>
        <v>0</v>
      </c>
      <c r="BC343" s="0" t="n">
        <f aca="false">ROUND(AL343-AU343,2)</f>
        <v>0</v>
      </c>
      <c r="BD343" s="0" t="n">
        <f aca="false">ROUND(AM343-AV343,2)</f>
        <v>0</v>
      </c>
      <c r="BE343" s="0" t="n">
        <f aca="false">ROUND(AN343-AW343,2)</f>
        <v>0</v>
      </c>
      <c r="BF343" s="0" t="n">
        <f aca="false">ROUND(AO343-AX343,2)</f>
        <v>0</v>
      </c>
      <c r="BG343" s="0" t="n">
        <f aca="false">SUM(AY343:BF343)</f>
        <v>0</v>
      </c>
    </row>
    <row r="344" customFormat="false" ht="15" hidden="false" customHeight="false" outlineLevel="0" collapsed="false">
      <c r="A344" s="0" t="n">
        <v>342</v>
      </c>
      <c r="B344" s="0" t="n">
        <f aca="false">AY343</f>
        <v>0</v>
      </c>
      <c r="C344" s="0" t="n">
        <f aca="false">AZ343</f>
        <v>0</v>
      </c>
      <c r="D344" s="0" t="n">
        <f aca="false">BA343</f>
        <v>0</v>
      </c>
      <c r="E344" s="0" t="n">
        <f aca="false">BB343</f>
        <v>0</v>
      </c>
      <c r="F344" s="0" t="n">
        <f aca="false">BC343</f>
        <v>0</v>
      </c>
      <c r="G344" s="0" t="n">
        <f aca="false">BD343</f>
        <v>0</v>
      </c>
      <c r="H344" s="0" t="n">
        <f aca="false">BE343</f>
        <v>0</v>
      </c>
      <c r="I344" s="0" t="n">
        <f aca="false">BF343</f>
        <v>0</v>
      </c>
      <c r="J344" s="0" t="n">
        <f aca="false">B344*N('Debt Payoff'!D9)/12</f>
        <v>0</v>
      </c>
      <c r="K344" s="0" t="n">
        <f aca="false">C344*N('Debt Payoff'!D10)/12</f>
        <v>0</v>
      </c>
      <c r="L344" s="0" t="n">
        <f aca="false">D344*N('Debt Payoff'!D11)/12</f>
        <v>0</v>
      </c>
      <c r="M344" s="0" t="n">
        <f aca="false">E344*N('Debt Payoff'!D12)/12</f>
        <v>0</v>
      </c>
      <c r="N344" s="0" t="n">
        <f aca="false">F344*N('Debt Payoff'!D13)/12</f>
        <v>0</v>
      </c>
      <c r="O344" s="0" t="n">
        <f aca="false">G344*N('Debt Payoff'!D14)/12</f>
        <v>0</v>
      </c>
      <c r="P344" s="0" t="n">
        <f aca="false">H344*N('Debt Payoff'!D15)/12</f>
        <v>0</v>
      </c>
      <c r="Q344" s="0" t="n">
        <f aca="false">I344*N('Debt Payoff'!D16)/12</f>
        <v>0</v>
      </c>
      <c r="R344" s="0" t="n">
        <f aca="false">B344+J344</f>
        <v>0</v>
      </c>
      <c r="S344" s="0" t="n">
        <f aca="false">C344+K344</f>
        <v>0</v>
      </c>
      <c r="T344" s="0" t="n">
        <f aca="false">D344+L344</f>
        <v>0</v>
      </c>
      <c r="U344" s="0" t="n">
        <f aca="false">E344+M344</f>
        <v>0</v>
      </c>
      <c r="V344" s="0" t="n">
        <f aca="false">F344+N344</f>
        <v>0</v>
      </c>
      <c r="W344" s="0" t="n">
        <f aca="false">G344+O344</f>
        <v>0</v>
      </c>
      <c r="X344" s="0" t="n">
        <f aca="false">H344+P344</f>
        <v>0</v>
      </c>
      <c r="Y344" s="0" t="n">
        <f aca="false">I344+Q344</f>
        <v>0</v>
      </c>
      <c r="Z344" s="0" t="n">
        <f aca="false">MIN(R344,N('Debt Payoff'!E9))</f>
        <v>0</v>
      </c>
      <c r="AA344" s="0" t="n">
        <f aca="false">MIN(S344,N('Debt Payoff'!E10))</f>
        <v>0</v>
      </c>
      <c r="AB344" s="0" t="n">
        <f aca="false">MIN(T344,N('Debt Payoff'!E11))</f>
        <v>0</v>
      </c>
      <c r="AC344" s="0" t="n">
        <f aca="false">MIN(U344,N('Debt Payoff'!E12))</f>
        <v>0</v>
      </c>
      <c r="AD344" s="0" t="n">
        <f aca="false">MIN(V344,N('Debt Payoff'!E13))</f>
        <v>0</v>
      </c>
      <c r="AE344" s="0" t="n">
        <f aca="false">MIN(W344,N('Debt Payoff'!E14))</f>
        <v>0</v>
      </c>
      <c r="AF344" s="0" t="n">
        <f aca="false">MIN(X344,N('Debt Payoff'!E15))</f>
        <v>0</v>
      </c>
      <c r="AG344" s="0" t="n">
        <f aca="false">MIN(Y344,N('Debt Payoff'!E16))</f>
        <v>0</v>
      </c>
      <c r="AH344" s="0" t="n">
        <f aca="false">R344-Z344</f>
        <v>0</v>
      </c>
      <c r="AI344" s="0" t="n">
        <f aca="false">S344-AA344</f>
        <v>0</v>
      </c>
      <c r="AJ344" s="0" t="n">
        <f aca="false">T344-AB344</f>
        <v>0</v>
      </c>
      <c r="AK344" s="0" t="n">
        <f aca="false">U344-AC344</f>
        <v>0</v>
      </c>
      <c r="AL344" s="0" t="n">
        <f aca="false">V344-AD344</f>
        <v>0</v>
      </c>
      <c r="AM344" s="0" t="n">
        <f aca="false">W344-AE344</f>
        <v>0</v>
      </c>
      <c r="AN344" s="0" t="n">
        <f aca="false">X344-AF344</f>
        <v>0</v>
      </c>
      <c r="AO344" s="0" t="n">
        <f aca="false">Y344-AG344</f>
        <v>0</v>
      </c>
      <c r="AP344" s="0" t="n">
        <f aca="false">MAX(0,'Debt Payoff'!$D$17-SUM(Z344:AG344))</f>
        <v>805</v>
      </c>
      <c r="AQ344" s="0" t="n">
        <f aca="false">MIN(AH344,MAX(0,$AP344-SUMPRODUCT(($AH$1:$AO$1&lt;AH$1)*$AH344:$AO344)))</f>
        <v>0</v>
      </c>
      <c r="AR344" s="0" t="n">
        <f aca="false">MIN(AI344,MAX(0,$AP344-SUMPRODUCT(($AH$1:$AO$1&lt;AI$1)*$AH344:$AO344)))</f>
        <v>0</v>
      </c>
      <c r="AS344" s="0" t="n">
        <f aca="false">MIN(AJ344,MAX(0,$AP344-SUMPRODUCT(($AH$1:$AO$1&lt;AJ$1)*$AH344:$AO344)))</f>
        <v>0</v>
      </c>
      <c r="AT344" s="0" t="n">
        <f aca="false">MIN(AK344,MAX(0,$AP344-SUMPRODUCT(($AH$1:$AO$1&lt;AK$1)*$AH344:$AO344)))</f>
        <v>0</v>
      </c>
      <c r="AU344" s="0" t="n">
        <f aca="false">MIN(AL344,MAX(0,$AP344-SUMPRODUCT(($AH$1:$AO$1&lt;AL$1)*$AH344:$AO344)))</f>
        <v>0</v>
      </c>
      <c r="AV344" s="0" t="n">
        <f aca="false">MIN(AM344,MAX(0,$AP344-SUMPRODUCT(($AH$1:$AO$1&lt;AM$1)*$AH344:$AO344)))</f>
        <v>0</v>
      </c>
      <c r="AW344" s="0" t="n">
        <f aca="false">MIN(AN344,MAX(0,$AP344-SUMPRODUCT(($AH$1:$AO$1&lt;AN$1)*$AH344:$AO344)))</f>
        <v>0</v>
      </c>
      <c r="AX344" s="0" t="n">
        <f aca="false">MIN(AO344,MAX(0,$AP344-SUMPRODUCT(($AH$1:$AO$1&lt;AO$1)*$AH344:$AO344)))</f>
        <v>0</v>
      </c>
      <c r="AY344" s="0" t="n">
        <f aca="false">ROUND(AH344-AQ344,2)</f>
        <v>0</v>
      </c>
      <c r="AZ344" s="0" t="n">
        <f aca="false">ROUND(AI344-AR344,2)</f>
        <v>0</v>
      </c>
      <c r="BA344" s="0" t="n">
        <f aca="false">ROUND(AJ344-AS344,2)</f>
        <v>0</v>
      </c>
      <c r="BB344" s="0" t="n">
        <f aca="false">ROUND(AK344-AT344,2)</f>
        <v>0</v>
      </c>
      <c r="BC344" s="0" t="n">
        <f aca="false">ROUND(AL344-AU344,2)</f>
        <v>0</v>
      </c>
      <c r="BD344" s="0" t="n">
        <f aca="false">ROUND(AM344-AV344,2)</f>
        <v>0</v>
      </c>
      <c r="BE344" s="0" t="n">
        <f aca="false">ROUND(AN344-AW344,2)</f>
        <v>0</v>
      </c>
      <c r="BF344" s="0" t="n">
        <f aca="false">ROUND(AO344-AX344,2)</f>
        <v>0</v>
      </c>
      <c r="BG344" s="0" t="n">
        <f aca="false">SUM(AY344:BF344)</f>
        <v>0</v>
      </c>
    </row>
    <row r="345" customFormat="false" ht="15" hidden="false" customHeight="false" outlineLevel="0" collapsed="false">
      <c r="A345" s="0" t="n">
        <v>343</v>
      </c>
      <c r="B345" s="0" t="n">
        <f aca="false">AY344</f>
        <v>0</v>
      </c>
      <c r="C345" s="0" t="n">
        <f aca="false">AZ344</f>
        <v>0</v>
      </c>
      <c r="D345" s="0" t="n">
        <f aca="false">BA344</f>
        <v>0</v>
      </c>
      <c r="E345" s="0" t="n">
        <f aca="false">BB344</f>
        <v>0</v>
      </c>
      <c r="F345" s="0" t="n">
        <f aca="false">BC344</f>
        <v>0</v>
      </c>
      <c r="G345" s="0" t="n">
        <f aca="false">BD344</f>
        <v>0</v>
      </c>
      <c r="H345" s="0" t="n">
        <f aca="false">BE344</f>
        <v>0</v>
      </c>
      <c r="I345" s="0" t="n">
        <f aca="false">BF344</f>
        <v>0</v>
      </c>
      <c r="J345" s="0" t="n">
        <f aca="false">B345*N('Debt Payoff'!D9)/12</f>
        <v>0</v>
      </c>
      <c r="K345" s="0" t="n">
        <f aca="false">C345*N('Debt Payoff'!D10)/12</f>
        <v>0</v>
      </c>
      <c r="L345" s="0" t="n">
        <f aca="false">D345*N('Debt Payoff'!D11)/12</f>
        <v>0</v>
      </c>
      <c r="M345" s="0" t="n">
        <f aca="false">E345*N('Debt Payoff'!D12)/12</f>
        <v>0</v>
      </c>
      <c r="N345" s="0" t="n">
        <f aca="false">F345*N('Debt Payoff'!D13)/12</f>
        <v>0</v>
      </c>
      <c r="O345" s="0" t="n">
        <f aca="false">G345*N('Debt Payoff'!D14)/12</f>
        <v>0</v>
      </c>
      <c r="P345" s="0" t="n">
        <f aca="false">H345*N('Debt Payoff'!D15)/12</f>
        <v>0</v>
      </c>
      <c r="Q345" s="0" t="n">
        <f aca="false">I345*N('Debt Payoff'!D16)/12</f>
        <v>0</v>
      </c>
      <c r="R345" s="0" t="n">
        <f aca="false">B345+J345</f>
        <v>0</v>
      </c>
      <c r="S345" s="0" t="n">
        <f aca="false">C345+K345</f>
        <v>0</v>
      </c>
      <c r="T345" s="0" t="n">
        <f aca="false">D345+L345</f>
        <v>0</v>
      </c>
      <c r="U345" s="0" t="n">
        <f aca="false">E345+M345</f>
        <v>0</v>
      </c>
      <c r="V345" s="0" t="n">
        <f aca="false">F345+N345</f>
        <v>0</v>
      </c>
      <c r="W345" s="0" t="n">
        <f aca="false">G345+O345</f>
        <v>0</v>
      </c>
      <c r="X345" s="0" t="n">
        <f aca="false">H345+P345</f>
        <v>0</v>
      </c>
      <c r="Y345" s="0" t="n">
        <f aca="false">I345+Q345</f>
        <v>0</v>
      </c>
      <c r="Z345" s="0" t="n">
        <f aca="false">MIN(R345,N('Debt Payoff'!E9))</f>
        <v>0</v>
      </c>
      <c r="AA345" s="0" t="n">
        <f aca="false">MIN(S345,N('Debt Payoff'!E10))</f>
        <v>0</v>
      </c>
      <c r="AB345" s="0" t="n">
        <f aca="false">MIN(T345,N('Debt Payoff'!E11))</f>
        <v>0</v>
      </c>
      <c r="AC345" s="0" t="n">
        <f aca="false">MIN(U345,N('Debt Payoff'!E12))</f>
        <v>0</v>
      </c>
      <c r="AD345" s="0" t="n">
        <f aca="false">MIN(V345,N('Debt Payoff'!E13))</f>
        <v>0</v>
      </c>
      <c r="AE345" s="0" t="n">
        <f aca="false">MIN(W345,N('Debt Payoff'!E14))</f>
        <v>0</v>
      </c>
      <c r="AF345" s="0" t="n">
        <f aca="false">MIN(X345,N('Debt Payoff'!E15))</f>
        <v>0</v>
      </c>
      <c r="AG345" s="0" t="n">
        <f aca="false">MIN(Y345,N('Debt Payoff'!E16))</f>
        <v>0</v>
      </c>
      <c r="AH345" s="0" t="n">
        <f aca="false">R345-Z345</f>
        <v>0</v>
      </c>
      <c r="AI345" s="0" t="n">
        <f aca="false">S345-AA345</f>
        <v>0</v>
      </c>
      <c r="AJ345" s="0" t="n">
        <f aca="false">T345-AB345</f>
        <v>0</v>
      </c>
      <c r="AK345" s="0" t="n">
        <f aca="false">U345-AC345</f>
        <v>0</v>
      </c>
      <c r="AL345" s="0" t="n">
        <f aca="false">V345-AD345</f>
        <v>0</v>
      </c>
      <c r="AM345" s="0" t="n">
        <f aca="false">W345-AE345</f>
        <v>0</v>
      </c>
      <c r="AN345" s="0" t="n">
        <f aca="false">X345-AF345</f>
        <v>0</v>
      </c>
      <c r="AO345" s="0" t="n">
        <f aca="false">Y345-AG345</f>
        <v>0</v>
      </c>
      <c r="AP345" s="0" t="n">
        <f aca="false">MAX(0,'Debt Payoff'!$D$17-SUM(Z345:AG345))</f>
        <v>805</v>
      </c>
      <c r="AQ345" s="0" t="n">
        <f aca="false">MIN(AH345,MAX(0,$AP345-SUMPRODUCT(($AH$1:$AO$1&lt;AH$1)*$AH345:$AO345)))</f>
        <v>0</v>
      </c>
      <c r="AR345" s="0" t="n">
        <f aca="false">MIN(AI345,MAX(0,$AP345-SUMPRODUCT(($AH$1:$AO$1&lt;AI$1)*$AH345:$AO345)))</f>
        <v>0</v>
      </c>
      <c r="AS345" s="0" t="n">
        <f aca="false">MIN(AJ345,MAX(0,$AP345-SUMPRODUCT(($AH$1:$AO$1&lt;AJ$1)*$AH345:$AO345)))</f>
        <v>0</v>
      </c>
      <c r="AT345" s="0" t="n">
        <f aca="false">MIN(AK345,MAX(0,$AP345-SUMPRODUCT(($AH$1:$AO$1&lt;AK$1)*$AH345:$AO345)))</f>
        <v>0</v>
      </c>
      <c r="AU345" s="0" t="n">
        <f aca="false">MIN(AL345,MAX(0,$AP345-SUMPRODUCT(($AH$1:$AO$1&lt;AL$1)*$AH345:$AO345)))</f>
        <v>0</v>
      </c>
      <c r="AV345" s="0" t="n">
        <f aca="false">MIN(AM345,MAX(0,$AP345-SUMPRODUCT(($AH$1:$AO$1&lt;AM$1)*$AH345:$AO345)))</f>
        <v>0</v>
      </c>
      <c r="AW345" s="0" t="n">
        <f aca="false">MIN(AN345,MAX(0,$AP345-SUMPRODUCT(($AH$1:$AO$1&lt;AN$1)*$AH345:$AO345)))</f>
        <v>0</v>
      </c>
      <c r="AX345" s="0" t="n">
        <f aca="false">MIN(AO345,MAX(0,$AP345-SUMPRODUCT(($AH$1:$AO$1&lt;AO$1)*$AH345:$AO345)))</f>
        <v>0</v>
      </c>
      <c r="AY345" s="0" t="n">
        <f aca="false">ROUND(AH345-AQ345,2)</f>
        <v>0</v>
      </c>
      <c r="AZ345" s="0" t="n">
        <f aca="false">ROUND(AI345-AR345,2)</f>
        <v>0</v>
      </c>
      <c r="BA345" s="0" t="n">
        <f aca="false">ROUND(AJ345-AS345,2)</f>
        <v>0</v>
      </c>
      <c r="BB345" s="0" t="n">
        <f aca="false">ROUND(AK345-AT345,2)</f>
        <v>0</v>
      </c>
      <c r="BC345" s="0" t="n">
        <f aca="false">ROUND(AL345-AU345,2)</f>
        <v>0</v>
      </c>
      <c r="BD345" s="0" t="n">
        <f aca="false">ROUND(AM345-AV345,2)</f>
        <v>0</v>
      </c>
      <c r="BE345" s="0" t="n">
        <f aca="false">ROUND(AN345-AW345,2)</f>
        <v>0</v>
      </c>
      <c r="BF345" s="0" t="n">
        <f aca="false">ROUND(AO345-AX345,2)</f>
        <v>0</v>
      </c>
      <c r="BG345" s="0" t="n">
        <f aca="false">SUM(AY345:BF345)</f>
        <v>0</v>
      </c>
    </row>
    <row r="346" customFormat="false" ht="15" hidden="false" customHeight="false" outlineLevel="0" collapsed="false">
      <c r="A346" s="0" t="n">
        <v>344</v>
      </c>
      <c r="B346" s="0" t="n">
        <f aca="false">AY345</f>
        <v>0</v>
      </c>
      <c r="C346" s="0" t="n">
        <f aca="false">AZ345</f>
        <v>0</v>
      </c>
      <c r="D346" s="0" t="n">
        <f aca="false">BA345</f>
        <v>0</v>
      </c>
      <c r="E346" s="0" t="n">
        <f aca="false">BB345</f>
        <v>0</v>
      </c>
      <c r="F346" s="0" t="n">
        <f aca="false">BC345</f>
        <v>0</v>
      </c>
      <c r="G346" s="0" t="n">
        <f aca="false">BD345</f>
        <v>0</v>
      </c>
      <c r="H346" s="0" t="n">
        <f aca="false">BE345</f>
        <v>0</v>
      </c>
      <c r="I346" s="0" t="n">
        <f aca="false">BF345</f>
        <v>0</v>
      </c>
      <c r="J346" s="0" t="n">
        <f aca="false">B346*N('Debt Payoff'!D9)/12</f>
        <v>0</v>
      </c>
      <c r="K346" s="0" t="n">
        <f aca="false">C346*N('Debt Payoff'!D10)/12</f>
        <v>0</v>
      </c>
      <c r="L346" s="0" t="n">
        <f aca="false">D346*N('Debt Payoff'!D11)/12</f>
        <v>0</v>
      </c>
      <c r="M346" s="0" t="n">
        <f aca="false">E346*N('Debt Payoff'!D12)/12</f>
        <v>0</v>
      </c>
      <c r="N346" s="0" t="n">
        <f aca="false">F346*N('Debt Payoff'!D13)/12</f>
        <v>0</v>
      </c>
      <c r="O346" s="0" t="n">
        <f aca="false">G346*N('Debt Payoff'!D14)/12</f>
        <v>0</v>
      </c>
      <c r="P346" s="0" t="n">
        <f aca="false">H346*N('Debt Payoff'!D15)/12</f>
        <v>0</v>
      </c>
      <c r="Q346" s="0" t="n">
        <f aca="false">I346*N('Debt Payoff'!D16)/12</f>
        <v>0</v>
      </c>
      <c r="R346" s="0" t="n">
        <f aca="false">B346+J346</f>
        <v>0</v>
      </c>
      <c r="S346" s="0" t="n">
        <f aca="false">C346+K346</f>
        <v>0</v>
      </c>
      <c r="T346" s="0" t="n">
        <f aca="false">D346+L346</f>
        <v>0</v>
      </c>
      <c r="U346" s="0" t="n">
        <f aca="false">E346+M346</f>
        <v>0</v>
      </c>
      <c r="V346" s="0" t="n">
        <f aca="false">F346+N346</f>
        <v>0</v>
      </c>
      <c r="W346" s="0" t="n">
        <f aca="false">G346+O346</f>
        <v>0</v>
      </c>
      <c r="X346" s="0" t="n">
        <f aca="false">H346+P346</f>
        <v>0</v>
      </c>
      <c r="Y346" s="0" t="n">
        <f aca="false">I346+Q346</f>
        <v>0</v>
      </c>
      <c r="Z346" s="0" t="n">
        <f aca="false">MIN(R346,N('Debt Payoff'!E9))</f>
        <v>0</v>
      </c>
      <c r="AA346" s="0" t="n">
        <f aca="false">MIN(S346,N('Debt Payoff'!E10))</f>
        <v>0</v>
      </c>
      <c r="AB346" s="0" t="n">
        <f aca="false">MIN(T346,N('Debt Payoff'!E11))</f>
        <v>0</v>
      </c>
      <c r="AC346" s="0" t="n">
        <f aca="false">MIN(U346,N('Debt Payoff'!E12))</f>
        <v>0</v>
      </c>
      <c r="AD346" s="0" t="n">
        <f aca="false">MIN(V346,N('Debt Payoff'!E13))</f>
        <v>0</v>
      </c>
      <c r="AE346" s="0" t="n">
        <f aca="false">MIN(W346,N('Debt Payoff'!E14))</f>
        <v>0</v>
      </c>
      <c r="AF346" s="0" t="n">
        <f aca="false">MIN(X346,N('Debt Payoff'!E15))</f>
        <v>0</v>
      </c>
      <c r="AG346" s="0" t="n">
        <f aca="false">MIN(Y346,N('Debt Payoff'!E16))</f>
        <v>0</v>
      </c>
      <c r="AH346" s="0" t="n">
        <f aca="false">R346-Z346</f>
        <v>0</v>
      </c>
      <c r="AI346" s="0" t="n">
        <f aca="false">S346-AA346</f>
        <v>0</v>
      </c>
      <c r="AJ346" s="0" t="n">
        <f aca="false">T346-AB346</f>
        <v>0</v>
      </c>
      <c r="AK346" s="0" t="n">
        <f aca="false">U346-AC346</f>
        <v>0</v>
      </c>
      <c r="AL346" s="0" t="n">
        <f aca="false">V346-AD346</f>
        <v>0</v>
      </c>
      <c r="AM346" s="0" t="n">
        <f aca="false">W346-AE346</f>
        <v>0</v>
      </c>
      <c r="AN346" s="0" t="n">
        <f aca="false">X346-AF346</f>
        <v>0</v>
      </c>
      <c r="AO346" s="0" t="n">
        <f aca="false">Y346-AG346</f>
        <v>0</v>
      </c>
      <c r="AP346" s="0" t="n">
        <f aca="false">MAX(0,'Debt Payoff'!$D$17-SUM(Z346:AG346))</f>
        <v>805</v>
      </c>
      <c r="AQ346" s="0" t="n">
        <f aca="false">MIN(AH346,MAX(0,$AP346-SUMPRODUCT(($AH$1:$AO$1&lt;AH$1)*$AH346:$AO346)))</f>
        <v>0</v>
      </c>
      <c r="AR346" s="0" t="n">
        <f aca="false">MIN(AI346,MAX(0,$AP346-SUMPRODUCT(($AH$1:$AO$1&lt;AI$1)*$AH346:$AO346)))</f>
        <v>0</v>
      </c>
      <c r="AS346" s="0" t="n">
        <f aca="false">MIN(AJ346,MAX(0,$AP346-SUMPRODUCT(($AH$1:$AO$1&lt;AJ$1)*$AH346:$AO346)))</f>
        <v>0</v>
      </c>
      <c r="AT346" s="0" t="n">
        <f aca="false">MIN(AK346,MAX(0,$AP346-SUMPRODUCT(($AH$1:$AO$1&lt;AK$1)*$AH346:$AO346)))</f>
        <v>0</v>
      </c>
      <c r="AU346" s="0" t="n">
        <f aca="false">MIN(AL346,MAX(0,$AP346-SUMPRODUCT(($AH$1:$AO$1&lt;AL$1)*$AH346:$AO346)))</f>
        <v>0</v>
      </c>
      <c r="AV346" s="0" t="n">
        <f aca="false">MIN(AM346,MAX(0,$AP346-SUMPRODUCT(($AH$1:$AO$1&lt;AM$1)*$AH346:$AO346)))</f>
        <v>0</v>
      </c>
      <c r="AW346" s="0" t="n">
        <f aca="false">MIN(AN346,MAX(0,$AP346-SUMPRODUCT(($AH$1:$AO$1&lt;AN$1)*$AH346:$AO346)))</f>
        <v>0</v>
      </c>
      <c r="AX346" s="0" t="n">
        <f aca="false">MIN(AO346,MAX(0,$AP346-SUMPRODUCT(($AH$1:$AO$1&lt;AO$1)*$AH346:$AO346)))</f>
        <v>0</v>
      </c>
      <c r="AY346" s="0" t="n">
        <f aca="false">ROUND(AH346-AQ346,2)</f>
        <v>0</v>
      </c>
      <c r="AZ346" s="0" t="n">
        <f aca="false">ROUND(AI346-AR346,2)</f>
        <v>0</v>
      </c>
      <c r="BA346" s="0" t="n">
        <f aca="false">ROUND(AJ346-AS346,2)</f>
        <v>0</v>
      </c>
      <c r="BB346" s="0" t="n">
        <f aca="false">ROUND(AK346-AT346,2)</f>
        <v>0</v>
      </c>
      <c r="BC346" s="0" t="n">
        <f aca="false">ROUND(AL346-AU346,2)</f>
        <v>0</v>
      </c>
      <c r="BD346" s="0" t="n">
        <f aca="false">ROUND(AM346-AV346,2)</f>
        <v>0</v>
      </c>
      <c r="BE346" s="0" t="n">
        <f aca="false">ROUND(AN346-AW346,2)</f>
        <v>0</v>
      </c>
      <c r="BF346" s="0" t="n">
        <f aca="false">ROUND(AO346-AX346,2)</f>
        <v>0</v>
      </c>
      <c r="BG346" s="0" t="n">
        <f aca="false">SUM(AY346:BF346)</f>
        <v>0</v>
      </c>
    </row>
    <row r="347" customFormat="false" ht="15" hidden="false" customHeight="false" outlineLevel="0" collapsed="false">
      <c r="A347" s="0" t="n">
        <v>345</v>
      </c>
      <c r="B347" s="0" t="n">
        <f aca="false">AY346</f>
        <v>0</v>
      </c>
      <c r="C347" s="0" t="n">
        <f aca="false">AZ346</f>
        <v>0</v>
      </c>
      <c r="D347" s="0" t="n">
        <f aca="false">BA346</f>
        <v>0</v>
      </c>
      <c r="E347" s="0" t="n">
        <f aca="false">BB346</f>
        <v>0</v>
      </c>
      <c r="F347" s="0" t="n">
        <f aca="false">BC346</f>
        <v>0</v>
      </c>
      <c r="G347" s="0" t="n">
        <f aca="false">BD346</f>
        <v>0</v>
      </c>
      <c r="H347" s="0" t="n">
        <f aca="false">BE346</f>
        <v>0</v>
      </c>
      <c r="I347" s="0" t="n">
        <f aca="false">BF346</f>
        <v>0</v>
      </c>
      <c r="J347" s="0" t="n">
        <f aca="false">B347*N('Debt Payoff'!D9)/12</f>
        <v>0</v>
      </c>
      <c r="K347" s="0" t="n">
        <f aca="false">C347*N('Debt Payoff'!D10)/12</f>
        <v>0</v>
      </c>
      <c r="L347" s="0" t="n">
        <f aca="false">D347*N('Debt Payoff'!D11)/12</f>
        <v>0</v>
      </c>
      <c r="M347" s="0" t="n">
        <f aca="false">E347*N('Debt Payoff'!D12)/12</f>
        <v>0</v>
      </c>
      <c r="N347" s="0" t="n">
        <f aca="false">F347*N('Debt Payoff'!D13)/12</f>
        <v>0</v>
      </c>
      <c r="O347" s="0" t="n">
        <f aca="false">G347*N('Debt Payoff'!D14)/12</f>
        <v>0</v>
      </c>
      <c r="P347" s="0" t="n">
        <f aca="false">H347*N('Debt Payoff'!D15)/12</f>
        <v>0</v>
      </c>
      <c r="Q347" s="0" t="n">
        <f aca="false">I347*N('Debt Payoff'!D16)/12</f>
        <v>0</v>
      </c>
      <c r="R347" s="0" t="n">
        <f aca="false">B347+J347</f>
        <v>0</v>
      </c>
      <c r="S347" s="0" t="n">
        <f aca="false">C347+K347</f>
        <v>0</v>
      </c>
      <c r="T347" s="0" t="n">
        <f aca="false">D347+L347</f>
        <v>0</v>
      </c>
      <c r="U347" s="0" t="n">
        <f aca="false">E347+M347</f>
        <v>0</v>
      </c>
      <c r="V347" s="0" t="n">
        <f aca="false">F347+N347</f>
        <v>0</v>
      </c>
      <c r="W347" s="0" t="n">
        <f aca="false">G347+O347</f>
        <v>0</v>
      </c>
      <c r="X347" s="0" t="n">
        <f aca="false">H347+P347</f>
        <v>0</v>
      </c>
      <c r="Y347" s="0" t="n">
        <f aca="false">I347+Q347</f>
        <v>0</v>
      </c>
      <c r="Z347" s="0" t="n">
        <f aca="false">MIN(R347,N('Debt Payoff'!E9))</f>
        <v>0</v>
      </c>
      <c r="AA347" s="0" t="n">
        <f aca="false">MIN(S347,N('Debt Payoff'!E10))</f>
        <v>0</v>
      </c>
      <c r="AB347" s="0" t="n">
        <f aca="false">MIN(T347,N('Debt Payoff'!E11))</f>
        <v>0</v>
      </c>
      <c r="AC347" s="0" t="n">
        <f aca="false">MIN(U347,N('Debt Payoff'!E12))</f>
        <v>0</v>
      </c>
      <c r="AD347" s="0" t="n">
        <f aca="false">MIN(V347,N('Debt Payoff'!E13))</f>
        <v>0</v>
      </c>
      <c r="AE347" s="0" t="n">
        <f aca="false">MIN(W347,N('Debt Payoff'!E14))</f>
        <v>0</v>
      </c>
      <c r="AF347" s="0" t="n">
        <f aca="false">MIN(X347,N('Debt Payoff'!E15))</f>
        <v>0</v>
      </c>
      <c r="AG347" s="0" t="n">
        <f aca="false">MIN(Y347,N('Debt Payoff'!E16))</f>
        <v>0</v>
      </c>
      <c r="AH347" s="0" t="n">
        <f aca="false">R347-Z347</f>
        <v>0</v>
      </c>
      <c r="AI347" s="0" t="n">
        <f aca="false">S347-AA347</f>
        <v>0</v>
      </c>
      <c r="AJ347" s="0" t="n">
        <f aca="false">T347-AB347</f>
        <v>0</v>
      </c>
      <c r="AK347" s="0" t="n">
        <f aca="false">U347-AC347</f>
        <v>0</v>
      </c>
      <c r="AL347" s="0" t="n">
        <f aca="false">V347-AD347</f>
        <v>0</v>
      </c>
      <c r="AM347" s="0" t="n">
        <f aca="false">W347-AE347</f>
        <v>0</v>
      </c>
      <c r="AN347" s="0" t="n">
        <f aca="false">X347-AF347</f>
        <v>0</v>
      </c>
      <c r="AO347" s="0" t="n">
        <f aca="false">Y347-AG347</f>
        <v>0</v>
      </c>
      <c r="AP347" s="0" t="n">
        <f aca="false">MAX(0,'Debt Payoff'!$D$17-SUM(Z347:AG347))</f>
        <v>805</v>
      </c>
      <c r="AQ347" s="0" t="n">
        <f aca="false">MIN(AH347,MAX(0,$AP347-SUMPRODUCT(($AH$1:$AO$1&lt;AH$1)*$AH347:$AO347)))</f>
        <v>0</v>
      </c>
      <c r="AR347" s="0" t="n">
        <f aca="false">MIN(AI347,MAX(0,$AP347-SUMPRODUCT(($AH$1:$AO$1&lt;AI$1)*$AH347:$AO347)))</f>
        <v>0</v>
      </c>
      <c r="AS347" s="0" t="n">
        <f aca="false">MIN(AJ347,MAX(0,$AP347-SUMPRODUCT(($AH$1:$AO$1&lt;AJ$1)*$AH347:$AO347)))</f>
        <v>0</v>
      </c>
      <c r="AT347" s="0" t="n">
        <f aca="false">MIN(AK347,MAX(0,$AP347-SUMPRODUCT(($AH$1:$AO$1&lt;AK$1)*$AH347:$AO347)))</f>
        <v>0</v>
      </c>
      <c r="AU347" s="0" t="n">
        <f aca="false">MIN(AL347,MAX(0,$AP347-SUMPRODUCT(($AH$1:$AO$1&lt;AL$1)*$AH347:$AO347)))</f>
        <v>0</v>
      </c>
      <c r="AV347" s="0" t="n">
        <f aca="false">MIN(AM347,MAX(0,$AP347-SUMPRODUCT(($AH$1:$AO$1&lt;AM$1)*$AH347:$AO347)))</f>
        <v>0</v>
      </c>
      <c r="AW347" s="0" t="n">
        <f aca="false">MIN(AN347,MAX(0,$AP347-SUMPRODUCT(($AH$1:$AO$1&lt;AN$1)*$AH347:$AO347)))</f>
        <v>0</v>
      </c>
      <c r="AX347" s="0" t="n">
        <f aca="false">MIN(AO347,MAX(0,$AP347-SUMPRODUCT(($AH$1:$AO$1&lt;AO$1)*$AH347:$AO347)))</f>
        <v>0</v>
      </c>
      <c r="AY347" s="0" t="n">
        <f aca="false">ROUND(AH347-AQ347,2)</f>
        <v>0</v>
      </c>
      <c r="AZ347" s="0" t="n">
        <f aca="false">ROUND(AI347-AR347,2)</f>
        <v>0</v>
      </c>
      <c r="BA347" s="0" t="n">
        <f aca="false">ROUND(AJ347-AS347,2)</f>
        <v>0</v>
      </c>
      <c r="BB347" s="0" t="n">
        <f aca="false">ROUND(AK347-AT347,2)</f>
        <v>0</v>
      </c>
      <c r="BC347" s="0" t="n">
        <f aca="false">ROUND(AL347-AU347,2)</f>
        <v>0</v>
      </c>
      <c r="BD347" s="0" t="n">
        <f aca="false">ROUND(AM347-AV347,2)</f>
        <v>0</v>
      </c>
      <c r="BE347" s="0" t="n">
        <f aca="false">ROUND(AN347-AW347,2)</f>
        <v>0</v>
      </c>
      <c r="BF347" s="0" t="n">
        <f aca="false">ROUND(AO347-AX347,2)</f>
        <v>0</v>
      </c>
      <c r="BG347" s="0" t="n">
        <f aca="false">SUM(AY347:BF347)</f>
        <v>0</v>
      </c>
    </row>
    <row r="348" customFormat="false" ht="15" hidden="false" customHeight="false" outlineLevel="0" collapsed="false">
      <c r="A348" s="0" t="n">
        <v>346</v>
      </c>
      <c r="B348" s="0" t="n">
        <f aca="false">AY347</f>
        <v>0</v>
      </c>
      <c r="C348" s="0" t="n">
        <f aca="false">AZ347</f>
        <v>0</v>
      </c>
      <c r="D348" s="0" t="n">
        <f aca="false">BA347</f>
        <v>0</v>
      </c>
      <c r="E348" s="0" t="n">
        <f aca="false">BB347</f>
        <v>0</v>
      </c>
      <c r="F348" s="0" t="n">
        <f aca="false">BC347</f>
        <v>0</v>
      </c>
      <c r="G348" s="0" t="n">
        <f aca="false">BD347</f>
        <v>0</v>
      </c>
      <c r="H348" s="0" t="n">
        <f aca="false">BE347</f>
        <v>0</v>
      </c>
      <c r="I348" s="0" t="n">
        <f aca="false">BF347</f>
        <v>0</v>
      </c>
      <c r="J348" s="0" t="n">
        <f aca="false">B348*N('Debt Payoff'!D9)/12</f>
        <v>0</v>
      </c>
      <c r="K348" s="0" t="n">
        <f aca="false">C348*N('Debt Payoff'!D10)/12</f>
        <v>0</v>
      </c>
      <c r="L348" s="0" t="n">
        <f aca="false">D348*N('Debt Payoff'!D11)/12</f>
        <v>0</v>
      </c>
      <c r="M348" s="0" t="n">
        <f aca="false">E348*N('Debt Payoff'!D12)/12</f>
        <v>0</v>
      </c>
      <c r="N348" s="0" t="n">
        <f aca="false">F348*N('Debt Payoff'!D13)/12</f>
        <v>0</v>
      </c>
      <c r="O348" s="0" t="n">
        <f aca="false">G348*N('Debt Payoff'!D14)/12</f>
        <v>0</v>
      </c>
      <c r="P348" s="0" t="n">
        <f aca="false">H348*N('Debt Payoff'!D15)/12</f>
        <v>0</v>
      </c>
      <c r="Q348" s="0" t="n">
        <f aca="false">I348*N('Debt Payoff'!D16)/12</f>
        <v>0</v>
      </c>
      <c r="R348" s="0" t="n">
        <f aca="false">B348+J348</f>
        <v>0</v>
      </c>
      <c r="S348" s="0" t="n">
        <f aca="false">C348+K348</f>
        <v>0</v>
      </c>
      <c r="T348" s="0" t="n">
        <f aca="false">D348+L348</f>
        <v>0</v>
      </c>
      <c r="U348" s="0" t="n">
        <f aca="false">E348+M348</f>
        <v>0</v>
      </c>
      <c r="V348" s="0" t="n">
        <f aca="false">F348+N348</f>
        <v>0</v>
      </c>
      <c r="W348" s="0" t="n">
        <f aca="false">G348+O348</f>
        <v>0</v>
      </c>
      <c r="X348" s="0" t="n">
        <f aca="false">H348+P348</f>
        <v>0</v>
      </c>
      <c r="Y348" s="0" t="n">
        <f aca="false">I348+Q348</f>
        <v>0</v>
      </c>
      <c r="Z348" s="0" t="n">
        <f aca="false">MIN(R348,N('Debt Payoff'!E9))</f>
        <v>0</v>
      </c>
      <c r="AA348" s="0" t="n">
        <f aca="false">MIN(S348,N('Debt Payoff'!E10))</f>
        <v>0</v>
      </c>
      <c r="AB348" s="0" t="n">
        <f aca="false">MIN(T348,N('Debt Payoff'!E11))</f>
        <v>0</v>
      </c>
      <c r="AC348" s="0" t="n">
        <f aca="false">MIN(U348,N('Debt Payoff'!E12))</f>
        <v>0</v>
      </c>
      <c r="AD348" s="0" t="n">
        <f aca="false">MIN(V348,N('Debt Payoff'!E13))</f>
        <v>0</v>
      </c>
      <c r="AE348" s="0" t="n">
        <f aca="false">MIN(W348,N('Debt Payoff'!E14))</f>
        <v>0</v>
      </c>
      <c r="AF348" s="0" t="n">
        <f aca="false">MIN(X348,N('Debt Payoff'!E15))</f>
        <v>0</v>
      </c>
      <c r="AG348" s="0" t="n">
        <f aca="false">MIN(Y348,N('Debt Payoff'!E16))</f>
        <v>0</v>
      </c>
      <c r="AH348" s="0" t="n">
        <f aca="false">R348-Z348</f>
        <v>0</v>
      </c>
      <c r="AI348" s="0" t="n">
        <f aca="false">S348-AA348</f>
        <v>0</v>
      </c>
      <c r="AJ348" s="0" t="n">
        <f aca="false">T348-AB348</f>
        <v>0</v>
      </c>
      <c r="AK348" s="0" t="n">
        <f aca="false">U348-AC348</f>
        <v>0</v>
      </c>
      <c r="AL348" s="0" t="n">
        <f aca="false">V348-AD348</f>
        <v>0</v>
      </c>
      <c r="AM348" s="0" t="n">
        <f aca="false">W348-AE348</f>
        <v>0</v>
      </c>
      <c r="AN348" s="0" t="n">
        <f aca="false">X348-AF348</f>
        <v>0</v>
      </c>
      <c r="AO348" s="0" t="n">
        <f aca="false">Y348-AG348</f>
        <v>0</v>
      </c>
      <c r="AP348" s="0" t="n">
        <f aca="false">MAX(0,'Debt Payoff'!$D$17-SUM(Z348:AG348))</f>
        <v>805</v>
      </c>
      <c r="AQ348" s="0" t="n">
        <f aca="false">MIN(AH348,MAX(0,$AP348-SUMPRODUCT(($AH$1:$AO$1&lt;AH$1)*$AH348:$AO348)))</f>
        <v>0</v>
      </c>
      <c r="AR348" s="0" t="n">
        <f aca="false">MIN(AI348,MAX(0,$AP348-SUMPRODUCT(($AH$1:$AO$1&lt;AI$1)*$AH348:$AO348)))</f>
        <v>0</v>
      </c>
      <c r="AS348" s="0" t="n">
        <f aca="false">MIN(AJ348,MAX(0,$AP348-SUMPRODUCT(($AH$1:$AO$1&lt;AJ$1)*$AH348:$AO348)))</f>
        <v>0</v>
      </c>
      <c r="AT348" s="0" t="n">
        <f aca="false">MIN(AK348,MAX(0,$AP348-SUMPRODUCT(($AH$1:$AO$1&lt;AK$1)*$AH348:$AO348)))</f>
        <v>0</v>
      </c>
      <c r="AU348" s="0" t="n">
        <f aca="false">MIN(AL348,MAX(0,$AP348-SUMPRODUCT(($AH$1:$AO$1&lt;AL$1)*$AH348:$AO348)))</f>
        <v>0</v>
      </c>
      <c r="AV348" s="0" t="n">
        <f aca="false">MIN(AM348,MAX(0,$AP348-SUMPRODUCT(($AH$1:$AO$1&lt;AM$1)*$AH348:$AO348)))</f>
        <v>0</v>
      </c>
      <c r="AW348" s="0" t="n">
        <f aca="false">MIN(AN348,MAX(0,$AP348-SUMPRODUCT(($AH$1:$AO$1&lt;AN$1)*$AH348:$AO348)))</f>
        <v>0</v>
      </c>
      <c r="AX348" s="0" t="n">
        <f aca="false">MIN(AO348,MAX(0,$AP348-SUMPRODUCT(($AH$1:$AO$1&lt;AO$1)*$AH348:$AO348)))</f>
        <v>0</v>
      </c>
      <c r="AY348" s="0" t="n">
        <f aca="false">ROUND(AH348-AQ348,2)</f>
        <v>0</v>
      </c>
      <c r="AZ348" s="0" t="n">
        <f aca="false">ROUND(AI348-AR348,2)</f>
        <v>0</v>
      </c>
      <c r="BA348" s="0" t="n">
        <f aca="false">ROUND(AJ348-AS348,2)</f>
        <v>0</v>
      </c>
      <c r="BB348" s="0" t="n">
        <f aca="false">ROUND(AK348-AT348,2)</f>
        <v>0</v>
      </c>
      <c r="BC348" s="0" t="n">
        <f aca="false">ROUND(AL348-AU348,2)</f>
        <v>0</v>
      </c>
      <c r="BD348" s="0" t="n">
        <f aca="false">ROUND(AM348-AV348,2)</f>
        <v>0</v>
      </c>
      <c r="BE348" s="0" t="n">
        <f aca="false">ROUND(AN348-AW348,2)</f>
        <v>0</v>
      </c>
      <c r="BF348" s="0" t="n">
        <f aca="false">ROUND(AO348-AX348,2)</f>
        <v>0</v>
      </c>
      <c r="BG348" s="0" t="n">
        <f aca="false">SUM(AY348:BF348)</f>
        <v>0</v>
      </c>
    </row>
    <row r="349" customFormat="false" ht="15" hidden="false" customHeight="false" outlineLevel="0" collapsed="false">
      <c r="A349" s="0" t="n">
        <v>347</v>
      </c>
      <c r="B349" s="0" t="n">
        <f aca="false">AY348</f>
        <v>0</v>
      </c>
      <c r="C349" s="0" t="n">
        <f aca="false">AZ348</f>
        <v>0</v>
      </c>
      <c r="D349" s="0" t="n">
        <f aca="false">BA348</f>
        <v>0</v>
      </c>
      <c r="E349" s="0" t="n">
        <f aca="false">BB348</f>
        <v>0</v>
      </c>
      <c r="F349" s="0" t="n">
        <f aca="false">BC348</f>
        <v>0</v>
      </c>
      <c r="G349" s="0" t="n">
        <f aca="false">BD348</f>
        <v>0</v>
      </c>
      <c r="H349" s="0" t="n">
        <f aca="false">BE348</f>
        <v>0</v>
      </c>
      <c r="I349" s="0" t="n">
        <f aca="false">BF348</f>
        <v>0</v>
      </c>
      <c r="J349" s="0" t="n">
        <f aca="false">B349*N('Debt Payoff'!D9)/12</f>
        <v>0</v>
      </c>
      <c r="K349" s="0" t="n">
        <f aca="false">C349*N('Debt Payoff'!D10)/12</f>
        <v>0</v>
      </c>
      <c r="L349" s="0" t="n">
        <f aca="false">D349*N('Debt Payoff'!D11)/12</f>
        <v>0</v>
      </c>
      <c r="M349" s="0" t="n">
        <f aca="false">E349*N('Debt Payoff'!D12)/12</f>
        <v>0</v>
      </c>
      <c r="N349" s="0" t="n">
        <f aca="false">F349*N('Debt Payoff'!D13)/12</f>
        <v>0</v>
      </c>
      <c r="O349" s="0" t="n">
        <f aca="false">G349*N('Debt Payoff'!D14)/12</f>
        <v>0</v>
      </c>
      <c r="P349" s="0" t="n">
        <f aca="false">H349*N('Debt Payoff'!D15)/12</f>
        <v>0</v>
      </c>
      <c r="Q349" s="0" t="n">
        <f aca="false">I349*N('Debt Payoff'!D16)/12</f>
        <v>0</v>
      </c>
      <c r="R349" s="0" t="n">
        <f aca="false">B349+J349</f>
        <v>0</v>
      </c>
      <c r="S349" s="0" t="n">
        <f aca="false">C349+K349</f>
        <v>0</v>
      </c>
      <c r="T349" s="0" t="n">
        <f aca="false">D349+L349</f>
        <v>0</v>
      </c>
      <c r="U349" s="0" t="n">
        <f aca="false">E349+M349</f>
        <v>0</v>
      </c>
      <c r="V349" s="0" t="n">
        <f aca="false">F349+N349</f>
        <v>0</v>
      </c>
      <c r="W349" s="0" t="n">
        <f aca="false">G349+O349</f>
        <v>0</v>
      </c>
      <c r="X349" s="0" t="n">
        <f aca="false">H349+P349</f>
        <v>0</v>
      </c>
      <c r="Y349" s="0" t="n">
        <f aca="false">I349+Q349</f>
        <v>0</v>
      </c>
      <c r="Z349" s="0" t="n">
        <f aca="false">MIN(R349,N('Debt Payoff'!E9))</f>
        <v>0</v>
      </c>
      <c r="AA349" s="0" t="n">
        <f aca="false">MIN(S349,N('Debt Payoff'!E10))</f>
        <v>0</v>
      </c>
      <c r="AB349" s="0" t="n">
        <f aca="false">MIN(T349,N('Debt Payoff'!E11))</f>
        <v>0</v>
      </c>
      <c r="AC349" s="0" t="n">
        <f aca="false">MIN(U349,N('Debt Payoff'!E12))</f>
        <v>0</v>
      </c>
      <c r="AD349" s="0" t="n">
        <f aca="false">MIN(V349,N('Debt Payoff'!E13))</f>
        <v>0</v>
      </c>
      <c r="AE349" s="0" t="n">
        <f aca="false">MIN(W349,N('Debt Payoff'!E14))</f>
        <v>0</v>
      </c>
      <c r="AF349" s="0" t="n">
        <f aca="false">MIN(X349,N('Debt Payoff'!E15))</f>
        <v>0</v>
      </c>
      <c r="AG349" s="0" t="n">
        <f aca="false">MIN(Y349,N('Debt Payoff'!E16))</f>
        <v>0</v>
      </c>
      <c r="AH349" s="0" t="n">
        <f aca="false">R349-Z349</f>
        <v>0</v>
      </c>
      <c r="AI349" s="0" t="n">
        <f aca="false">S349-AA349</f>
        <v>0</v>
      </c>
      <c r="AJ349" s="0" t="n">
        <f aca="false">T349-AB349</f>
        <v>0</v>
      </c>
      <c r="AK349" s="0" t="n">
        <f aca="false">U349-AC349</f>
        <v>0</v>
      </c>
      <c r="AL349" s="0" t="n">
        <f aca="false">V349-AD349</f>
        <v>0</v>
      </c>
      <c r="AM349" s="0" t="n">
        <f aca="false">W349-AE349</f>
        <v>0</v>
      </c>
      <c r="AN349" s="0" t="n">
        <f aca="false">X349-AF349</f>
        <v>0</v>
      </c>
      <c r="AO349" s="0" t="n">
        <f aca="false">Y349-AG349</f>
        <v>0</v>
      </c>
      <c r="AP349" s="0" t="n">
        <f aca="false">MAX(0,'Debt Payoff'!$D$17-SUM(Z349:AG349))</f>
        <v>805</v>
      </c>
      <c r="AQ349" s="0" t="n">
        <f aca="false">MIN(AH349,MAX(0,$AP349-SUMPRODUCT(($AH$1:$AO$1&lt;AH$1)*$AH349:$AO349)))</f>
        <v>0</v>
      </c>
      <c r="AR349" s="0" t="n">
        <f aca="false">MIN(AI349,MAX(0,$AP349-SUMPRODUCT(($AH$1:$AO$1&lt;AI$1)*$AH349:$AO349)))</f>
        <v>0</v>
      </c>
      <c r="AS349" s="0" t="n">
        <f aca="false">MIN(AJ349,MAX(0,$AP349-SUMPRODUCT(($AH$1:$AO$1&lt;AJ$1)*$AH349:$AO349)))</f>
        <v>0</v>
      </c>
      <c r="AT349" s="0" t="n">
        <f aca="false">MIN(AK349,MAX(0,$AP349-SUMPRODUCT(($AH$1:$AO$1&lt;AK$1)*$AH349:$AO349)))</f>
        <v>0</v>
      </c>
      <c r="AU349" s="0" t="n">
        <f aca="false">MIN(AL349,MAX(0,$AP349-SUMPRODUCT(($AH$1:$AO$1&lt;AL$1)*$AH349:$AO349)))</f>
        <v>0</v>
      </c>
      <c r="AV349" s="0" t="n">
        <f aca="false">MIN(AM349,MAX(0,$AP349-SUMPRODUCT(($AH$1:$AO$1&lt;AM$1)*$AH349:$AO349)))</f>
        <v>0</v>
      </c>
      <c r="AW349" s="0" t="n">
        <f aca="false">MIN(AN349,MAX(0,$AP349-SUMPRODUCT(($AH$1:$AO$1&lt;AN$1)*$AH349:$AO349)))</f>
        <v>0</v>
      </c>
      <c r="AX349" s="0" t="n">
        <f aca="false">MIN(AO349,MAX(0,$AP349-SUMPRODUCT(($AH$1:$AO$1&lt;AO$1)*$AH349:$AO349)))</f>
        <v>0</v>
      </c>
      <c r="AY349" s="0" t="n">
        <f aca="false">ROUND(AH349-AQ349,2)</f>
        <v>0</v>
      </c>
      <c r="AZ349" s="0" t="n">
        <f aca="false">ROUND(AI349-AR349,2)</f>
        <v>0</v>
      </c>
      <c r="BA349" s="0" t="n">
        <f aca="false">ROUND(AJ349-AS349,2)</f>
        <v>0</v>
      </c>
      <c r="BB349" s="0" t="n">
        <f aca="false">ROUND(AK349-AT349,2)</f>
        <v>0</v>
      </c>
      <c r="BC349" s="0" t="n">
        <f aca="false">ROUND(AL349-AU349,2)</f>
        <v>0</v>
      </c>
      <c r="BD349" s="0" t="n">
        <f aca="false">ROUND(AM349-AV349,2)</f>
        <v>0</v>
      </c>
      <c r="BE349" s="0" t="n">
        <f aca="false">ROUND(AN349-AW349,2)</f>
        <v>0</v>
      </c>
      <c r="BF349" s="0" t="n">
        <f aca="false">ROUND(AO349-AX349,2)</f>
        <v>0</v>
      </c>
      <c r="BG349" s="0" t="n">
        <f aca="false">SUM(AY349:BF349)</f>
        <v>0</v>
      </c>
    </row>
    <row r="350" customFormat="false" ht="15" hidden="false" customHeight="false" outlineLevel="0" collapsed="false">
      <c r="A350" s="0" t="n">
        <v>348</v>
      </c>
      <c r="B350" s="0" t="n">
        <f aca="false">AY349</f>
        <v>0</v>
      </c>
      <c r="C350" s="0" t="n">
        <f aca="false">AZ349</f>
        <v>0</v>
      </c>
      <c r="D350" s="0" t="n">
        <f aca="false">BA349</f>
        <v>0</v>
      </c>
      <c r="E350" s="0" t="n">
        <f aca="false">BB349</f>
        <v>0</v>
      </c>
      <c r="F350" s="0" t="n">
        <f aca="false">BC349</f>
        <v>0</v>
      </c>
      <c r="G350" s="0" t="n">
        <f aca="false">BD349</f>
        <v>0</v>
      </c>
      <c r="H350" s="0" t="n">
        <f aca="false">BE349</f>
        <v>0</v>
      </c>
      <c r="I350" s="0" t="n">
        <f aca="false">BF349</f>
        <v>0</v>
      </c>
      <c r="J350" s="0" t="n">
        <f aca="false">B350*N('Debt Payoff'!D9)/12</f>
        <v>0</v>
      </c>
      <c r="K350" s="0" t="n">
        <f aca="false">C350*N('Debt Payoff'!D10)/12</f>
        <v>0</v>
      </c>
      <c r="L350" s="0" t="n">
        <f aca="false">D350*N('Debt Payoff'!D11)/12</f>
        <v>0</v>
      </c>
      <c r="M350" s="0" t="n">
        <f aca="false">E350*N('Debt Payoff'!D12)/12</f>
        <v>0</v>
      </c>
      <c r="N350" s="0" t="n">
        <f aca="false">F350*N('Debt Payoff'!D13)/12</f>
        <v>0</v>
      </c>
      <c r="O350" s="0" t="n">
        <f aca="false">G350*N('Debt Payoff'!D14)/12</f>
        <v>0</v>
      </c>
      <c r="P350" s="0" t="n">
        <f aca="false">H350*N('Debt Payoff'!D15)/12</f>
        <v>0</v>
      </c>
      <c r="Q350" s="0" t="n">
        <f aca="false">I350*N('Debt Payoff'!D16)/12</f>
        <v>0</v>
      </c>
      <c r="R350" s="0" t="n">
        <f aca="false">B350+J350</f>
        <v>0</v>
      </c>
      <c r="S350" s="0" t="n">
        <f aca="false">C350+K350</f>
        <v>0</v>
      </c>
      <c r="T350" s="0" t="n">
        <f aca="false">D350+L350</f>
        <v>0</v>
      </c>
      <c r="U350" s="0" t="n">
        <f aca="false">E350+M350</f>
        <v>0</v>
      </c>
      <c r="V350" s="0" t="n">
        <f aca="false">F350+N350</f>
        <v>0</v>
      </c>
      <c r="W350" s="0" t="n">
        <f aca="false">G350+O350</f>
        <v>0</v>
      </c>
      <c r="X350" s="0" t="n">
        <f aca="false">H350+P350</f>
        <v>0</v>
      </c>
      <c r="Y350" s="0" t="n">
        <f aca="false">I350+Q350</f>
        <v>0</v>
      </c>
      <c r="Z350" s="0" t="n">
        <f aca="false">MIN(R350,N('Debt Payoff'!E9))</f>
        <v>0</v>
      </c>
      <c r="AA350" s="0" t="n">
        <f aca="false">MIN(S350,N('Debt Payoff'!E10))</f>
        <v>0</v>
      </c>
      <c r="AB350" s="0" t="n">
        <f aca="false">MIN(T350,N('Debt Payoff'!E11))</f>
        <v>0</v>
      </c>
      <c r="AC350" s="0" t="n">
        <f aca="false">MIN(U350,N('Debt Payoff'!E12))</f>
        <v>0</v>
      </c>
      <c r="AD350" s="0" t="n">
        <f aca="false">MIN(V350,N('Debt Payoff'!E13))</f>
        <v>0</v>
      </c>
      <c r="AE350" s="0" t="n">
        <f aca="false">MIN(W350,N('Debt Payoff'!E14))</f>
        <v>0</v>
      </c>
      <c r="AF350" s="0" t="n">
        <f aca="false">MIN(X350,N('Debt Payoff'!E15))</f>
        <v>0</v>
      </c>
      <c r="AG350" s="0" t="n">
        <f aca="false">MIN(Y350,N('Debt Payoff'!E16))</f>
        <v>0</v>
      </c>
      <c r="AH350" s="0" t="n">
        <f aca="false">R350-Z350</f>
        <v>0</v>
      </c>
      <c r="AI350" s="0" t="n">
        <f aca="false">S350-AA350</f>
        <v>0</v>
      </c>
      <c r="AJ350" s="0" t="n">
        <f aca="false">T350-AB350</f>
        <v>0</v>
      </c>
      <c r="AK350" s="0" t="n">
        <f aca="false">U350-AC350</f>
        <v>0</v>
      </c>
      <c r="AL350" s="0" t="n">
        <f aca="false">V350-AD350</f>
        <v>0</v>
      </c>
      <c r="AM350" s="0" t="n">
        <f aca="false">W350-AE350</f>
        <v>0</v>
      </c>
      <c r="AN350" s="0" t="n">
        <f aca="false">X350-AF350</f>
        <v>0</v>
      </c>
      <c r="AO350" s="0" t="n">
        <f aca="false">Y350-AG350</f>
        <v>0</v>
      </c>
      <c r="AP350" s="0" t="n">
        <f aca="false">MAX(0,'Debt Payoff'!$D$17-SUM(Z350:AG350))</f>
        <v>805</v>
      </c>
      <c r="AQ350" s="0" t="n">
        <f aca="false">MIN(AH350,MAX(0,$AP350-SUMPRODUCT(($AH$1:$AO$1&lt;AH$1)*$AH350:$AO350)))</f>
        <v>0</v>
      </c>
      <c r="AR350" s="0" t="n">
        <f aca="false">MIN(AI350,MAX(0,$AP350-SUMPRODUCT(($AH$1:$AO$1&lt;AI$1)*$AH350:$AO350)))</f>
        <v>0</v>
      </c>
      <c r="AS350" s="0" t="n">
        <f aca="false">MIN(AJ350,MAX(0,$AP350-SUMPRODUCT(($AH$1:$AO$1&lt;AJ$1)*$AH350:$AO350)))</f>
        <v>0</v>
      </c>
      <c r="AT350" s="0" t="n">
        <f aca="false">MIN(AK350,MAX(0,$AP350-SUMPRODUCT(($AH$1:$AO$1&lt;AK$1)*$AH350:$AO350)))</f>
        <v>0</v>
      </c>
      <c r="AU350" s="0" t="n">
        <f aca="false">MIN(AL350,MAX(0,$AP350-SUMPRODUCT(($AH$1:$AO$1&lt;AL$1)*$AH350:$AO350)))</f>
        <v>0</v>
      </c>
      <c r="AV350" s="0" t="n">
        <f aca="false">MIN(AM350,MAX(0,$AP350-SUMPRODUCT(($AH$1:$AO$1&lt;AM$1)*$AH350:$AO350)))</f>
        <v>0</v>
      </c>
      <c r="AW350" s="0" t="n">
        <f aca="false">MIN(AN350,MAX(0,$AP350-SUMPRODUCT(($AH$1:$AO$1&lt;AN$1)*$AH350:$AO350)))</f>
        <v>0</v>
      </c>
      <c r="AX350" s="0" t="n">
        <f aca="false">MIN(AO350,MAX(0,$AP350-SUMPRODUCT(($AH$1:$AO$1&lt;AO$1)*$AH350:$AO350)))</f>
        <v>0</v>
      </c>
      <c r="AY350" s="0" t="n">
        <f aca="false">ROUND(AH350-AQ350,2)</f>
        <v>0</v>
      </c>
      <c r="AZ350" s="0" t="n">
        <f aca="false">ROUND(AI350-AR350,2)</f>
        <v>0</v>
      </c>
      <c r="BA350" s="0" t="n">
        <f aca="false">ROUND(AJ350-AS350,2)</f>
        <v>0</v>
      </c>
      <c r="BB350" s="0" t="n">
        <f aca="false">ROUND(AK350-AT350,2)</f>
        <v>0</v>
      </c>
      <c r="BC350" s="0" t="n">
        <f aca="false">ROUND(AL350-AU350,2)</f>
        <v>0</v>
      </c>
      <c r="BD350" s="0" t="n">
        <f aca="false">ROUND(AM350-AV350,2)</f>
        <v>0</v>
      </c>
      <c r="BE350" s="0" t="n">
        <f aca="false">ROUND(AN350-AW350,2)</f>
        <v>0</v>
      </c>
      <c r="BF350" s="0" t="n">
        <f aca="false">ROUND(AO350-AX350,2)</f>
        <v>0</v>
      </c>
      <c r="BG350" s="0" t="n">
        <f aca="false">SUM(AY350:BF350)</f>
        <v>0</v>
      </c>
    </row>
    <row r="351" customFormat="false" ht="15" hidden="false" customHeight="false" outlineLevel="0" collapsed="false">
      <c r="A351" s="0" t="n">
        <v>349</v>
      </c>
      <c r="B351" s="0" t="n">
        <f aca="false">AY350</f>
        <v>0</v>
      </c>
      <c r="C351" s="0" t="n">
        <f aca="false">AZ350</f>
        <v>0</v>
      </c>
      <c r="D351" s="0" t="n">
        <f aca="false">BA350</f>
        <v>0</v>
      </c>
      <c r="E351" s="0" t="n">
        <f aca="false">BB350</f>
        <v>0</v>
      </c>
      <c r="F351" s="0" t="n">
        <f aca="false">BC350</f>
        <v>0</v>
      </c>
      <c r="G351" s="0" t="n">
        <f aca="false">BD350</f>
        <v>0</v>
      </c>
      <c r="H351" s="0" t="n">
        <f aca="false">BE350</f>
        <v>0</v>
      </c>
      <c r="I351" s="0" t="n">
        <f aca="false">BF350</f>
        <v>0</v>
      </c>
      <c r="J351" s="0" t="n">
        <f aca="false">B351*N('Debt Payoff'!D9)/12</f>
        <v>0</v>
      </c>
      <c r="K351" s="0" t="n">
        <f aca="false">C351*N('Debt Payoff'!D10)/12</f>
        <v>0</v>
      </c>
      <c r="L351" s="0" t="n">
        <f aca="false">D351*N('Debt Payoff'!D11)/12</f>
        <v>0</v>
      </c>
      <c r="M351" s="0" t="n">
        <f aca="false">E351*N('Debt Payoff'!D12)/12</f>
        <v>0</v>
      </c>
      <c r="N351" s="0" t="n">
        <f aca="false">F351*N('Debt Payoff'!D13)/12</f>
        <v>0</v>
      </c>
      <c r="O351" s="0" t="n">
        <f aca="false">G351*N('Debt Payoff'!D14)/12</f>
        <v>0</v>
      </c>
      <c r="P351" s="0" t="n">
        <f aca="false">H351*N('Debt Payoff'!D15)/12</f>
        <v>0</v>
      </c>
      <c r="Q351" s="0" t="n">
        <f aca="false">I351*N('Debt Payoff'!D16)/12</f>
        <v>0</v>
      </c>
      <c r="R351" s="0" t="n">
        <f aca="false">B351+J351</f>
        <v>0</v>
      </c>
      <c r="S351" s="0" t="n">
        <f aca="false">C351+K351</f>
        <v>0</v>
      </c>
      <c r="T351" s="0" t="n">
        <f aca="false">D351+L351</f>
        <v>0</v>
      </c>
      <c r="U351" s="0" t="n">
        <f aca="false">E351+M351</f>
        <v>0</v>
      </c>
      <c r="V351" s="0" t="n">
        <f aca="false">F351+N351</f>
        <v>0</v>
      </c>
      <c r="W351" s="0" t="n">
        <f aca="false">G351+O351</f>
        <v>0</v>
      </c>
      <c r="X351" s="0" t="n">
        <f aca="false">H351+P351</f>
        <v>0</v>
      </c>
      <c r="Y351" s="0" t="n">
        <f aca="false">I351+Q351</f>
        <v>0</v>
      </c>
      <c r="Z351" s="0" t="n">
        <f aca="false">MIN(R351,N('Debt Payoff'!E9))</f>
        <v>0</v>
      </c>
      <c r="AA351" s="0" t="n">
        <f aca="false">MIN(S351,N('Debt Payoff'!E10))</f>
        <v>0</v>
      </c>
      <c r="AB351" s="0" t="n">
        <f aca="false">MIN(T351,N('Debt Payoff'!E11))</f>
        <v>0</v>
      </c>
      <c r="AC351" s="0" t="n">
        <f aca="false">MIN(U351,N('Debt Payoff'!E12))</f>
        <v>0</v>
      </c>
      <c r="AD351" s="0" t="n">
        <f aca="false">MIN(V351,N('Debt Payoff'!E13))</f>
        <v>0</v>
      </c>
      <c r="AE351" s="0" t="n">
        <f aca="false">MIN(W351,N('Debt Payoff'!E14))</f>
        <v>0</v>
      </c>
      <c r="AF351" s="0" t="n">
        <f aca="false">MIN(X351,N('Debt Payoff'!E15))</f>
        <v>0</v>
      </c>
      <c r="AG351" s="0" t="n">
        <f aca="false">MIN(Y351,N('Debt Payoff'!E16))</f>
        <v>0</v>
      </c>
      <c r="AH351" s="0" t="n">
        <f aca="false">R351-Z351</f>
        <v>0</v>
      </c>
      <c r="AI351" s="0" t="n">
        <f aca="false">S351-AA351</f>
        <v>0</v>
      </c>
      <c r="AJ351" s="0" t="n">
        <f aca="false">T351-AB351</f>
        <v>0</v>
      </c>
      <c r="AK351" s="0" t="n">
        <f aca="false">U351-AC351</f>
        <v>0</v>
      </c>
      <c r="AL351" s="0" t="n">
        <f aca="false">V351-AD351</f>
        <v>0</v>
      </c>
      <c r="AM351" s="0" t="n">
        <f aca="false">W351-AE351</f>
        <v>0</v>
      </c>
      <c r="AN351" s="0" t="n">
        <f aca="false">X351-AF351</f>
        <v>0</v>
      </c>
      <c r="AO351" s="0" t="n">
        <f aca="false">Y351-AG351</f>
        <v>0</v>
      </c>
      <c r="AP351" s="0" t="n">
        <f aca="false">MAX(0,'Debt Payoff'!$D$17-SUM(Z351:AG351))</f>
        <v>805</v>
      </c>
      <c r="AQ351" s="0" t="n">
        <f aca="false">MIN(AH351,MAX(0,$AP351-SUMPRODUCT(($AH$1:$AO$1&lt;AH$1)*$AH351:$AO351)))</f>
        <v>0</v>
      </c>
      <c r="AR351" s="0" t="n">
        <f aca="false">MIN(AI351,MAX(0,$AP351-SUMPRODUCT(($AH$1:$AO$1&lt;AI$1)*$AH351:$AO351)))</f>
        <v>0</v>
      </c>
      <c r="AS351" s="0" t="n">
        <f aca="false">MIN(AJ351,MAX(0,$AP351-SUMPRODUCT(($AH$1:$AO$1&lt;AJ$1)*$AH351:$AO351)))</f>
        <v>0</v>
      </c>
      <c r="AT351" s="0" t="n">
        <f aca="false">MIN(AK351,MAX(0,$AP351-SUMPRODUCT(($AH$1:$AO$1&lt;AK$1)*$AH351:$AO351)))</f>
        <v>0</v>
      </c>
      <c r="AU351" s="0" t="n">
        <f aca="false">MIN(AL351,MAX(0,$AP351-SUMPRODUCT(($AH$1:$AO$1&lt;AL$1)*$AH351:$AO351)))</f>
        <v>0</v>
      </c>
      <c r="AV351" s="0" t="n">
        <f aca="false">MIN(AM351,MAX(0,$AP351-SUMPRODUCT(($AH$1:$AO$1&lt;AM$1)*$AH351:$AO351)))</f>
        <v>0</v>
      </c>
      <c r="AW351" s="0" t="n">
        <f aca="false">MIN(AN351,MAX(0,$AP351-SUMPRODUCT(($AH$1:$AO$1&lt;AN$1)*$AH351:$AO351)))</f>
        <v>0</v>
      </c>
      <c r="AX351" s="0" t="n">
        <f aca="false">MIN(AO351,MAX(0,$AP351-SUMPRODUCT(($AH$1:$AO$1&lt;AO$1)*$AH351:$AO351)))</f>
        <v>0</v>
      </c>
      <c r="AY351" s="0" t="n">
        <f aca="false">ROUND(AH351-AQ351,2)</f>
        <v>0</v>
      </c>
      <c r="AZ351" s="0" t="n">
        <f aca="false">ROUND(AI351-AR351,2)</f>
        <v>0</v>
      </c>
      <c r="BA351" s="0" t="n">
        <f aca="false">ROUND(AJ351-AS351,2)</f>
        <v>0</v>
      </c>
      <c r="BB351" s="0" t="n">
        <f aca="false">ROUND(AK351-AT351,2)</f>
        <v>0</v>
      </c>
      <c r="BC351" s="0" t="n">
        <f aca="false">ROUND(AL351-AU351,2)</f>
        <v>0</v>
      </c>
      <c r="BD351" s="0" t="n">
        <f aca="false">ROUND(AM351-AV351,2)</f>
        <v>0</v>
      </c>
      <c r="BE351" s="0" t="n">
        <f aca="false">ROUND(AN351-AW351,2)</f>
        <v>0</v>
      </c>
      <c r="BF351" s="0" t="n">
        <f aca="false">ROUND(AO351-AX351,2)</f>
        <v>0</v>
      </c>
      <c r="BG351" s="0" t="n">
        <f aca="false">SUM(AY351:BF351)</f>
        <v>0</v>
      </c>
    </row>
    <row r="352" customFormat="false" ht="15" hidden="false" customHeight="false" outlineLevel="0" collapsed="false">
      <c r="A352" s="0" t="n">
        <v>350</v>
      </c>
      <c r="B352" s="0" t="n">
        <f aca="false">AY351</f>
        <v>0</v>
      </c>
      <c r="C352" s="0" t="n">
        <f aca="false">AZ351</f>
        <v>0</v>
      </c>
      <c r="D352" s="0" t="n">
        <f aca="false">BA351</f>
        <v>0</v>
      </c>
      <c r="E352" s="0" t="n">
        <f aca="false">BB351</f>
        <v>0</v>
      </c>
      <c r="F352" s="0" t="n">
        <f aca="false">BC351</f>
        <v>0</v>
      </c>
      <c r="G352" s="0" t="n">
        <f aca="false">BD351</f>
        <v>0</v>
      </c>
      <c r="H352" s="0" t="n">
        <f aca="false">BE351</f>
        <v>0</v>
      </c>
      <c r="I352" s="0" t="n">
        <f aca="false">BF351</f>
        <v>0</v>
      </c>
      <c r="J352" s="0" t="n">
        <f aca="false">B352*N('Debt Payoff'!D9)/12</f>
        <v>0</v>
      </c>
      <c r="K352" s="0" t="n">
        <f aca="false">C352*N('Debt Payoff'!D10)/12</f>
        <v>0</v>
      </c>
      <c r="L352" s="0" t="n">
        <f aca="false">D352*N('Debt Payoff'!D11)/12</f>
        <v>0</v>
      </c>
      <c r="M352" s="0" t="n">
        <f aca="false">E352*N('Debt Payoff'!D12)/12</f>
        <v>0</v>
      </c>
      <c r="N352" s="0" t="n">
        <f aca="false">F352*N('Debt Payoff'!D13)/12</f>
        <v>0</v>
      </c>
      <c r="O352" s="0" t="n">
        <f aca="false">G352*N('Debt Payoff'!D14)/12</f>
        <v>0</v>
      </c>
      <c r="P352" s="0" t="n">
        <f aca="false">H352*N('Debt Payoff'!D15)/12</f>
        <v>0</v>
      </c>
      <c r="Q352" s="0" t="n">
        <f aca="false">I352*N('Debt Payoff'!D16)/12</f>
        <v>0</v>
      </c>
      <c r="R352" s="0" t="n">
        <f aca="false">B352+J352</f>
        <v>0</v>
      </c>
      <c r="S352" s="0" t="n">
        <f aca="false">C352+K352</f>
        <v>0</v>
      </c>
      <c r="T352" s="0" t="n">
        <f aca="false">D352+L352</f>
        <v>0</v>
      </c>
      <c r="U352" s="0" t="n">
        <f aca="false">E352+M352</f>
        <v>0</v>
      </c>
      <c r="V352" s="0" t="n">
        <f aca="false">F352+N352</f>
        <v>0</v>
      </c>
      <c r="W352" s="0" t="n">
        <f aca="false">G352+O352</f>
        <v>0</v>
      </c>
      <c r="X352" s="0" t="n">
        <f aca="false">H352+P352</f>
        <v>0</v>
      </c>
      <c r="Y352" s="0" t="n">
        <f aca="false">I352+Q352</f>
        <v>0</v>
      </c>
      <c r="Z352" s="0" t="n">
        <f aca="false">MIN(R352,N('Debt Payoff'!E9))</f>
        <v>0</v>
      </c>
      <c r="AA352" s="0" t="n">
        <f aca="false">MIN(S352,N('Debt Payoff'!E10))</f>
        <v>0</v>
      </c>
      <c r="AB352" s="0" t="n">
        <f aca="false">MIN(T352,N('Debt Payoff'!E11))</f>
        <v>0</v>
      </c>
      <c r="AC352" s="0" t="n">
        <f aca="false">MIN(U352,N('Debt Payoff'!E12))</f>
        <v>0</v>
      </c>
      <c r="AD352" s="0" t="n">
        <f aca="false">MIN(V352,N('Debt Payoff'!E13))</f>
        <v>0</v>
      </c>
      <c r="AE352" s="0" t="n">
        <f aca="false">MIN(W352,N('Debt Payoff'!E14))</f>
        <v>0</v>
      </c>
      <c r="AF352" s="0" t="n">
        <f aca="false">MIN(X352,N('Debt Payoff'!E15))</f>
        <v>0</v>
      </c>
      <c r="AG352" s="0" t="n">
        <f aca="false">MIN(Y352,N('Debt Payoff'!E16))</f>
        <v>0</v>
      </c>
      <c r="AH352" s="0" t="n">
        <f aca="false">R352-Z352</f>
        <v>0</v>
      </c>
      <c r="AI352" s="0" t="n">
        <f aca="false">S352-AA352</f>
        <v>0</v>
      </c>
      <c r="AJ352" s="0" t="n">
        <f aca="false">T352-AB352</f>
        <v>0</v>
      </c>
      <c r="AK352" s="0" t="n">
        <f aca="false">U352-AC352</f>
        <v>0</v>
      </c>
      <c r="AL352" s="0" t="n">
        <f aca="false">V352-AD352</f>
        <v>0</v>
      </c>
      <c r="AM352" s="0" t="n">
        <f aca="false">W352-AE352</f>
        <v>0</v>
      </c>
      <c r="AN352" s="0" t="n">
        <f aca="false">X352-AF352</f>
        <v>0</v>
      </c>
      <c r="AO352" s="0" t="n">
        <f aca="false">Y352-AG352</f>
        <v>0</v>
      </c>
      <c r="AP352" s="0" t="n">
        <f aca="false">MAX(0,'Debt Payoff'!$D$17-SUM(Z352:AG352))</f>
        <v>805</v>
      </c>
      <c r="AQ352" s="0" t="n">
        <f aca="false">MIN(AH352,MAX(0,$AP352-SUMPRODUCT(($AH$1:$AO$1&lt;AH$1)*$AH352:$AO352)))</f>
        <v>0</v>
      </c>
      <c r="AR352" s="0" t="n">
        <f aca="false">MIN(AI352,MAX(0,$AP352-SUMPRODUCT(($AH$1:$AO$1&lt;AI$1)*$AH352:$AO352)))</f>
        <v>0</v>
      </c>
      <c r="AS352" s="0" t="n">
        <f aca="false">MIN(AJ352,MAX(0,$AP352-SUMPRODUCT(($AH$1:$AO$1&lt;AJ$1)*$AH352:$AO352)))</f>
        <v>0</v>
      </c>
      <c r="AT352" s="0" t="n">
        <f aca="false">MIN(AK352,MAX(0,$AP352-SUMPRODUCT(($AH$1:$AO$1&lt;AK$1)*$AH352:$AO352)))</f>
        <v>0</v>
      </c>
      <c r="AU352" s="0" t="n">
        <f aca="false">MIN(AL352,MAX(0,$AP352-SUMPRODUCT(($AH$1:$AO$1&lt;AL$1)*$AH352:$AO352)))</f>
        <v>0</v>
      </c>
      <c r="AV352" s="0" t="n">
        <f aca="false">MIN(AM352,MAX(0,$AP352-SUMPRODUCT(($AH$1:$AO$1&lt;AM$1)*$AH352:$AO352)))</f>
        <v>0</v>
      </c>
      <c r="AW352" s="0" t="n">
        <f aca="false">MIN(AN352,MAX(0,$AP352-SUMPRODUCT(($AH$1:$AO$1&lt;AN$1)*$AH352:$AO352)))</f>
        <v>0</v>
      </c>
      <c r="AX352" s="0" t="n">
        <f aca="false">MIN(AO352,MAX(0,$AP352-SUMPRODUCT(($AH$1:$AO$1&lt;AO$1)*$AH352:$AO352)))</f>
        <v>0</v>
      </c>
      <c r="AY352" s="0" t="n">
        <f aca="false">ROUND(AH352-AQ352,2)</f>
        <v>0</v>
      </c>
      <c r="AZ352" s="0" t="n">
        <f aca="false">ROUND(AI352-AR352,2)</f>
        <v>0</v>
      </c>
      <c r="BA352" s="0" t="n">
        <f aca="false">ROUND(AJ352-AS352,2)</f>
        <v>0</v>
      </c>
      <c r="BB352" s="0" t="n">
        <f aca="false">ROUND(AK352-AT352,2)</f>
        <v>0</v>
      </c>
      <c r="BC352" s="0" t="n">
        <f aca="false">ROUND(AL352-AU352,2)</f>
        <v>0</v>
      </c>
      <c r="BD352" s="0" t="n">
        <f aca="false">ROUND(AM352-AV352,2)</f>
        <v>0</v>
      </c>
      <c r="BE352" s="0" t="n">
        <f aca="false">ROUND(AN352-AW352,2)</f>
        <v>0</v>
      </c>
      <c r="BF352" s="0" t="n">
        <f aca="false">ROUND(AO352-AX352,2)</f>
        <v>0</v>
      </c>
      <c r="BG352" s="0" t="n">
        <f aca="false">SUM(AY352:BF352)</f>
        <v>0</v>
      </c>
    </row>
    <row r="353" customFormat="false" ht="15" hidden="false" customHeight="false" outlineLevel="0" collapsed="false">
      <c r="A353" s="0" t="n">
        <v>351</v>
      </c>
      <c r="B353" s="0" t="n">
        <f aca="false">AY352</f>
        <v>0</v>
      </c>
      <c r="C353" s="0" t="n">
        <f aca="false">AZ352</f>
        <v>0</v>
      </c>
      <c r="D353" s="0" t="n">
        <f aca="false">BA352</f>
        <v>0</v>
      </c>
      <c r="E353" s="0" t="n">
        <f aca="false">BB352</f>
        <v>0</v>
      </c>
      <c r="F353" s="0" t="n">
        <f aca="false">BC352</f>
        <v>0</v>
      </c>
      <c r="G353" s="0" t="n">
        <f aca="false">BD352</f>
        <v>0</v>
      </c>
      <c r="H353" s="0" t="n">
        <f aca="false">BE352</f>
        <v>0</v>
      </c>
      <c r="I353" s="0" t="n">
        <f aca="false">BF352</f>
        <v>0</v>
      </c>
      <c r="J353" s="0" t="n">
        <f aca="false">B353*N('Debt Payoff'!D9)/12</f>
        <v>0</v>
      </c>
      <c r="K353" s="0" t="n">
        <f aca="false">C353*N('Debt Payoff'!D10)/12</f>
        <v>0</v>
      </c>
      <c r="L353" s="0" t="n">
        <f aca="false">D353*N('Debt Payoff'!D11)/12</f>
        <v>0</v>
      </c>
      <c r="M353" s="0" t="n">
        <f aca="false">E353*N('Debt Payoff'!D12)/12</f>
        <v>0</v>
      </c>
      <c r="N353" s="0" t="n">
        <f aca="false">F353*N('Debt Payoff'!D13)/12</f>
        <v>0</v>
      </c>
      <c r="O353" s="0" t="n">
        <f aca="false">G353*N('Debt Payoff'!D14)/12</f>
        <v>0</v>
      </c>
      <c r="P353" s="0" t="n">
        <f aca="false">H353*N('Debt Payoff'!D15)/12</f>
        <v>0</v>
      </c>
      <c r="Q353" s="0" t="n">
        <f aca="false">I353*N('Debt Payoff'!D16)/12</f>
        <v>0</v>
      </c>
      <c r="R353" s="0" t="n">
        <f aca="false">B353+J353</f>
        <v>0</v>
      </c>
      <c r="S353" s="0" t="n">
        <f aca="false">C353+K353</f>
        <v>0</v>
      </c>
      <c r="T353" s="0" t="n">
        <f aca="false">D353+L353</f>
        <v>0</v>
      </c>
      <c r="U353" s="0" t="n">
        <f aca="false">E353+M353</f>
        <v>0</v>
      </c>
      <c r="V353" s="0" t="n">
        <f aca="false">F353+N353</f>
        <v>0</v>
      </c>
      <c r="W353" s="0" t="n">
        <f aca="false">G353+O353</f>
        <v>0</v>
      </c>
      <c r="X353" s="0" t="n">
        <f aca="false">H353+P353</f>
        <v>0</v>
      </c>
      <c r="Y353" s="0" t="n">
        <f aca="false">I353+Q353</f>
        <v>0</v>
      </c>
      <c r="Z353" s="0" t="n">
        <f aca="false">MIN(R353,N('Debt Payoff'!E9))</f>
        <v>0</v>
      </c>
      <c r="AA353" s="0" t="n">
        <f aca="false">MIN(S353,N('Debt Payoff'!E10))</f>
        <v>0</v>
      </c>
      <c r="AB353" s="0" t="n">
        <f aca="false">MIN(T353,N('Debt Payoff'!E11))</f>
        <v>0</v>
      </c>
      <c r="AC353" s="0" t="n">
        <f aca="false">MIN(U353,N('Debt Payoff'!E12))</f>
        <v>0</v>
      </c>
      <c r="AD353" s="0" t="n">
        <f aca="false">MIN(V353,N('Debt Payoff'!E13))</f>
        <v>0</v>
      </c>
      <c r="AE353" s="0" t="n">
        <f aca="false">MIN(W353,N('Debt Payoff'!E14))</f>
        <v>0</v>
      </c>
      <c r="AF353" s="0" t="n">
        <f aca="false">MIN(X353,N('Debt Payoff'!E15))</f>
        <v>0</v>
      </c>
      <c r="AG353" s="0" t="n">
        <f aca="false">MIN(Y353,N('Debt Payoff'!E16))</f>
        <v>0</v>
      </c>
      <c r="AH353" s="0" t="n">
        <f aca="false">R353-Z353</f>
        <v>0</v>
      </c>
      <c r="AI353" s="0" t="n">
        <f aca="false">S353-AA353</f>
        <v>0</v>
      </c>
      <c r="AJ353" s="0" t="n">
        <f aca="false">T353-AB353</f>
        <v>0</v>
      </c>
      <c r="AK353" s="0" t="n">
        <f aca="false">U353-AC353</f>
        <v>0</v>
      </c>
      <c r="AL353" s="0" t="n">
        <f aca="false">V353-AD353</f>
        <v>0</v>
      </c>
      <c r="AM353" s="0" t="n">
        <f aca="false">W353-AE353</f>
        <v>0</v>
      </c>
      <c r="AN353" s="0" t="n">
        <f aca="false">X353-AF353</f>
        <v>0</v>
      </c>
      <c r="AO353" s="0" t="n">
        <f aca="false">Y353-AG353</f>
        <v>0</v>
      </c>
      <c r="AP353" s="0" t="n">
        <f aca="false">MAX(0,'Debt Payoff'!$D$17-SUM(Z353:AG353))</f>
        <v>805</v>
      </c>
      <c r="AQ353" s="0" t="n">
        <f aca="false">MIN(AH353,MAX(0,$AP353-SUMPRODUCT(($AH$1:$AO$1&lt;AH$1)*$AH353:$AO353)))</f>
        <v>0</v>
      </c>
      <c r="AR353" s="0" t="n">
        <f aca="false">MIN(AI353,MAX(0,$AP353-SUMPRODUCT(($AH$1:$AO$1&lt;AI$1)*$AH353:$AO353)))</f>
        <v>0</v>
      </c>
      <c r="AS353" s="0" t="n">
        <f aca="false">MIN(AJ353,MAX(0,$AP353-SUMPRODUCT(($AH$1:$AO$1&lt;AJ$1)*$AH353:$AO353)))</f>
        <v>0</v>
      </c>
      <c r="AT353" s="0" t="n">
        <f aca="false">MIN(AK353,MAX(0,$AP353-SUMPRODUCT(($AH$1:$AO$1&lt;AK$1)*$AH353:$AO353)))</f>
        <v>0</v>
      </c>
      <c r="AU353" s="0" t="n">
        <f aca="false">MIN(AL353,MAX(0,$AP353-SUMPRODUCT(($AH$1:$AO$1&lt;AL$1)*$AH353:$AO353)))</f>
        <v>0</v>
      </c>
      <c r="AV353" s="0" t="n">
        <f aca="false">MIN(AM353,MAX(0,$AP353-SUMPRODUCT(($AH$1:$AO$1&lt;AM$1)*$AH353:$AO353)))</f>
        <v>0</v>
      </c>
      <c r="AW353" s="0" t="n">
        <f aca="false">MIN(AN353,MAX(0,$AP353-SUMPRODUCT(($AH$1:$AO$1&lt;AN$1)*$AH353:$AO353)))</f>
        <v>0</v>
      </c>
      <c r="AX353" s="0" t="n">
        <f aca="false">MIN(AO353,MAX(0,$AP353-SUMPRODUCT(($AH$1:$AO$1&lt;AO$1)*$AH353:$AO353)))</f>
        <v>0</v>
      </c>
      <c r="AY353" s="0" t="n">
        <f aca="false">ROUND(AH353-AQ353,2)</f>
        <v>0</v>
      </c>
      <c r="AZ353" s="0" t="n">
        <f aca="false">ROUND(AI353-AR353,2)</f>
        <v>0</v>
      </c>
      <c r="BA353" s="0" t="n">
        <f aca="false">ROUND(AJ353-AS353,2)</f>
        <v>0</v>
      </c>
      <c r="BB353" s="0" t="n">
        <f aca="false">ROUND(AK353-AT353,2)</f>
        <v>0</v>
      </c>
      <c r="BC353" s="0" t="n">
        <f aca="false">ROUND(AL353-AU353,2)</f>
        <v>0</v>
      </c>
      <c r="BD353" s="0" t="n">
        <f aca="false">ROUND(AM353-AV353,2)</f>
        <v>0</v>
      </c>
      <c r="BE353" s="0" t="n">
        <f aca="false">ROUND(AN353-AW353,2)</f>
        <v>0</v>
      </c>
      <c r="BF353" s="0" t="n">
        <f aca="false">ROUND(AO353-AX353,2)</f>
        <v>0</v>
      </c>
      <c r="BG353" s="0" t="n">
        <f aca="false">SUM(AY353:BF353)</f>
        <v>0</v>
      </c>
    </row>
    <row r="354" customFormat="false" ht="15" hidden="false" customHeight="false" outlineLevel="0" collapsed="false">
      <c r="A354" s="0" t="n">
        <v>352</v>
      </c>
      <c r="B354" s="0" t="n">
        <f aca="false">AY353</f>
        <v>0</v>
      </c>
      <c r="C354" s="0" t="n">
        <f aca="false">AZ353</f>
        <v>0</v>
      </c>
      <c r="D354" s="0" t="n">
        <f aca="false">BA353</f>
        <v>0</v>
      </c>
      <c r="E354" s="0" t="n">
        <f aca="false">BB353</f>
        <v>0</v>
      </c>
      <c r="F354" s="0" t="n">
        <f aca="false">BC353</f>
        <v>0</v>
      </c>
      <c r="G354" s="0" t="n">
        <f aca="false">BD353</f>
        <v>0</v>
      </c>
      <c r="H354" s="0" t="n">
        <f aca="false">BE353</f>
        <v>0</v>
      </c>
      <c r="I354" s="0" t="n">
        <f aca="false">BF353</f>
        <v>0</v>
      </c>
      <c r="J354" s="0" t="n">
        <f aca="false">B354*N('Debt Payoff'!D9)/12</f>
        <v>0</v>
      </c>
      <c r="K354" s="0" t="n">
        <f aca="false">C354*N('Debt Payoff'!D10)/12</f>
        <v>0</v>
      </c>
      <c r="L354" s="0" t="n">
        <f aca="false">D354*N('Debt Payoff'!D11)/12</f>
        <v>0</v>
      </c>
      <c r="M354" s="0" t="n">
        <f aca="false">E354*N('Debt Payoff'!D12)/12</f>
        <v>0</v>
      </c>
      <c r="N354" s="0" t="n">
        <f aca="false">F354*N('Debt Payoff'!D13)/12</f>
        <v>0</v>
      </c>
      <c r="O354" s="0" t="n">
        <f aca="false">G354*N('Debt Payoff'!D14)/12</f>
        <v>0</v>
      </c>
      <c r="P354" s="0" t="n">
        <f aca="false">H354*N('Debt Payoff'!D15)/12</f>
        <v>0</v>
      </c>
      <c r="Q354" s="0" t="n">
        <f aca="false">I354*N('Debt Payoff'!D16)/12</f>
        <v>0</v>
      </c>
      <c r="R354" s="0" t="n">
        <f aca="false">B354+J354</f>
        <v>0</v>
      </c>
      <c r="S354" s="0" t="n">
        <f aca="false">C354+K354</f>
        <v>0</v>
      </c>
      <c r="T354" s="0" t="n">
        <f aca="false">D354+L354</f>
        <v>0</v>
      </c>
      <c r="U354" s="0" t="n">
        <f aca="false">E354+M354</f>
        <v>0</v>
      </c>
      <c r="V354" s="0" t="n">
        <f aca="false">F354+N354</f>
        <v>0</v>
      </c>
      <c r="W354" s="0" t="n">
        <f aca="false">G354+O354</f>
        <v>0</v>
      </c>
      <c r="X354" s="0" t="n">
        <f aca="false">H354+P354</f>
        <v>0</v>
      </c>
      <c r="Y354" s="0" t="n">
        <f aca="false">I354+Q354</f>
        <v>0</v>
      </c>
      <c r="Z354" s="0" t="n">
        <f aca="false">MIN(R354,N('Debt Payoff'!E9))</f>
        <v>0</v>
      </c>
      <c r="AA354" s="0" t="n">
        <f aca="false">MIN(S354,N('Debt Payoff'!E10))</f>
        <v>0</v>
      </c>
      <c r="AB354" s="0" t="n">
        <f aca="false">MIN(T354,N('Debt Payoff'!E11))</f>
        <v>0</v>
      </c>
      <c r="AC354" s="0" t="n">
        <f aca="false">MIN(U354,N('Debt Payoff'!E12))</f>
        <v>0</v>
      </c>
      <c r="AD354" s="0" t="n">
        <f aca="false">MIN(V354,N('Debt Payoff'!E13))</f>
        <v>0</v>
      </c>
      <c r="AE354" s="0" t="n">
        <f aca="false">MIN(W354,N('Debt Payoff'!E14))</f>
        <v>0</v>
      </c>
      <c r="AF354" s="0" t="n">
        <f aca="false">MIN(X354,N('Debt Payoff'!E15))</f>
        <v>0</v>
      </c>
      <c r="AG354" s="0" t="n">
        <f aca="false">MIN(Y354,N('Debt Payoff'!E16))</f>
        <v>0</v>
      </c>
      <c r="AH354" s="0" t="n">
        <f aca="false">R354-Z354</f>
        <v>0</v>
      </c>
      <c r="AI354" s="0" t="n">
        <f aca="false">S354-AA354</f>
        <v>0</v>
      </c>
      <c r="AJ354" s="0" t="n">
        <f aca="false">T354-AB354</f>
        <v>0</v>
      </c>
      <c r="AK354" s="0" t="n">
        <f aca="false">U354-AC354</f>
        <v>0</v>
      </c>
      <c r="AL354" s="0" t="n">
        <f aca="false">V354-AD354</f>
        <v>0</v>
      </c>
      <c r="AM354" s="0" t="n">
        <f aca="false">W354-AE354</f>
        <v>0</v>
      </c>
      <c r="AN354" s="0" t="n">
        <f aca="false">X354-AF354</f>
        <v>0</v>
      </c>
      <c r="AO354" s="0" t="n">
        <f aca="false">Y354-AG354</f>
        <v>0</v>
      </c>
      <c r="AP354" s="0" t="n">
        <f aca="false">MAX(0,'Debt Payoff'!$D$17-SUM(Z354:AG354))</f>
        <v>805</v>
      </c>
      <c r="AQ354" s="0" t="n">
        <f aca="false">MIN(AH354,MAX(0,$AP354-SUMPRODUCT(($AH$1:$AO$1&lt;AH$1)*$AH354:$AO354)))</f>
        <v>0</v>
      </c>
      <c r="AR354" s="0" t="n">
        <f aca="false">MIN(AI354,MAX(0,$AP354-SUMPRODUCT(($AH$1:$AO$1&lt;AI$1)*$AH354:$AO354)))</f>
        <v>0</v>
      </c>
      <c r="AS354" s="0" t="n">
        <f aca="false">MIN(AJ354,MAX(0,$AP354-SUMPRODUCT(($AH$1:$AO$1&lt;AJ$1)*$AH354:$AO354)))</f>
        <v>0</v>
      </c>
      <c r="AT354" s="0" t="n">
        <f aca="false">MIN(AK354,MAX(0,$AP354-SUMPRODUCT(($AH$1:$AO$1&lt;AK$1)*$AH354:$AO354)))</f>
        <v>0</v>
      </c>
      <c r="AU354" s="0" t="n">
        <f aca="false">MIN(AL354,MAX(0,$AP354-SUMPRODUCT(($AH$1:$AO$1&lt;AL$1)*$AH354:$AO354)))</f>
        <v>0</v>
      </c>
      <c r="AV354" s="0" t="n">
        <f aca="false">MIN(AM354,MAX(0,$AP354-SUMPRODUCT(($AH$1:$AO$1&lt;AM$1)*$AH354:$AO354)))</f>
        <v>0</v>
      </c>
      <c r="AW354" s="0" t="n">
        <f aca="false">MIN(AN354,MAX(0,$AP354-SUMPRODUCT(($AH$1:$AO$1&lt;AN$1)*$AH354:$AO354)))</f>
        <v>0</v>
      </c>
      <c r="AX354" s="0" t="n">
        <f aca="false">MIN(AO354,MAX(0,$AP354-SUMPRODUCT(($AH$1:$AO$1&lt;AO$1)*$AH354:$AO354)))</f>
        <v>0</v>
      </c>
      <c r="AY354" s="0" t="n">
        <f aca="false">ROUND(AH354-AQ354,2)</f>
        <v>0</v>
      </c>
      <c r="AZ354" s="0" t="n">
        <f aca="false">ROUND(AI354-AR354,2)</f>
        <v>0</v>
      </c>
      <c r="BA354" s="0" t="n">
        <f aca="false">ROUND(AJ354-AS354,2)</f>
        <v>0</v>
      </c>
      <c r="BB354" s="0" t="n">
        <f aca="false">ROUND(AK354-AT354,2)</f>
        <v>0</v>
      </c>
      <c r="BC354" s="0" t="n">
        <f aca="false">ROUND(AL354-AU354,2)</f>
        <v>0</v>
      </c>
      <c r="BD354" s="0" t="n">
        <f aca="false">ROUND(AM354-AV354,2)</f>
        <v>0</v>
      </c>
      <c r="BE354" s="0" t="n">
        <f aca="false">ROUND(AN354-AW354,2)</f>
        <v>0</v>
      </c>
      <c r="BF354" s="0" t="n">
        <f aca="false">ROUND(AO354-AX354,2)</f>
        <v>0</v>
      </c>
      <c r="BG354" s="0" t="n">
        <f aca="false">SUM(AY354:BF354)</f>
        <v>0</v>
      </c>
    </row>
    <row r="355" customFormat="false" ht="15" hidden="false" customHeight="false" outlineLevel="0" collapsed="false">
      <c r="A355" s="0" t="n">
        <v>353</v>
      </c>
      <c r="B355" s="0" t="n">
        <f aca="false">AY354</f>
        <v>0</v>
      </c>
      <c r="C355" s="0" t="n">
        <f aca="false">AZ354</f>
        <v>0</v>
      </c>
      <c r="D355" s="0" t="n">
        <f aca="false">BA354</f>
        <v>0</v>
      </c>
      <c r="E355" s="0" t="n">
        <f aca="false">BB354</f>
        <v>0</v>
      </c>
      <c r="F355" s="0" t="n">
        <f aca="false">BC354</f>
        <v>0</v>
      </c>
      <c r="G355" s="0" t="n">
        <f aca="false">BD354</f>
        <v>0</v>
      </c>
      <c r="H355" s="0" t="n">
        <f aca="false">BE354</f>
        <v>0</v>
      </c>
      <c r="I355" s="0" t="n">
        <f aca="false">BF354</f>
        <v>0</v>
      </c>
      <c r="J355" s="0" t="n">
        <f aca="false">B355*N('Debt Payoff'!D9)/12</f>
        <v>0</v>
      </c>
      <c r="K355" s="0" t="n">
        <f aca="false">C355*N('Debt Payoff'!D10)/12</f>
        <v>0</v>
      </c>
      <c r="L355" s="0" t="n">
        <f aca="false">D355*N('Debt Payoff'!D11)/12</f>
        <v>0</v>
      </c>
      <c r="M355" s="0" t="n">
        <f aca="false">E355*N('Debt Payoff'!D12)/12</f>
        <v>0</v>
      </c>
      <c r="N355" s="0" t="n">
        <f aca="false">F355*N('Debt Payoff'!D13)/12</f>
        <v>0</v>
      </c>
      <c r="O355" s="0" t="n">
        <f aca="false">G355*N('Debt Payoff'!D14)/12</f>
        <v>0</v>
      </c>
      <c r="P355" s="0" t="n">
        <f aca="false">H355*N('Debt Payoff'!D15)/12</f>
        <v>0</v>
      </c>
      <c r="Q355" s="0" t="n">
        <f aca="false">I355*N('Debt Payoff'!D16)/12</f>
        <v>0</v>
      </c>
      <c r="R355" s="0" t="n">
        <f aca="false">B355+J355</f>
        <v>0</v>
      </c>
      <c r="S355" s="0" t="n">
        <f aca="false">C355+K355</f>
        <v>0</v>
      </c>
      <c r="T355" s="0" t="n">
        <f aca="false">D355+L355</f>
        <v>0</v>
      </c>
      <c r="U355" s="0" t="n">
        <f aca="false">E355+M355</f>
        <v>0</v>
      </c>
      <c r="V355" s="0" t="n">
        <f aca="false">F355+N355</f>
        <v>0</v>
      </c>
      <c r="W355" s="0" t="n">
        <f aca="false">G355+O355</f>
        <v>0</v>
      </c>
      <c r="X355" s="0" t="n">
        <f aca="false">H355+P355</f>
        <v>0</v>
      </c>
      <c r="Y355" s="0" t="n">
        <f aca="false">I355+Q355</f>
        <v>0</v>
      </c>
      <c r="Z355" s="0" t="n">
        <f aca="false">MIN(R355,N('Debt Payoff'!E9))</f>
        <v>0</v>
      </c>
      <c r="AA355" s="0" t="n">
        <f aca="false">MIN(S355,N('Debt Payoff'!E10))</f>
        <v>0</v>
      </c>
      <c r="AB355" s="0" t="n">
        <f aca="false">MIN(T355,N('Debt Payoff'!E11))</f>
        <v>0</v>
      </c>
      <c r="AC355" s="0" t="n">
        <f aca="false">MIN(U355,N('Debt Payoff'!E12))</f>
        <v>0</v>
      </c>
      <c r="AD355" s="0" t="n">
        <f aca="false">MIN(V355,N('Debt Payoff'!E13))</f>
        <v>0</v>
      </c>
      <c r="AE355" s="0" t="n">
        <f aca="false">MIN(W355,N('Debt Payoff'!E14))</f>
        <v>0</v>
      </c>
      <c r="AF355" s="0" t="n">
        <f aca="false">MIN(X355,N('Debt Payoff'!E15))</f>
        <v>0</v>
      </c>
      <c r="AG355" s="0" t="n">
        <f aca="false">MIN(Y355,N('Debt Payoff'!E16))</f>
        <v>0</v>
      </c>
      <c r="AH355" s="0" t="n">
        <f aca="false">R355-Z355</f>
        <v>0</v>
      </c>
      <c r="AI355" s="0" t="n">
        <f aca="false">S355-AA355</f>
        <v>0</v>
      </c>
      <c r="AJ355" s="0" t="n">
        <f aca="false">T355-AB355</f>
        <v>0</v>
      </c>
      <c r="AK355" s="0" t="n">
        <f aca="false">U355-AC355</f>
        <v>0</v>
      </c>
      <c r="AL355" s="0" t="n">
        <f aca="false">V355-AD355</f>
        <v>0</v>
      </c>
      <c r="AM355" s="0" t="n">
        <f aca="false">W355-AE355</f>
        <v>0</v>
      </c>
      <c r="AN355" s="0" t="n">
        <f aca="false">X355-AF355</f>
        <v>0</v>
      </c>
      <c r="AO355" s="0" t="n">
        <f aca="false">Y355-AG355</f>
        <v>0</v>
      </c>
      <c r="AP355" s="0" t="n">
        <f aca="false">MAX(0,'Debt Payoff'!$D$17-SUM(Z355:AG355))</f>
        <v>805</v>
      </c>
      <c r="AQ355" s="0" t="n">
        <f aca="false">MIN(AH355,MAX(0,$AP355-SUMPRODUCT(($AH$1:$AO$1&lt;AH$1)*$AH355:$AO355)))</f>
        <v>0</v>
      </c>
      <c r="AR355" s="0" t="n">
        <f aca="false">MIN(AI355,MAX(0,$AP355-SUMPRODUCT(($AH$1:$AO$1&lt;AI$1)*$AH355:$AO355)))</f>
        <v>0</v>
      </c>
      <c r="AS355" s="0" t="n">
        <f aca="false">MIN(AJ355,MAX(0,$AP355-SUMPRODUCT(($AH$1:$AO$1&lt;AJ$1)*$AH355:$AO355)))</f>
        <v>0</v>
      </c>
      <c r="AT355" s="0" t="n">
        <f aca="false">MIN(AK355,MAX(0,$AP355-SUMPRODUCT(($AH$1:$AO$1&lt;AK$1)*$AH355:$AO355)))</f>
        <v>0</v>
      </c>
      <c r="AU355" s="0" t="n">
        <f aca="false">MIN(AL355,MAX(0,$AP355-SUMPRODUCT(($AH$1:$AO$1&lt;AL$1)*$AH355:$AO355)))</f>
        <v>0</v>
      </c>
      <c r="AV355" s="0" t="n">
        <f aca="false">MIN(AM355,MAX(0,$AP355-SUMPRODUCT(($AH$1:$AO$1&lt;AM$1)*$AH355:$AO355)))</f>
        <v>0</v>
      </c>
      <c r="AW355" s="0" t="n">
        <f aca="false">MIN(AN355,MAX(0,$AP355-SUMPRODUCT(($AH$1:$AO$1&lt;AN$1)*$AH355:$AO355)))</f>
        <v>0</v>
      </c>
      <c r="AX355" s="0" t="n">
        <f aca="false">MIN(AO355,MAX(0,$AP355-SUMPRODUCT(($AH$1:$AO$1&lt;AO$1)*$AH355:$AO355)))</f>
        <v>0</v>
      </c>
      <c r="AY355" s="0" t="n">
        <f aca="false">ROUND(AH355-AQ355,2)</f>
        <v>0</v>
      </c>
      <c r="AZ355" s="0" t="n">
        <f aca="false">ROUND(AI355-AR355,2)</f>
        <v>0</v>
      </c>
      <c r="BA355" s="0" t="n">
        <f aca="false">ROUND(AJ355-AS355,2)</f>
        <v>0</v>
      </c>
      <c r="BB355" s="0" t="n">
        <f aca="false">ROUND(AK355-AT355,2)</f>
        <v>0</v>
      </c>
      <c r="BC355" s="0" t="n">
        <f aca="false">ROUND(AL355-AU355,2)</f>
        <v>0</v>
      </c>
      <c r="BD355" s="0" t="n">
        <f aca="false">ROUND(AM355-AV355,2)</f>
        <v>0</v>
      </c>
      <c r="BE355" s="0" t="n">
        <f aca="false">ROUND(AN355-AW355,2)</f>
        <v>0</v>
      </c>
      <c r="BF355" s="0" t="n">
        <f aca="false">ROUND(AO355-AX355,2)</f>
        <v>0</v>
      </c>
      <c r="BG355" s="0" t="n">
        <f aca="false">SUM(AY355:BF355)</f>
        <v>0</v>
      </c>
    </row>
    <row r="356" customFormat="false" ht="15" hidden="false" customHeight="false" outlineLevel="0" collapsed="false">
      <c r="A356" s="0" t="n">
        <v>354</v>
      </c>
      <c r="B356" s="0" t="n">
        <f aca="false">AY355</f>
        <v>0</v>
      </c>
      <c r="C356" s="0" t="n">
        <f aca="false">AZ355</f>
        <v>0</v>
      </c>
      <c r="D356" s="0" t="n">
        <f aca="false">BA355</f>
        <v>0</v>
      </c>
      <c r="E356" s="0" t="n">
        <f aca="false">BB355</f>
        <v>0</v>
      </c>
      <c r="F356" s="0" t="n">
        <f aca="false">BC355</f>
        <v>0</v>
      </c>
      <c r="G356" s="0" t="n">
        <f aca="false">BD355</f>
        <v>0</v>
      </c>
      <c r="H356" s="0" t="n">
        <f aca="false">BE355</f>
        <v>0</v>
      </c>
      <c r="I356" s="0" t="n">
        <f aca="false">BF355</f>
        <v>0</v>
      </c>
      <c r="J356" s="0" t="n">
        <f aca="false">B356*N('Debt Payoff'!D9)/12</f>
        <v>0</v>
      </c>
      <c r="K356" s="0" t="n">
        <f aca="false">C356*N('Debt Payoff'!D10)/12</f>
        <v>0</v>
      </c>
      <c r="L356" s="0" t="n">
        <f aca="false">D356*N('Debt Payoff'!D11)/12</f>
        <v>0</v>
      </c>
      <c r="M356" s="0" t="n">
        <f aca="false">E356*N('Debt Payoff'!D12)/12</f>
        <v>0</v>
      </c>
      <c r="N356" s="0" t="n">
        <f aca="false">F356*N('Debt Payoff'!D13)/12</f>
        <v>0</v>
      </c>
      <c r="O356" s="0" t="n">
        <f aca="false">G356*N('Debt Payoff'!D14)/12</f>
        <v>0</v>
      </c>
      <c r="P356" s="0" t="n">
        <f aca="false">H356*N('Debt Payoff'!D15)/12</f>
        <v>0</v>
      </c>
      <c r="Q356" s="0" t="n">
        <f aca="false">I356*N('Debt Payoff'!D16)/12</f>
        <v>0</v>
      </c>
      <c r="R356" s="0" t="n">
        <f aca="false">B356+J356</f>
        <v>0</v>
      </c>
      <c r="S356" s="0" t="n">
        <f aca="false">C356+K356</f>
        <v>0</v>
      </c>
      <c r="T356" s="0" t="n">
        <f aca="false">D356+L356</f>
        <v>0</v>
      </c>
      <c r="U356" s="0" t="n">
        <f aca="false">E356+M356</f>
        <v>0</v>
      </c>
      <c r="V356" s="0" t="n">
        <f aca="false">F356+N356</f>
        <v>0</v>
      </c>
      <c r="W356" s="0" t="n">
        <f aca="false">G356+O356</f>
        <v>0</v>
      </c>
      <c r="X356" s="0" t="n">
        <f aca="false">H356+P356</f>
        <v>0</v>
      </c>
      <c r="Y356" s="0" t="n">
        <f aca="false">I356+Q356</f>
        <v>0</v>
      </c>
      <c r="Z356" s="0" t="n">
        <f aca="false">MIN(R356,N('Debt Payoff'!E9))</f>
        <v>0</v>
      </c>
      <c r="AA356" s="0" t="n">
        <f aca="false">MIN(S356,N('Debt Payoff'!E10))</f>
        <v>0</v>
      </c>
      <c r="AB356" s="0" t="n">
        <f aca="false">MIN(T356,N('Debt Payoff'!E11))</f>
        <v>0</v>
      </c>
      <c r="AC356" s="0" t="n">
        <f aca="false">MIN(U356,N('Debt Payoff'!E12))</f>
        <v>0</v>
      </c>
      <c r="AD356" s="0" t="n">
        <f aca="false">MIN(V356,N('Debt Payoff'!E13))</f>
        <v>0</v>
      </c>
      <c r="AE356" s="0" t="n">
        <f aca="false">MIN(W356,N('Debt Payoff'!E14))</f>
        <v>0</v>
      </c>
      <c r="AF356" s="0" t="n">
        <f aca="false">MIN(X356,N('Debt Payoff'!E15))</f>
        <v>0</v>
      </c>
      <c r="AG356" s="0" t="n">
        <f aca="false">MIN(Y356,N('Debt Payoff'!E16))</f>
        <v>0</v>
      </c>
      <c r="AH356" s="0" t="n">
        <f aca="false">R356-Z356</f>
        <v>0</v>
      </c>
      <c r="AI356" s="0" t="n">
        <f aca="false">S356-AA356</f>
        <v>0</v>
      </c>
      <c r="AJ356" s="0" t="n">
        <f aca="false">T356-AB356</f>
        <v>0</v>
      </c>
      <c r="AK356" s="0" t="n">
        <f aca="false">U356-AC356</f>
        <v>0</v>
      </c>
      <c r="AL356" s="0" t="n">
        <f aca="false">V356-AD356</f>
        <v>0</v>
      </c>
      <c r="AM356" s="0" t="n">
        <f aca="false">W356-AE356</f>
        <v>0</v>
      </c>
      <c r="AN356" s="0" t="n">
        <f aca="false">X356-AF356</f>
        <v>0</v>
      </c>
      <c r="AO356" s="0" t="n">
        <f aca="false">Y356-AG356</f>
        <v>0</v>
      </c>
      <c r="AP356" s="0" t="n">
        <f aca="false">MAX(0,'Debt Payoff'!$D$17-SUM(Z356:AG356))</f>
        <v>805</v>
      </c>
      <c r="AQ356" s="0" t="n">
        <f aca="false">MIN(AH356,MAX(0,$AP356-SUMPRODUCT(($AH$1:$AO$1&lt;AH$1)*$AH356:$AO356)))</f>
        <v>0</v>
      </c>
      <c r="AR356" s="0" t="n">
        <f aca="false">MIN(AI356,MAX(0,$AP356-SUMPRODUCT(($AH$1:$AO$1&lt;AI$1)*$AH356:$AO356)))</f>
        <v>0</v>
      </c>
      <c r="AS356" s="0" t="n">
        <f aca="false">MIN(AJ356,MAX(0,$AP356-SUMPRODUCT(($AH$1:$AO$1&lt;AJ$1)*$AH356:$AO356)))</f>
        <v>0</v>
      </c>
      <c r="AT356" s="0" t="n">
        <f aca="false">MIN(AK356,MAX(0,$AP356-SUMPRODUCT(($AH$1:$AO$1&lt;AK$1)*$AH356:$AO356)))</f>
        <v>0</v>
      </c>
      <c r="AU356" s="0" t="n">
        <f aca="false">MIN(AL356,MAX(0,$AP356-SUMPRODUCT(($AH$1:$AO$1&lt;AL$1)*$AH356:$AO356)))</f>
        <v>0</v>
      </c>
      <c r="AV356" s="0" t="n">
        <f aca="false">MIN(AM356,MAX(0,$AP356-SUMPRODUCT(($AH$1:$AO$1&lt;AM$1)*$AH356:$AO356)))</f>
        <v>0</v>
      </c>
      <c r="AW356" s="0" t="n">
        <f aca="false">MIN(AN356,MAX(0,$AP356-SUMPRODUCT(($AH$1:$AO$1&lt;AN$1)*$AH356:$AO356)))</f>
        <v>0</v>
      </c>
      <c r="AX356" s="0" t="n">
        <f aca="false">MIN(AO356,MAX(0,$AP356-SUMPRODUCT(($AH$1:$AO$1&lt;AO$1)*$AH356:$AO356)))</f>
        <v>0</v>
      </c>
      <c r="AY356" s="0" t="n">
        <f aca="false">ROUND(AH356-AQ356,2)</f>
        <v>0</v>
      </c>
      <c r="AZ356" s="0" t="n">
        <f aca="false">ROUND(AI356-AR356,2)</f>
        <v>0</v>
      </c>
      <c r="BA356" s="0" t="n">
        <f aca="false">ROUND(AJ356-AS356,2)</f>
        <v>0</v>
      </c>
      <c r="BB356" s="0" t="n">
        <f aca="false">ROUND(AK356-AT356,2)</f>
        <v>0</v>
      </c>
      <c r="BC356" s="0" t="n">
        <f aca="false">ROUND(AL356-AU356,2)</f>
        <v>0</v>
      </c>
      <c r="BD356" s="0" t="n">
        <f aca="false">ROUND(AM356-AV356,2)</f>
        <v>0</v>
      </c>
      <c r="BE356" s="0" t="n">
        <f aca="false">ROUND(AN356-AW356,2)</f>
        <v>0</v>
      </c>
      <c r="BF356" s="0" t="n">
        <f aca="false">ROUND(AO356-AX356,2)</f>
        <v>0</v>
      </c>
      <c r="BG356" s="0" t="n">
        <f aca="false">SUM(AY356:BF356)</f>
        <v>0</v>
      </c>
    </row>
    <row r="357" customFormat="false" ht="15" hidden="false" customHeight="false" outlineLevel="0" collapsed="false">
      <c r="A357" s="0" t="n">
        <v>355</v>
      </c>
      <c r="B357" s="0" t="n">
        <f aca="false">AY356</f>
        <v>0</v>
      </c>
      <c r="C357" s="0" t="n">
        <f aca="false">AZ356</f>
        <v>0</v>
      </c>
      <c r="D357" s="0" t="n">
        <f aca="false">BA356</f>
        <v>0</v>
      </c>
      <c r="E357" s="0" t="n">
        <f aca="false">BB356</f>
        <v>0</v>
      </c>
      <c r="F357" s="0" t="n">
        <f aca="false">BC356</f>
        <v>0</v>
      </c>
      <c r="G357" s="0" t="n">
        <f aca="false">BD356</f>
        <v>0</v>
      </c>
      <c r="H357" s="0" t="n">
        <f aca="false">BE356</f>
        <v>0</v>
      </c>
      <c r="I357" s="0" t="n">
        <f aca="false">BF356</f>
        <v>0</v>
      </c>
      <c r="J357" s="0" t="n">
        <f aca="false">B357*N('Debt Payoff'!D9)/12</f>
        <v>0</v>
      </c>
      <c r="K357" s="0" t="n">
        <f aca="false">C357*N('Debt Payoff'!D10)/12</f>
        <v>0</v>
      </c>
      <c r="L357" s="0" t="n">
        <f aca="false">D357*N('Debt Payoff'!D11)/12</f>
        <v>0</v>
      </c>
      <c r="M357" s="0" t="n">
        <f aca="false">E357*N('Debt Payoff'!D12)/12</f>
        <v>0</v>
      </c>
      <c r="N357" s="0" t="n">
        <f aca="false">F357*N('Debt Payoff'!D13)/12</f>
        <v>0</v>
      </c>
      <c r="O357" s="0" t="n">
        <f aca="false">G357*N('Debt Payoff'!D14)/12</f>
        <v>0</v>
      </c>
      <c r="P357" s="0" t="n">
        <f aca="false">H357*N('Debt Payoff'!D15)/12</f>
        <v>0</v>
      </c>
      <c r="Q357" s="0" t="n">
        <f aca="false">I357*N('Debt Payoff'!D16)/12</f>
        <v>0</v>
      </c>
      <c r="R357" s="0" t="n">
        <f aca="false">B357+J357</f>
        <v>0</v>
      </c>
      <c r="S357" s="0" t="n">
        <f aca="false">C357+K357</f>
        <v>0</v>
      </c>
      <c r="T357" s="0" t="n">
        <f aca="false">D357+L357</f>
        <v>0</v>
      </c>
      <c r="U357" s="0" t="n">
        <f aca="false">E357+M357</f>
        <v>0</v>
      </c>
      <c r="V357" s="0" t="n">
        <f aca="false">F357+N357</f>
        <v>0</v>
      </c>
      <c r="W357" s="0" t="n">
        <f aca="false">G357+O357</f>
        <v>0</v>
      </c>
      <c r="X357" s="0" t="n">
        <f aca="false">H357+P357</f>
        <v>0</v>
      </c>
      <c r="Y357" s="0" t="n">
        <f aca="false">I357+Q357</f>
        <v>0</v>
      </c>
      <c r="Z357" s="0" t="n">
        <f aca="false">MIN(R357,N('Debt Payoff'!E9))</f>
        <v>0</v>
      </c>
      <c r="AA357" s="0" t="n">
        <f aca="false">MIN(S357,N('Debt Payoff'!E10))</f>
        <v>0</v>
      </c>
      <c r="AB357" s="0" t="n">
        <f aca="false">MIN(T357,N('Debt Payoff'!E11))</f>
        <v>0</v>
      </c>
      <c r="AC357" s="0" t="n">
        <f aca="false">MIN(U357,N('Debt Payoff'!E12))</f>
        <v>0</v>
      </c>
      <c r="AD357" s="0" t="n">
        <f aca="false">MIN(V357,N('Debt Payoff'!E13))</f>
        <v>0</v>
      </c>
      <c r="AE357" s="0" t="n">
        <f aca="false">MIN(W357,N('Debt Payoff'!E14))</f>
        <v>0</v>
      </c>
      <c r="AF357" s="0" t="n">
        <f aca="false">MIN(X357,N('Debt Payoff'!E15))</f>
        <v>0</v>
      </c>
      <c r="AG357" s="0" t="n">
        <f aca="false">MIN(Y357,N('Debt Payoff'!E16))</f>
        <v>0</v>
      </c>
      <c r="AH357" s="0" t="n">
        <f aca="false">R357-Z357</f>
        <v>0</v>
      </c>
      <c r="AI357" s="0" t="n">
        <f aca="false">S357-AA357</f>
        <v>0</v>
      </c>
      <c r="AJ357" s="0" t="n">
        <f aca="false">T357-AB357</f>
        <v>0</v>
      </c>
      <c r="AK357" s="0" t="n">
        <f aca="false">U357-AC357</f>
        <v>0</v>
      </c>
      <c r="AL357" s="0" t="n">
        <f aca="false">V357-AD357</f>
        <v>0</v>
      </c>
      <c r="AM357" s="0" t="n">
        <f aca="false">W357-AE357</f>
        <v>0</v>
      </c>
      <c r="AN357" s="0" t="n">
        <f aca="false">X357-AF357</f>
        <v>0</v>
      </c>
      <c r="AO357" s="0" t="n">
        <f aca="false">Y357-AG357</f>
        <v>0</v>
      </c>
      <c r="AP357" s="0" t="n">
        <f aca="false">MAX(0,'Debt Payoff'!$D$17-SUM(Z357:AG357))</f>
        <v>805</v>
      </c>
      <c r="AQ357" s="0" t="n">
        <f aca="false">MIN(AH357,MAX(0,$AP357-SUMPRODUCT(($AH$1:$AO$1&lt;AH$1)*$AH357:$AO357)))</f>
        <v>0</v>
      </c>
      <c r="AR357" s="0" t="n">
        <f aca="false">MIN(AI357,MAX(0,$AP357-SUMPRODUCT(($AH$1:$AO$1&lt;AI$1)*$AH357:$AO357)))</f>
        <v>0</v>
      </c>
      <c r="AS357" s="0" t="n">
        <f aca="false">MIN(AJ357,MAX(0,$AP357-SUMPRODUCT(($AH$1:$AO$1&lt;AJ$1)*$AH357:$AO357)))</f>
        <v>0</v>
      </c>
      <c r="AT357" s="0" t="n">
        <f aca="false">MIN(AK357,MAX(0,$AP357-SUMPRODUCT(($AH$1:$AO$1&lt;AK$1)*$AH357:$AO357)))</f>
        <v>0</v>
      </c>
      <c r="AU357" s="0" t="n">
        <f aca="false">MIN(AL357,MAX(0,$AP357-SUMPRODUCT(($AH$1:$AO$1&lt;AL$1)*$AH357:$AO357)))</f>
        <v>0</v>
      </c>
      <c r="AV357" s="0" t="n">
        <f aca="false">MIN(AM357,MAX(0,$AP357-SUMPRODUCT(($AH$1:$AO$1&lt;AM$1)*$AH357:$AO357)))</f>
        <v>0</v>
      </c>
      <c r="AW357" s="0" t="n">
        <f aca="false">MIN(AN357,MAX(0,$AP357-SUMPRODUCT(($AH$1:$AO$1&lt;AN$1)*$AH357:$AO357)))</f>
        <v>0</v>
      </c>
      <c r="AX357" s="0" t="n">
        <f aca="false">MIN(AO357,MAX(0,$AP357-SUMPRODUCT(($AH$1:$AO$1&lt;AO$1)*$AH357:$AO357)))</f>
        <v>0</v>
      </c>
      <c r="AY357" s="0" t="n">
        <f aca="false">ROUND(AH357-AQ357,2)</f>
        <v>0</v>
      </c>
      <c r="AZ357" s="0" t="n">
        <f aca="false">ROUND(AI357-AR357,2)</f>
        <v>0</v>
      </c>
      <c r="BA357" s="0" t="n">
        <f aca="false">ROUND(AJ357-AS357,2)</f>
        <v>0</v>
      </c>
      <c r="BB357" s="0" t="n">
        <f aca="false">ROUND(AK357-AT357,2)</f>
        <v>0</v>
      </c>
      <c r="BC357" s="0" t="n">
        <f aca="false">ROUND(AL357-AU357,2)</f>
        <v>0</v>
      </c>
      <c r="BD357" s="0" t="n">
        <f aca="false">ROUND(AM357-AV357,2)</f>
        <v>0</v>
      </c>
      <c r="BE357" s="0" t="n">
        <f aca="false">ROUND(AN357-AW357,2)</f>
        <v>0</v>
      </c>
      <c r="BF357" s="0" t="n">
        <f aca="false">ROUND(AO357-AX357,2)</f>
        <v>0</v>
      </c>
      <c r="BG357" s="0" t="n">
        <f aca="false">SUM(AY357:BF357)</f>
        <v>0</v>
      </c>
    </row>
    <row r="358" customFormat="false" ht="15" hidden="false" customHeight="false" outlineLevel="0" collapsed="false">
      <c r="A358" s="0" t="n">
        <v>356</v>
      </c>
      <c r="B358" s="0" t="n">
        <f aca="false">AY357</f>
        <v>0</v>
      </c>
      <c r="C358" s="0" t="n">
        <f aca="false">AZ357</f>
        <v>0</v>
      </c>
      <c r="D358" s="0" t="n">
        <f aca="false">BA357</f>
        <v>0</v>
      </c>
      <c r="E358" s="0" t="n">
        <f aca="false">BB357</f>
        <v>0</v>
      </c>
      <c r="F358" s="0" t="n">
        <f aca="false">BC357</f>
        <v>0</v>
      </c>
      <c r="G358" s="0" t="n">
        <f aca="false">BD357</f>
        <v>0</v>
      </c>
      <c r="H358" s="0" t="n">
        <f aca="false">BE357</f>
        <v>0</v>
      </c>
      <c r="I358" s="0" t="n">
        <f aca="false">BF357</f>
        <v>0</v>
      </c>
      <c r="J358" s="0" t="n">
        <f aca="false">B358*N('Debt Payoff'!D9)/12</f>
        <v>0</v>
      </c>
      <c r="K358" s="0" t="n">
        <f aca="false">C358*N('Debt Payoff'!D10)/12</f>
        <v>0</v>
      </c>
      <c r="L358" s="0" t="n">
        <f aca="false">D358*N('Debt Payoff'!D11)/12</f>
        <v>0</v>
      </c>
      <c r="M358" s="0" t="n">
        <f aca="false">E358*N('Debt Payoff'!D12)/12</f>
        <v>0</v>
      </c>
      <c r="N358" s="0" t="n">
        <f aca="false">F358*N('Debt Payoff'!D13)/12</f>
        <v>0</v>
      </c>
      <c r="O358" s="0" t="n">
        <f aca="false">G358*N('Debt Payoff'!D14)/12</f>
        <v>0</v>
      </c>
      <c r="P358" s="0" t="n">
        <f aca="false">H358*N('Debt Payoff'!D15)/12</f>
        <v>0</v>
      </c>
      <c r="Q358" s="0" t="n">
        <f aca="false">I358*N('Debt Payoff'!D16)/12</f>
        <v>0</v>
      </c>
      <c r="R358" s="0" t="n">
        <f aca="false">B358+J358</f>
        <v>0</v>
      </c>
      <c r="S358" s="0" t="n">
        <f aca="false">C358+K358</f>
        <v>0</v>
      </c>
      <c r="T358" s="0" t="n">
        <f aca="false">D358+L358</f>
        <v>0</v>
      </c>
      <c r="U358" s="0" t="n">
        <f aca="false">E358+M358</f>
        <v>0</v>
      </c>
      <c r="V358" s="0" t="n">
        <f aca="false">F358+N358</f>
        <v>0</v>
      </c>
      <c r="W358" s="0" t="n">
        <f aca="false">G358+O358</f>
        <v>0</v>
      </c>
      <c r="X358" s="0" t="n">
        <f aca="false">H358+P358</f>
        <v>0</v>
      </c>
      <c r="Y358" s="0" t="n">
        <f aca="false">I358+Q358</f>
        <v>0</v>
      </c>
      <c r="Z358" s="0" t="n">
        <f aca="false">MIN(R358,N('Debt Payoff'!E9))</f>
        <v>0</v>
      </c>
      <c r="AA358" s="0" t="n">
        <f aca="false">MIN(S358,N('Debt Payoff'!E10))</f>
        <v>0</v>
      </c>
      <c r="AB358" s="0" t="n">
        <f aca="false">MIN(T358,N('Debt Payoff'!E11))</f>
        <v>0</v>
      </c>
      <c r="AC358" s="0" t="n">
        <f aca="false">MIN(U358,N('Debt Payoff'!E12))</f>
        <v>0</v>
      </c>
      <c r="AD358" s="0" t="n">
        <f aca="false">MIN(V358,N('Debt Payoff'!E13))</f>
        <v>0</v>
      </c>
      <c r="AE358" s="0" t="n">
        <f aca="false">MIN(W358,N('Debt Payoff'!E14))</f>
        <v>0</v>
      </c>
      <c r="AF358" s="0" t="n">
        <f aca="false">MIN(X358,N('Debt Payoff'!E15))</f>
        <v>0</v>
      </c>
      <c r="AG358" s="0" t="n">
        <f aca="false">MIN(Y358,N('Debt Payoff'!E16))</f>
        <v>0</v>
      </c>
      <c r="AH358" s="0" t="n">
        <f aca="false">R358-Z358</f>
        <v>0</v>
      </c>
      <c r="AI358" s="0" t="n">
        <f aca="false">S358-AA358</f>
        <v>0</v>
      </c>
      <c r="AJ358" s="0" t="n">
        <f aca="false">T358-AB358</f>
        <v>0</v>
      </c>
      <c r="AK358" s="0" t="n">
        <f aca="false">U358-AC358</f>
        <v>0</v>
      </c>
      <c r="AL358" s="0" t="n">
        <f aca="false">V358-AD358</f>
        <v>0</v>
      </c>
      <c r="AM358" s="0" t="n">
        <f aca="false">W358-AE358</f>
        <v>0</v>
      </c>
      <c r="AN358" s="0" t="n">
        <f aca="false">X358-AF358</f>
        <v>0</v>
      </c>
      <c r="AO358" s="0" t="n">
        <f aca="false">Y358-AG358</f>
        <v>0</v>
      </c>
      <c r="AP358" s="0" t="n">
        <f aca="false">MAX(0,'Debt Payoff'!$D$17-SUM(Z358:AG358))</f>
        <v>805</v>
      </c>
      <c r="AQ358" s="0" t="n">
        <f aca="false">MIN(AH358,MAX(0,$AP358-SUMPRODUCT(($AH$1:$AO$1&lt;AH$1)*$AH358:$AO358)))</f>
        <v>0</v>
      </c>
      <c r="AR358" s="0" t="n">
        <f aca="false">MIN(AI358,MAX(0,$AP358-SUMPRODUCT(($AH$1:$AO$1&lt;AI$1)*$AH358:$AO358)))</f>
        <v>0</v>
      </c>
      <c r="AS358" s="0" t="n">
        <f aca="false">MIN(AJ358,MAX(0,$AP358-SUMPRODUCT(($AH$1:$AO$1&lt;AJ$1)*$AH358:$AO358)))</f>
        <v>0</v>
      </c>
      <c r="AT358" s="0" t="n">
        <f aca="false">MIN(AK358,MAX(0,$AP358-SUMPRODUCT(($AH$1:$AO$1&lt;AK$1)*$AH358:$AO358)))</f>
        <v>0</v>
      </c>
      <c r="AU358" s="0" t="n">
        <f aca="false">MIN(AL358,MAX(0,$AP358-SUMPRODUCT(($AH$1:$AO$1&lt;AL$1)*$AH358:$AO358)))</f>
        <v>0</v>
      </c>
      <c r="AV358" s="0" t="n">
        <f aca="false">MIN(AM358,MAX(0,$AP358-SUMPRODUCT(($AH$1:$AO$1&lt;AM$1)*$AH358:$AO358)))</f>
        <v>0</v>
      </c>
      <c r="AW358" s="0" t="n">
        <f aca="false">MIN(AN358,MAX(0,$AP358-SUMPRODUCT(($AH$1:$AO$1&lt;AN$1)*$AH358:$AO358)))</f>
        <v>0</v>
      </c>
      <c r="AX358" s="0" t="n">
        <f aca="false">MIN(AO358,MAX(0,$AP358-SUMPRODUCT(($AH$1:$AO$1&lt;AO$1)*$AH358:$AO358)))</f>
        <v>0</v>
      </c>
      <c r="AY358" s="0" t="n">
        <f aca="false">ROUND(AH358-AQ358,2)</f>
        <v>0</v>
      </c>
      <c r="AZ358" s="0" t="n">
        <f aca="false">ROUND(AI358-AR358,2)</f>
        <v>0</v>
      </c>
      <c r="BA358" s="0" t="n">
        <f aca="false">ROUND(AJ358-AS358,2)</f>
        <v>0</v>
      </c>
      <c r="BB358" s="0" t="n">
        <f aca="false">ROUND(AK358-AT358,2)</f>
        <v>0</v>
      </c>
      <c r="BC358" s="0" t="n">
        <f aca="false">ROUND(AL358-AU358,2)</f>
        <v>0</v>
      </c>
      <c r="BD358" s="0" t="n">
        <f aca="false">ROUND(AM358-AV358,2)</f>
        <v>0</v>
      </c>
      <c r="BE358" s="0" t="n">
        <f aca="false">ROUND(AN358-AW358,2)</f>
        <v>0</v>
      </c>
      <c r="BF358" s="0" t="n">
        <f aca="false">ROUND(AO358-AX358,2)</f>
        <v>0</v>
      </c>
      <c r="BG358" s="0" t="n">
        <f aca="false">SUM(AY358:BF358)</f>
        <v>0</v>
      </c>
    </row>
    <row r="359" customFormat="false" ht="15" hidden="false" customHeight="false" outlineLevel="0" collapsed="false">
      <c r="A359" s="0" t="n">
        <v>357</v>
      </c>
      <c r="B359" s="0" t="n">
        <f aca="false">AY358</f>
        <v>0</v>
      </c>
      <c r="C359" s="0" t="n">
        <f aca="false">AZ358</f>
        <v>0</v>
      </c>
      <c r="D359" s="0" t="n">
        <f aca="false">BA358</f>
        <v>0</v>
      </c>
      <c r="E359" s="0" t="n">
        <f aca="false">BB358</f>
        <v>0</v>
      </c>
      <c r="F359" s="0" t="n">
        <f aca="false">BC358</f>
        <v>0</v>
      </c>
      <c r="G359" s="0" t="n">
        <f aca="false">BD358</f>
        <v>0</v>
      </c>
      <c r="H359" s="0" t="n">
        <f aca="false">BE358</f>
        <v>0</v>
      </c>
      <c r="I359" s="0" t="n">
        <f aca="false">BF358</f>
        <v>0</v>
      </c>
      <c r="J359" s="0" t="n">
        <f aca="false">B359*N('Debt Payoff'!D9)/12</f>
        <v>0</v>
      </c>
      <c r="K359" s="0" t="n">
        <f aca="false">C359*N('Debt Payoff'!D10)/12</f>
        <v>0</v>
      </c>
      <c r="L359" s="0" t="n">
        <f aca="false">D359*N('Debt Payoff'!D11)/12</f>
        <v>0</v>
      </c>
      <c r="M359" s="0" t="n">
        <f aca="false">E359*N('Debt Payoff'!D12)/12</f>
        <v>0</v>
      </c>
      <c r="N359" s="0" t="n">
        <f aca="false">F359*N('Debt Payoff'!D13)/12</f>
        <v>0</v>
      </c>
      <c r="O359" s="0" t="n">
        <f aca="false">G359*N('Debt Payoff'!D14)/12</f>
        <v>0</v>
      </c>
      <c r="P359" s="0" t="n">
        <f aca="false">H359*N('Debt Payoff'!D15)/12</f>
        <v>0</v>
      </c>
      <c r="Q359" s="0" t="n">
        <f aca="false">I359*N('Debt Payoff'!D16)/12</f>
        <v>0</v>
      </c>
      <c r="R359" s="0" t="n">
        <f aca="false">B359+J359</f>
        <v>0</v>
      </c>
      <c r="S359" s="0" t="n">
        <f aca="false">C359+K359</f>
        <v>0</v>
      </c>
      <c r="T359" s="0" t="n">
        <f aca="false">D359+L359</f>
        <v>0</v>
      </c>
      <c r="U359" s="0" t="n">
        <f aca="false">E359+M359</f>
        <v>0</v>
      </c>
      <c r="V359" s="0" t="n">
        <f aca="false">F359+N359</f>
        <v>0</v>
      </c>
      <c r="W359" s="0" t="n">
        <f aca="false">G359+O359</f>
        <v>0</v>
      </c>
      <c r="X359" s="0" t="n">
        <f aca="false">H359+P359</f>
        <v>0</v>
      </c>
      <c r="Y359" s="0" t="n">
        <f aca="false">I359+Q359</f>
        <v>0</v>
      </c>
      <c r="Z359" s="0" t="n">
        <f aca="false">MIN(R359,N('Debt Payoff'!E9))</f>
        <v>0</v>
      </c>
      <c r="AA359" s="0" t="n">
        <f aca="false">MIN(S359,N('Debt Payoff'!E10))</f>
        <v>0</v>
      </c>
      <c r="AB359" s="0" t="n">
        <f aca="false">MIN(T359,N('Debt Payoff'!E11))</f>
        <v>0</v>
      </c>
      <c r="AC359" s="0" t="n">
        <f aca="false">MIN(U359,N('Debt Payoff'!E12))</f>
        <v>0</v>
      </c>
      <c r="AD359" s="0" t="n">
        <f aca="false">MIN(V359,N('Debt Payoff'!E13))</f>
        <v>0</v>
      </c>
      <c r="AE359" s="0" t="n">
        <f aca="false">MIN(W359,N('Debt Payoff'!E14))</f>
        <v>0</v>
      </c>
      <c r="AF359" s="0" t="n">
        <f aca="false">MIN(X359,N('Debt Payoff'!E15))</f>
        <v>0</v>
      </c>
      <c r="AG359" s="0" t="n">
        <f aca="false">MIN(Y359,N('Debt Payoff'!E16))</f>
        <v>0</v>
      </c>
      <c r="AH359" s="0" t="n">
        <f aca="false">R359-Z359</f>
        <v>0</v>
      </c>
      <c r="AI359" s="0" t="n">
        <f aca="false">S359-AA359</f>
        <v>0</v>
      </c>
      <c r="AJ359" s="0" t="n">
        <f aca="false">T359-AB359</f>
        <v>0</v>
      </c>
      <c r="AK359" s="0" t="n">
        <f aca="false">U359-AC359</f>
        <v>0</v>
      </c>
      <c r="AL359" s="0" t="n">
        <f aca="false">V359-AD359</f>
        <v>0</v>
      </c>
      <c r="AM359" s="0" t="n">
        <f aca="false">W359-AE359</f>
        <v>0</v>
      </c>
      <c r="AN359" s="0" t="n">
        <f aca="false">X359-AF359</f>
        <v>0</v>
      </c>
      <c r="AO359" s="0" t="n">
        <f aca="false">Y359-AG359</f>
        <v>0</v>
      </c>
      <c r="AP359" s="0" t="n">
        <f aca="false">MAX(0,'Debt Payoff'!$D$17-SUM(Z359:AG359))</f>
        <v>805</v>
      </c>
      <c r="AQ359" s="0" t="n">
        <f aca="false">MIN(AH359,MAX(0,$AP359-SUMPRODUCT(($AH$1:$AO$1&lt;AH$1)*$AH359:$AO359)))</f>
        <v>0</v>
      </c>
      <c r="AR359" s="0" t="n">
        <f aca="false">MIN(AI359,MAX(0,$AP359-SUMPRODUCT(($AH$1:$AO$1&lt;AI$1)*$AH359:$AO359)))</f>
        <v>0</v>
      </c>
      <c r="AS359" s="0" t="n">
        <f aca="false">MIN(AJ359,MAX(0,$AP359-SUMPRODUCT(($AH$1:$AO$1&lt;AJ$1)*$AH359:$AO359)))</f>
        <v>0</v>
      </c>
      <c r="AT359" s="0" t="n">
        <f aca="false">MIN(AK359,MAX(0,$AP359-SUMPRODUCT(($AH$1:$AO$1&lt;AK$1)*$AH359:$AO359)))</f>
        <v>0</v>
      </c>
      <c r="AU359" s="0" t="n">
        <f aca="false">MIN(AL359,MAX(0,$AP359-SUMPRODUCT(($AH$1:$AO$1&lt;AL$1)*$AH359:$AO359)))</f>
        <v>0</v>
      </c>
      <c r="AV359" s="0" t="n">
        <f aca="false">MIN(AM359,MAX(0,$AP359-SUMPRODUCT(($AH$1:$AO$1&lt;AM$1)*$AH359:$AO359)))</f>
        <v>0</v>
      </c>
      <c r="AW359" s="0" t="n">
        <f aca="false">MIN(AN359,MAX(0,$AP359-SUMPRODUCT(($AH$1:$AO$1&lt;AN$1)*$AH359:$AO359)))</f>
        <v>0</v>
      </c>
      <c r="AX359" s="0" t="n">
        <f aca="false">MIN(AO359,MAX(0,$AP359-SUMPRODUCT(($AH$1:$AO$1&lt;AO$1)*$AH359:$AO359)))</f>
        <v>0</v>
      </c>
      <c r="AY359" s="0" t="n">
        <f aca="false">ROUND(AH359-AQ359,2)</f>
        <v>0</v>
      </c>
      <c r="AZ359" s="0" t="n">
        <f aca="false">ROUND(AI359-AR359,2)</f>
        <v>0</v>
      </c>
      <c r="BA359" s="0" t="n">
        <f aca="false">ROUND(AJ359-AS359,2)</f>
        <v>0</v>
      </c>
      <c r="BB359" s="0" t="n">
        <f aca="false">ROUND(AK359-AT359,2)</f>
        <v>0</v>
      </c>
      <c r="BC359" s="0" t="n">
        <f aca="false">ROUND(AL359-AU359,2)</f>
        <v>0</v>
      </c>
      <c r="BD359" s="0" t="n">
        <f aca="false">ROUND(AM359-AV359,2)</f>
        <v>0</v>
      </c>
      <c r="BE359" s="0" t="n">
        <f aca="false">ROUND(AN359-AW359,2)</f>
        <v>0</v>
      </c>
      <c r="BF359" s="0" t="n">
        <f aca="false">ROUND(AO359-AX359,2)</f>
        <v>0</v>
      </c>
      <c r="BG359" s="0" t="n">
        <f aca="false">SUM(AY359:BF359)</f>
        <v>0</v>
      </c>
    </row>
    <row r="360" customFormat="false" ht="15" hidden="false" customHeight="false" outlineLevel="0" collapsed="false">
      <c r="A360" s="0" t="n">
        <v>358</v>
      </c>
      <c r="B360" s="0" t="n">
        <f aca="false">AY359</f>
        <v>0</v>
      </c>
      <c r="C360" s="0" t="n">
        <f aca="false">AZ359</f>
        <v>0</v>
      </c>
      <c r="D360" s="0" t="n">
        <f aca="false">BA359</f>
        <v>0</v>
      </c>
      <c r="E360" s="0" t="n">
        <f aca="false">BB359</f>
        <v>0</v>
      </c>
      <c r="F360" s="0" t="n">
        <f aca="false">BC359</f>
        <v>0</v>
      </c>
      <c r="G360" s="0" t="n">
        <f aca="false">BD359</f>
        <v>0</v>
      </c>
      <c r="H360" s="0" t="n">
        <f aca="false">BE359</f>
        <v>0</v>
      </c>
      <c r="I360" s="0" t="n">
        <f aca="false">BF359</f>
        <v>0</v>
      </c>
      <c r="J360" s="0" t="n">
        <f aca="false">B360*N('Debt Payoff'!D9)/12</f>
        <v>0</v>
      </c>
      <c r="K360" s="0" t="n">
        <f aca="false">C360*N('Debt Payoff'!D10)/12</f>
        <v>0</v>
      </c>
      <c r="L360" s="0" t="n">
        <f aca="false">D360*N('Debt Payoff'!D11)/12</f>
        <v>0</v>
      </c>
      <c r="M360" s="0" t="n">
        <f aca="false">E360*N('Debt Payoff'!D12)/12</f>
        <v>0</v>
      </c>
      <c r="N360" s="0" t="n">
        <f aca="false">F360*N('Debt Payoff'!D13)/12</f>
        <v>0</v>
      </c>
      <c r="O360" s="0" t="n">
        <f aca="false">G360*N('Debt Payoff'!D14)/12</f>
        <v>0</v>
      </c>
      <c r="P360" s="0" t="n">
        <f aca="false">H360*N('Debt Payoff'!D15)/12</f>
        <v>0</v>
      </c>
      <c r="Q360" s="0" t="n">
        <f aca="false">I360*N('Debt Payoff'!D16)/12</f>
        <v>0</v>
      </c>
      <c r="R360" s="0" t="n">
        <f aca="false">B360+J360</f>
        <v>0</v>
      </c>
      <c r="S360" s="0" t="n">
        <f aca="false">C360+K360</f>
        <v>0</v>
      </c>
      <c r="T360" s="0" t="n">
        <f aca="false">D360+L360</f>
        <v>0</v>
      </c>
      <c r="U360" s="0" t="n">
        <f aca="false">E360+M360</f>
        <v>0</v>
      </c>
      <c r="V360" s="0" t="n">
        <f aca="false">F360+N360</f>
        <v>0</v>
      </c>
      <c r="W360" s="0" t="n">
        <f aca="false">G360+O360</f>
        <v>0</v>
      </c>
      <c r="X360" s="0" t="n">
        <f aca="false">H360+P360</f>
        <v>0</v>
      </c>
      <c r="Y360" s="0" t="n">
        <f aca="false">I360+Q360</f>
        <v>0</v>
      </c>
      <c r="Z360" s="0" t="n">
        <f aca="false">MIN(R360,N('Debt Payoff'!E9))</f>
        <v>0</v>
      </c>
      <c r="AA360" s="0" t="n">
        <f aca="false">MIN(S360,N('Debt Payoff'!E10))</f>
        <v>0</v>
      </c>
      <c r="AB360" s="0" t="n">
        <f aca="false">MIN(T360,N('Debt Payoff'!E11))</f>
        <v>0</v>
      </c>
      <c r="AC360" s="0" t="n">
        <f aca="false">MIN(U360,N('Debt Payoff'!E12))</f>
        <v>0</v>
      </c>
      <c r="AD360" s="0" t="n">
        <f aca="false">MIN(V360,N('Debt Payoff'!E13))</f>
        <v>0</v>
      </c>
      <c r="AE360" s="0" t="n">
        <f aca="false">MIN(W360,N('Debt Payoff'!E14))</f>
        <v>0</v>
      </c>
      <c r="AF360" s="0" t="n">
        <f aca="false">MIN(X360,N('Debt Payoff'!E15))</f>
        <v>0</v>
      </c>
      <c r="AG360" s="0" t="n">
        <f aca="false">MIN(Y360,N('Debt Payoff'!E16))</f>
        <v>0</v>
      </c>
      <c r="AH360" s="0" t="n">
        <f aca="false">R360-Z360</f>
        <v>0</v>
      </c>
      <c r="AI360" s="0" t="n">
        <f aca="false">S360-AA360</f>
        <v>0</v>
      </c>
      <c r="AJ360" s="0" t="n">
        <f aca="false">T360-AB360</f>
        <v>0</v>
      </c>
      <c r="AK360" s="0" t="n">
        <f aca="false">U360-AC360</f>
        <v>0</v>
      </c>
      <c r="AL360" s="0" t="n">
        <f aca="false">V360-AD360</f>
        <v>0</v>
      </c>
      <c r="AM360" s="0" t="n">
        <f aca="false">W360-AE360</f>
        <v>0</v>
      </c>
      <c r="AN360" s="0" t="n">
        <f aca="false">X360-AF360</f>
        <v>0</v>
      </c>
      <c r="AO360" s="0" t="n">
        <f aca="false">Y360-AG360</f>
        <v>0</v>
      </c>
      <c r="AP360" s="0" t="n">
        <f aca="false">MAX(0,'Debt Payoff'!$D$17-SUM(Z360:AG360))</f>
        <v>805</v>
      </c>
      <c r="AQ360" s="0" t="n">
        <f aca="false">MIN(AH360,MAX(0,$AP360-SUMPRODUCT(($AH$1:$AO$1&lt;AH$1)*$AH360:$AO360)))</f>
        <v>0</v>
      </c>
      <c r="AR360" s="0" t="n">
        <f aca="false">MIN(AI360,MAX(0,$AP360-SUMPRODUCT(($AH$1:$AO$1&lt;AI$1)*$AH360:$AO360)))</f>
        <v>0</v>
      </c>
      <c r="AS360" s="0" t="n">
        <f aca="false">MIN(AJ360,MAX(0,$AP360-SUMPRODUCT(($AH$1:$AO$1&lt;AJ$1)*$AH360:$AO360)))</f>
        <v>0</v>
      </c>
      <c r="AT360" s="0" t="n">
        <f aca="false">MIN(AK360,MAX(0,$AP360-SUMPRODUCT(($AH$1:$AO$1&lt;AK$1)*$AH360:$AO360)))</f>
        <v>0</v>
      </c>
      <c r="AU360" s="0" t="n">
        <f aca="false">MIN(AL360,MAX(0,$AP360-SUMPRODUCT(($AH$1:$AO$1&lt;AL$1)*$AH360:$AO360)))</f>
        <v>0</v>
      </c>
      <c r="AV360" s="0" t="n">
        <f aca="false">MIN(AM360,MAX(0,$AP360-SUMPRODUCT(($AH$1:$AO$1&lt;AM$1)*$AH360:$AO360)))</f>
        <v>0</v>
      </c>
      <c r="AW360" s="0" t="n">
        <f aca="false">MIN(AN360,MAX(0,$AP360-SUMPRODUCT(($AH$1:$AO$1&lt;AN$1)*$AH360:$AO360)))</f>
        <v>0</v>
      </c>
      <c r="AX360" s="0" t="n">
        <f aca="false">MIN(AO360,MAX(0,$AP360-SUMPRODUCT(($AH$1:$AO$1&lt;AO$1)*$AH360:$AO360)))</f>
        <v>0</v>
      </c>
      <c r="AY360" s="0" t="n">
        <f aca="false">ROUND(AH360-AQ360,2)</f>
        <v>0</v>
      </c>
      <c r="AZ360" s="0" t="n">
        <f aca="false">ROUND(AI360-AR360,2)</f>
        <v>0</v>
      </c>
      <c r="BA360" s="0" t="n">
        <f aca="false">ROUND(AJ360-AS360,2)</f>
        <v>0</v>
      </c>
      <c r="BB360" s="0" t="n">
        <f aca="false">ROUND(AK360-AT360,2)</f>
        <v>0</v>
      </c>
      <c r="BC360" s="0" t="n">
        <f aca="false">ROUND(AL360-AU360,2)</f>
        <v>0</v>
      </c>
      <c r="BD360" s="0" t="n">
        <f aca="false">ROUND(AM360-AV360,2)</f>
        <v>0</v>
      </c>
      <c r="BE360" s="0" t="n">
        <f aca="false">ROUND(AN360-AW360,2)</f>
        <v>0</v>
      </c>
      <c r="BF360" s="0" t="n">
        <f aca="false">ROUND(AO360-AX360,2)</f>
        <v>0</v>
      </c>
      <c r="BG360" s="0" t="n">
        <f aca="false">SUM(AY360:BF360)</f>
        <v>0</v>
      </c>
    </row>
    <row r="361" customFormat="false" ht="15" hidden="false" customHeight="false" outlineLevel="0" collapsed="false">
      <c r="A361" s="0" t="n">
        <v>359</v>
      </c>
      <c r="B361" s="0" t="n">
        <f aca="false">AY360</f>
        <v>0</v>
      </c>
      <c r="C361" s="0" t="n">
        <f aca="false">AZ360</f>
        <v>0</v>
      </c>
      <c r="D361" s="0" t="n">
        <f aca="false">BA360</f>
        <v>0</v>
      </c>
      <c r="E361" s="0" t="n">
        <f aca="false">BB360</f>
        <v>0</v>
      </c>
      <c r="F361" s="0" t="n">
        <f aca="false">BC360</f>
        <v>0</v>
      </c>
      <c r="G361" s="0" t="n">
        <f aca="false">BD360</f>
        <v>0</v>
      </c>
      <c r="H361" s="0" t="n">
        <f aca="false">BE360</f>
        <v>0</v>
      </c>
      <c r="I361" s="0" t="n">
        <f aca="false">BF360</f>
        <v>0</v>
      </c>
      <c r="J361" s="0" t="n">
        <f aca="false">B361*N('Debt Payoff'!D9)/12</f>
        <v>0</v>
      </c>
      <c r="K361" s="0" t="n">
        <f aca="false">C361*N('Debt Payoff'!D10)/12</f>
        <v>0</v>
      </c>
      <c r="L361" s="0" t="n">
        <f aca="false">D361*N('Debt Payoff'!D11)/12</f>
        <v>0</v>
      </c>
      <c r="M361" s="0" t="n">
        <f aca="false">E361*N('Debt Payoff'!D12)/12</f>
        <v>0</v>
      </c>
      <c r="N361" s="0" t="n">
        <f aca="false">F361*N('Debt Payoff'!D13)/12</f>
        <v>0</v>
      </c>
      <c r="O361" s="0" t="n">
        <f aca="false">G361*N('Debt Payoff'!D14)/12</f>
        <v>0</v>
      </c>
      <c r="P361" s="0" t="n">
        <f aca="false">H361*N('Debt Payoff'!D15)/12</f>
        <v>0</v>
      </c>
      <c r="Q361" s="0" t="n">
        <f aca="false">I361*N('Debt Payoff'!D16)/12</f>
        <v>0</v>
      </c>
      <c r="R361" s="0" t="n">
        <f aca="false">B361+J361</f>
        <v>0</v>
      </c>
      <c r="S361" s="0" t="n">
        <f aca="false">C361+K361</f>
        <v>0</v>
      </c>
      <c r="T361" s="0" t="n">
        <f aca="false">D361+L361</f>
        <v>0</v>
      </c>
      <c r="U361" s="0" t="n">
        <f aca="false">E361+M361</f>
        <v>0</v>
      </c>
      <c r="V361" s="0" t="n">
        <f aca="false">F361+N361</f>
        <v>0</v>
      </c>
      <c r="W361" s="0" t="n">
        <f aca="false">G361+O361</f>
        <v>0</v>
      </c>
      <c r="X361" s="0" t="n">
        <f aca="false">H361+P361</f>
        <v>0</v>
      </c>
      <c r="Y361" s="0" t="n">
        <f aca="false">I361+Q361</f>
        <v>0</v>
      </c>
      <c r="Z361" s="0" t="n">
        <f aca="false">MIN(R361,N('Debt Payoff'!E9))</f>
        <v>0</v>
      </c>
      <c r="AA361" s="0" t="n">
        <f aca="false">MIN(S361,N('Debt Payoff'!E10))</f>
        <v>0</v>
      </c>
      <c r="AB361" s="0" t="n">
        <f aca="false">MIN(T361,N('Debt Payoff'!E11))</f>
        <v>0</v>
      </c>
      <c r="AC361" s="0" t="n">
        <f aca="false">MIN(U361,N('Debt Payoff'!E12))</f>
        <v>0</v>
      </c>
      <c r="AD361" s="0" t="n">
        <f aca="false">MIN(V361,N('Debt Payoff'!E13))</f>
        <v>0</v>
      </c>
      <c r="AE361" s="0" t="n">
        <f aca="false">MIN(W361,N('Debt Payoff'!E14))</f>
        <v>0</v>
      </c>
      <c r="AF361" s="0" t="n">
        <f aca="false">MIN(X361,N('Debt Payoff'!E15))</f>
        <v>0</v>
      </c>
      <c r="AG361" s="0" t="n">
        <f aca="false">MIN(Y361,N('Debt Payoff'!E16))</f>
        <v>0</v>
      </c>
      <c r="AH361" s="0" t="n">
        <f aca="false">R361-Z361</f>
        <v>0</v>
      </c>
      <c r="AI361" s="0" t="n">
        <f aca="false">S361-AA361</f>
        <v>0</v>
      </c>
      <c r="AJ361" s="0" t="n">
        <f aca="false">T361-AB361</f>
        <v>0</v>
      </c>
      <c r="AK361" s="0" t="n">
        <f aca="false">U361-AC361</f>
        <v>0</v>
      </c>
      <c r="AL361" s="0" t="n">
        <f aca="false">V361-AD361</f>
        <v>0</v>
      </c>
      <c r="AM361" s="0" t="n">
        <f aca="false">W361-AE361</f>
        <v>0</v>
      </c>
      <c r="AN361" s="0" t="n">
        <f aca="false">X361-AF361</f>
        <v>0</v>
      </c>
      <c r="AO361" s="0" t="n">
        <f aca="false">Y361-AG361</f>
        <v>0</v>
      </c>
      <c r="AP361" s="0" t="n">
        <f aca="false">MAX(0,'Debt Payoff'!$D$17-SUM(Z361:AG361))</f>
        <v>805</v>
      </c>
      <c r="AQ361" s="0" t="n">
        <f aca="false">MIN(AH361,MAX(0,$AP361-SUMPRODUCT(($AH$1:$AO$1&lt;AH$1)*$AH361:$AO361)))</f>
        <v>0</v>
      </c>
      <c r="AR361" s="0" t="n">
        <f aca="false">MIN(AI361,MAX(0,$AP361-SUMPRODUCT(($AH$1:$AO$1&lt;AI$1)*$AH361:$AO361)))</f>
        <v>0</v>
      </c>
      <c r="AS361" s="0" t="n">
        <f aca="false">MIN(AJ361,MAX(0,$AP361-SUMPRODUCT(($AH$1:$AO$1&lt;AJ$1)*$AH361:$AO361)))</f>
        <v>0</v>
      </c>
      <c r="AT361" s="0" t="n">
        <f aca="false">MIN(AK361,MAX(0,$AP361-SUMPRODUCT(($AH$1:$AO$1&lt;AK$1)*$AH361:$AO361)))</f>
        <v>0</v>
      </c>
      <c r="AU361" s="0" t="n">
        <f aca="false">MIN(AL361,MAX(0,$AP361-SUMPRODUCT(($AH$1:$AO$1&lt;AL$1)*$AH361:$AO361)))</f>
        <v>0</v>
      </c>
      <c r="AV361" s="0" t="n">
        <f aca="false">MIN(AM361,MAX(0,$AP361-SUMPRODUCT(($AH$1:$AO$1&lt;AM$1)*$AH361:$AO361)))</f>
        <v>0</v>
      </c>
      <c r="AW361" s="0" t="n">
        <f aca="false">MIN(AN361,MAX(0,$AP361-SUMPRODUCT(($AH$1:$AO$1&lt;AN$1)*$AH361:$AO361)))</f>
        <v>0</v>
      </c>
      <c r="AX361" s="0" t="n">
        <f aca="false">MIN(AO361,MAX(0,$AP361-SUMPRODUCT(($AH$1:$AO$1&lt;AO$1)*$AH361:$AO361)))</f>
        <v>0</v>
      </c>
      <c r="AY361" s="0" t="n">
        <f aca="false">ROUND(AH361-AQ361,2)</f>
        <v>0</v>
      </c>
      <c r="AZ361" s="0" t="n">
        <f aca="false">ROUND(AI361-AR361,2)</f>
        <v>0</v>
      </c>
      <c r="BA361" s="0" t="n">
        <f aca="false">ROUND(AJ361-AS361,2)</f>
        <v>0</v>
      </c>
      <c r="BB361" s="0" t="n">
        <f aca="false">ROUND(AK361-AT361,2)</f>
        <v>0</v>
      </c>
      <c r="BC361" s="0" t="n">
        <f aca="false">ROUND(AL361-AU361,2)</f>
        <v>0</v>
      </c>
      <c r="BD361" s="0" t="n">
        <f aca="false">ROUND(AM361-AV361,2)</f>
        <v>0</v>
      </c>
      <c r="BE361" s="0" t="n">
        <f aca="false">ROUND(AN361-AW361,2)</f>
        <v>0</v>
      </c>
      <c r="BF361" s="0" t="n">
        <f aca="false">ROUND(AO361-AX361,2)</f>
        <v>0</v>
      </c>
      <c r="BG361" s="0" t="n">
        <f aca="false">SUM(AY361:BF361)</f>
        <v>0</v>
      </c>
    </row>
    <row r="362" customFormat="false" ht="15" hidden="false" customHeight="false" outlineLevel="0" collapsed="false">
      <c r="A362" s="0" t="n">
        <v>360</v>
      </c>
      <c r="B362" s="0" t="n">
        <f aca="false">AY361</f>
        <v>0</v>
      </c>
      <c r="C362" s="0" t="n">
        <f aca="false">AZ361</f>
        <v>0</v>
      </c>
      <c r="D362" s="0" t="n">
        <f aca="false">BA361</f>
        <v>0</v>
      </c>
      <c r="E362" s="0" t="n">
        <f aca="false">BB361</f>
        <v>0</v>
      </c>
      <c r="F362" s="0" t="n">
        <f aca="false">BC361</f>
        <v>0</v>
      </c>
      <c r="G362" s="0" t="n">
        <f aca="false">BD361</f>
        <v>0</v>
      </c>
      <c r="H362" s="0" t="n">
        <f aca="false">BE361</f>
        <v>0</v>
      </c>
      <c r="I362" s="0" t="n">
        <f aca="false">BF361</f>
        <v>0</v>
      </c>
      <c r="J362" s="0" t="n">
        <f aca="false">B362*N('Debt Payoff'!D9)/12</f>
        <v>0</v>
      </c>
      <c r="K362" s="0" t="n">
        <f aca="false">C362*N('Debt Payoff'!D10)/12</f>
        <v>0</v>
      </c>
      <c r="L362" s="0" t="n">
        <f aca="false">D362*N('Debt Payoff'!D11)/12</f>
        <v>0</v>
      </c>
      <c r="M362" s="0" t="n">
        <f aca="false">E362*N('Debt Payoff'!D12)/12</f>
        <v>0</v>
      </c>
      <c r="N362" s="0" t="n">
        <f aca="false">F362*N('Debt Payoff'!D13)/12</f>
        <v>0</v>
      </c>
      <c r="O362" s="0" t="n">
        <f aca="false">G362*N('Debt Payoff'!D14)/12</f>
        <v>0</v>
      </c>
      <c r="P362" s="0" t="n">
        <f aca="false">H362*N('Debt Payoff'!D15)/12</f>
        <v>0</v>
      </c>
      <c r="Q362" s="0" t="n">
        <f aca="false">I362*N('Debt Payoff'!D16)/12</f>
        <v>0</v>
      </c>
      <c r="R362" s="0" t="n">
        <f aca="false">B362+J362</f>
        <v>0</v>
      </c>
      <c r="S362" s="0" t="n">
        <f aca="false">C362+K362</f>
        <v>0</v>
      </c>
      <c r="T362" s="0" t="n">
        <f aca="false">D362+L362</f>
        <v>0</v>
      </c>
      <c r="U362" s="0" t="n">
        <f aca="false">E362+M362</f>
        <v>0</v>
      </c>
      <c r="V362" s="0" t="n">
        <f aca="false">F362+N362</f>
        <v>0</v>
      </c>
      <c r="W362" s="0" t="n">
        <f aca="false">G362+O362</f>
        <v>0</v>
      </c>
      <c r="X362" s="0" t="n">
        <f aca="false">H362+P362</f>
        <v>0</v>
      </c>
      <c r="Y362" s="0" t="n">
        <f aca="false">I362+Q362</f>
        <v>0</v>
      </c>
      <c r="Z362" s="0" t="n">
        <f aca="false">MIN(R362,N('Debt Payoff'!E9))</f>
        <v>0</v>
      </c>
      <c r="AA362" s="0" t="n">
        <f aca="false">MIN(S362,N('Debt Payoff'!E10))</f>
        <v>0</v>
      </c>
      <c r="AB362" s="0" t="n">
        <f aca="false">MIN(T362,N('Debt Payoff'!E11))</f>
        <v>0</v>
      </c>
      <c r="AC362" s="0" t="n">
        <f aca="false">MIN(U362,N('Debt Payoff'!E12))</f>
        <v>0</v>
      </c>
      <c r="AD362" s="0" t="n">
        <f aca="false">MIN(V362,N('Debt Payoff'!E13))</f>
        <v>0</v>
      </c>
      <c r="AE362" s="0" t="n">
        <f aca="false">MIN(W362,N('Debt Payoff'!E14))</f>
        <v>0</v>
      </c>
      <c r="AF362" s="0" t="n">
        <f aca="false">MIN(X362,N('Debt Payoff'!E15))</f>
        <v>0</v>
      </c>
      <c r="AG362" s="0" t="n">
        <f aca="false">MIN(Y362,N('Debt Payoff'!E16))</f>
        <v>0</v>
      </c>
      <c r="AH362" s="0" t="n">
        <f aca="false">R362-Z362</f>
        <v>0</v>
      </c>
      <c r="AI362" s="0" t="n">
        <f aca="false">S362-AA362</f>
        <v>0</v>
      </c>
      <c r="AJ362" s="0" t="n">
        <f aca="false">T362-AB362</f>
        <v>0</v>
      </c>
      <c r="AK362" s="0" t="n">
        <f aca="false">U362-AC362</f>
        <v>0</v>
      </c>
      <c r="AL362" s="0" t="n">
        <f aca="false">V362-AD362</f>
        <v>0</v>
      </c>
      <c r="AM362" s="0" t="n">
        <f aca="false">W362-AE362</f>
        <v>0</v>
      </c>
      <c r="AN362" s="0" t="n">
        <f aca="false">X362-AF362</f>
        <v>0</v>
      </c>
      <c r="AO362" s="0" t="n">
        <f aca="false">Y362-AG362</f>
        <v>0</v>
      </c>
      <c r="AP362" s="0" t="n">
        <f aca="false">MAX(0,'Debt Payoff'!$D$17-SUM(Z362:AG362))</f>
        <v>805</v>
      </c>
      <c r="AQ362" s="0" t="n">
        <f aca="false">MIN(AH362,MAX(0,$AP362-SUMPRODUCT(($AH$1:$AO$1&lt;AH$1)*$AH362:$AO362)))</f>
        <v>0</v>
      </c>
      <c r="AR362" s="0" t="n">
        <f aca="false">MIN(AI362,MAX(0,$AP362-SUMPRODUCT(($AH$1:$AO$1&lt;AI$1)*$AH362:$AO362)))</f>
        <v>0</v>
      </c>
      <c r="AS362" s="0" t="n">
        <f aca="false">MIN(AJ362,MAX(0,$AP362-SUMPRODUCT(($AH$1:$AO$1&lt;AJ$1)*$AH362:$AO362)))</f>
        <v>0</v>
      </c>
      <c r="AT362" s="0" t="n">
        <f aca="false">MIN(AK362,MAX(0,$AP362-SUMPRODUCT(($AH$1:$AO$1&lt;AK$1)*$AH362:$AO362)))</f>
        <v>0</v>
      </c>
      <c r="AU362" s="0" t="n">
        <f aca="false">MIN(AL362,MAX(0,$AP362-SUMPRODUCT(($AH$1:$AO$1&lt;AL$1)*$AH362:$AO362)))</f>
        <v>0</v>
      </c>
      <c r="AV362" s="0" t="n">
        <f aca="false">MIN(AM362,MAX(0,$AP362-SUMPRODUCT(($AH$1:$AO$1&lt;AM$1)*$AH362:$AO362)))</f>
        <v>0</v>
      </c>
      <c r="AW362" s="0" t="n">
        <f aca="false">MIN(AN362,MAX(0,$AP362-SUMPRODUCT(($AH$1:$AO$1&lt;AN$1)*$AH362:$AO362)))</f>
        <v>0</v>
      </c>
      <c r="AX362" s="0" t="n">
        <f aca="false">MIN(AO362,MAX(0,$AP362-SUMPRODUCT(($AH$1:$AO$1&lt;AO$1)*$AH362:$AO362)))</f>
        <v>0</v>
      </c>
      <c r="AY362" s="0" t="n">
        <f aca="false">ROUND(AH362-AQ362,2)</f>
        <v>0</v>
      </c>
      <c r="AZ362" s="0" t="n">
        <f aca="false">ROUND(AI362-AR362,2)</f>
        <v>0</v>
      </c>
      <c r="BA362" s="0" t="n">
        <f aca="false">ROUND(AJ362-AS362,2)</f>
        <v>0</v>
      </c>
      <c r="BB362" s="0" t="n">
        <f aca="false">ROUND(AK362-AT362,2)</f>
        <v>0</v>
      </c>
      <c r="BC362" s="0" t="n">
        <f aca="false">ROUND(AL362-AU362,2)</f>
        <v>0</v>
      </c>
      <c r="BD362" s="0" t="n">
        <f aca="false">ROUND(AM362-AV362,2)</f>
        <v>0</v>
      </c>
      <c r="BE362" s="0" t="n">
        <f aca="false">ROUND(AN362-AW362,2)</f>
        <v>0</v>
      </c>
      <c r="BF362" s="0" t="n">
        <f aca="false">ROUND(AO362-AX362,2)</f>
        <v>0</v>
      </c>
      <c r="BG362" s="0" t="n">
        <f aca="false">SUM(AY362:BF362)</f>
        <v>0</v>
      </c>
    </row>
    <row r="363" customFormat="false" ht="15" hidden="false" customHeight="false" outlineLevel="0" collapsed="false">
      <c r="AY363" s="0" t="n">
        <f aca="false">AY362</f>
        <v>0</v>
      </c>
      <c r="AZ363" s="0" t="n">
        <f aca="false">AZ362</f>
        <v>0</v>
      </c>
      <c r="BA363" s="0" t="n">
        <f aca="false">BA362</f>
        <v>0</v>
      </c>
      <c r="BB363" s="0" t="n">
        <f aca="false">BB362</f>
        <v>0</v>
      </c>
      <c r="BC363" s="0" t="n">
        <f aca="false">BC362</f>
        <v>0</v>
      </c>
      <c r="BD363" s="0" t="n">
        <f aca="false">BD362</f>
        <v>0</v>
      </c>
      <c r="BE363" s="0" t="n">
        <f aca="false">BE362</f>
        <v>0</v>
      </c>
      <c r="BF363" s="0" t="n">
        <f aca="false">BF362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6"/>
  </cols>
  <sheetData>
    <row r="2" customFormat="false" ht="24.45" hidden="false" customHeight="false" outlineLevel="0" collapsed="false">
      <c r="B2" s="1" t="s">
        <v>140</v>
      </c>
    </row>
    <row r="4" customFormat="false" ht="15" hidden="false" customHeight="false" outlineLevel="0" collapsed="false">
      <c r="B4" s="13" t="s">
        <v>141</v>
      </c>
      <c r="C4" s="27" t="n">
        <f aca="true">TODAY()</f>
        <v>46304</v>
      </c>
    </row>
    <row r="6" customFormat="false" ht="30" hidden="false" customHeight="true" outlineLevel="0" collapsed="false">
      <c r="B6" s="6" t="s">
        <v>142</v>
      </c>
      <c r="C6" s="6" t="s">
        <v>143</v>
      </c>
      <c r="D6" s="6" t="s">
        <v>144</v>
      </c>
      <c r="E6" s="6" t="s">
        <v>145</v>
      </c>
      <c r="F6" s="6" t="s">
        <v>146</v>
      </c>
      <c r="G6" s="6" t="s">
        <v>147</v>
      </c>
      <c r="H6" s="6" t="s">
        <v>148</v>
      </c>
    </row>
    <row r="7" customFormat="false" ht="15" hidden="false" customHeight="false" outlineLevel="0" collapsed="false">
      <c r="B7" s="5" t="s">
        <v>149</v>
      </c>
      <c r="C7" s="7" t="n">
        <v>6000</v>
      </c>
      <c r="D7" s="7" t="n">
        <v>1500</v>
      </c>
      <c r="E7" s="7" t="n">
        <v>250</v>
      </c>
      <c r="F7" s="28" t="n">
        <f aca="false">IF(N(C7)&lt;=0,"",MIN(1,D7/C7))</f>
        <v>0.25</v>
      </c>
      <c r="G7" s="29" t="n">
        <f aca="false">IF(N(C7)&lt;=0,"",IF(D7&gt;=C7,0,IF(N(E7)&lt;=0,"Add a contribution",ROUNDUP((C7-D7)/E7,0))))</f>
        <v>18</v>
      </c>
      <c r="H7" s="21" t="n">
        <f aca="false">IF(ISNUMBER(G7),EDATE($C$4,G7),"")</f>
        <v>46852</v>
      </c>
    </row>
    <row r="8" customFormat="false" ht="15" hidden="false" customHeight="false" outlineLevel="0" collapsed="false">
      <c r="B8" s="5" t="s">
        <v>150</v>
      </c>
      <c r="C8" s="7" t="n">
        <v>2500</v>
      </c>
      <c r="D8" s="7" t="n">
        <v>400</v>
      </c>
      <c r="E8" s="7" t="n">
        <v>100</v>
      </c>
      <c r="F8" s="28" t="n">
        <f aca="false">IF(N(C8)&lt;=0,"",MIN(1,D8/C8))</f>
        <v>0.16</v>
      </c>
      <c r="G8" s="29" t="n">
        <f aca="false">IF(N(C8)&lt;=0,"",IF(D8&gt;=C8,0,IF(N(E8)&lt;=0,"Add a contribution",ROUNDUP((C8-D8)/E8,0))))</f>
        <v>21</v>
      </c>
      <c r="H8" s="21" t="n">
        <f aca="false">IF(ISNUMBER(G8),EDATE($C$4,G8),"")</f>
        <v>46943</v>
      </c>
    </row>
    <row r="9" customFormat="false" ht="15" hidden="false" customHeight="false" outlineLevel="0" collapsed="false">
      <c r="B9" s="5" t="s">
        <v>151</v>
      </c>
      <c r="C9" s="7" t="n">
        <v>1400</v>
      </c>
      <c r="D9" s="7" t="n">
        <v>600</v>
      </c>
      <c r="E9" s="7" t="n">
        <v>0</v>
      </c>
      <c r="F9" s="28" t="n">
        <f aca="false">IF(N(C9)&lt;=0,"",MIN(1,D9/C9))</f>
        <v>0.428571428571429</v>
      </c>
      <c r="G9" s="29" t="str">
        <f aca="false">IF(N(C9)&lt;=0,"",IF(D9&gt;=C9,0,IF(N(E9)&lt;=0,"Add a contribution",ROUNDUP((C9-D9)/E9,0))))</f>
        <v>Add a contribution</v>
      </c>
      <c r="H9" s="21" t="str">
        <f aca="false">IF(ISNUMBER(G9),EDATE($C$4,G9),"")</f>
        <v/>
      </c>
    </row>
    <row r="10" customFormat="false" ht="15" hidden="false" customHeight="false" outlineLevel="0" collapsed="false">
      <c r="B10" s="5"/>
      <c r="C10" s="7" t="n">
        <v>0</v>
      </c>
      <c r="D10" s="7" t="n">
        <v>0</v>
      </c>
      <c r="E10" s="7" t="n">
        <v>0</v>
      </c>
      <c r="F10" s="28" t="str">
        <f aca="false">IF(N(C10)&lt;=0,"",MIN(1,D10/C10))</f>
        <v/>
      </c>
      <c r="G10" s="29" t="str">
        <f aca="false">IF(N(C10)&lt;=0,"",IF(D10&gt;=C10,0,IF(N(E10)&lt;=0,"Add a contribution",ROUNDUP((C10-D10)/E10,0))))</f>
        <v/>
      </c>
      <c r="H10" s="21" t="str">
        <f aca="false">IF(ISNUMBER(G10),EDATE($C$4,G10),"")</f>
        <v/>
      </c>
    </row>
    <row r="11" customFormat="false" ht="15" hidden="false" customHeight="false" outlineLevel="0" collapsed="false">
      <c r="B11" s="5"/>
      <c r="C11" s="7" t="n">
        <v>0</v>
      </c>
      <c r="D11" s="7" t="n">
        <v>0</v>
      </c>
      <c r="E11" s="7" t="n">
        <v>0</v>
      </c>
      <c r="F11" s="28" t="str">
        <f aca="false">IF(N(C11)&lt;=0,"",MIN(1,D11/C11))</f>
        <v/>
      </c>
      <c r="G11" s="29" t="str">
        <f aca="false">IF(N(C11)&lt;=0,"",IF(D11&gt;=C11,0,IF(N(E11)&lt;=0,"Add a contribution",ROUNDUP((C11-D11)/E11,0))))</f>
        <v/>
      </c>
      <c r="H11" s="21" t="str">
        <f aca="false">IF(ISNUMBER(G11),EDATE($C$4,G11),"")</f>
        <v/>
      </c>
    </row>
    <row r="12" customFormat="false" ht="15" hidden="false" customHeight="false" outlineLevel="0" collapsed="false">
      <c r="B12" s="5"/>
      <c r="C12" s="7" t="n">
        <v>0</v>
      </c>
      <c r="D12" s="7" t="n">
        <v>0</v>
      </c>
      <c r="E12" s="7" t="n">
        <v>0</v>
      </c>
      <c r="F12" s="28" t="str">
        <f aca="false">IF(N(C12)&lt;=0,"",MIN(1,D12/C12))</f>
        <v/>
      </c>
      <c r="G12" s="29" t="str">
        <f aca="false">IF(N(C12)&lt;=0,"",IF(D12&gt;=C12,0,IF(N(E12)&lt;=0,"Add a contribution",ROUNDUP((C12-D12)/E12,0))))</f>
        <v/>
      </c>
      <c r="H12" s="21" t="str">
        <f aca="false">IF(ISNUMBER(G12),EDATE($C$4,G12),"")</f>
        <v/>
      </c>
    </row>
    <row r="13" customFormat="false" ht="15" hidden="false" customHeight="false" outlineLevel="0" collapsed="false">
      <c r="B13" s="5"/>
      <c r="C13" s="7" t="n">
        <v>0</v>
      </c>
      <c r="D13" s="7" t="n">
        <v>0</v>
      </c>
      <c r="E13" s="7" t="n">
        <v>0</v>
      </c>
      <c r="F13" s="28" t="str">
        <f aca="false">IF(N(C13)&lt;=0,"",MIN(1,D13/C13))</f>
        <v/>
      </c>
      <c r="G13" s="29" t="str">
        <f aca="false">IF(N(C13)&lt;=0,"",IF(D13&gt;=C13,0,IF(N(E13)&lt;=0,"Add a contribution",ROUNDUP((C13-D13)/E13,0))))</f>
        <v/>
      </c>
      <c r="H13" s="21" t="str">
        <f aca="false">IF(ISNUMBER(G13),EDATE($C$4,G13),"")</f>
        <v/>
      </c>
    </row>
    <row r="14" customFormat="false" ht="15" hidden="false" customHeight="false" outlineLevel="0" collapsed="false">
      <c r="B14" s="5"/>
      <c r="C14" s="7" t="n">
        <v>0</v>
      </c>
      <c r="D14" s="7" t="n">
        <v>0</v>
      </c>
      <c r="E14" s="7" t="n">
        <v>0</v>
      </c>
      <c r="F14" s="28" t="str">
        <f aca="false">IF(N(C14)&lt;=0,"",MIN(1,D14/C14))</f>
        <v/>
      </c>
      <c r="G14" s="29" t="str">
        <f aca="false">IF(N(C14)&lt;=0,"",IF(D14&gt;=C14,0,IF(N(E14)&lt;=0,"Add a contribution",ROUNDUP((C14-D14)/E14,0))))</f>
        <v/>
      </c>
      <c r="H14" s="21" t="str">
        <f aca="false">IF(ISNUMBER(G14),EDATE($C$4,G14),"")</f>
        <v/>
      </c>
    </row>
    <row r="15" customFormat="false" ht="15" hidden="false" customHeight="false" outlineLevel="0" collapsed="false">
      <c r="B15" s="13" t="s">
        <v>71</v>
      </c>
      <c r="C15" s="14" t="n">
        <f aca="false">SUM(C7:C14)</f>
        <v>9900</v>
      </c>
      <c r="D15" s="14" t="n">
        <f aca="false">SUM(D7:D14)</f>
        <v>2500</v>
      </c>
      <c r="E15" s="14" t="n">
        <f aca="false">SUM(E7:E14)</f>
        <v>350</v>
      </c>
      <c r="F15" s="30" t="n">
        <f aca="false">IFERROR(D15/C15,0)</f>
        <v>0.252525252525253</v>
      </c>
    </row>
  </sheetData>
  <conditionalFormatting sqref="F7:F14">
    <cfRule type="dataBar" priority="2">
      <dataBar showValue="1" minLength="10" maxLength="90">
        <cfvo type="num" val="0"/>
        <cfvo type="num" val="1"/>
        <color rgb="FF2A9D8F"/>
      </dataBar>
      <extLst>
        <ext xmlns:x14="http://schemas.microsoft.com/office/spreadsheetml/2009/9/main" uri="{B025F937-C7B1-47D3-B67F-A62EFF666E3E}">
          <x14:id>{4C1DD11B-4FA9-4810-A2D6-3AD4685F7E63}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1DD11B-4FA9-4810-A2D6-3AD4685F7E6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9D8F"/>
              <x14:axisColor rgb="FF000000"/>
            </x14:dataBar>
          </x14:cfRule>
          <xm:sqref>F7:F14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2026-10-09T13:52:50Z</dcterms:created>
  <dc:creator>openpyxl</dc:creator>
  <dc:description/>
  <dc:language>en-US</dc:language>
  <cp:lastModifiedBy/>
  <dcterms:modified xsi:type="dcterms:W3CDTF">2026-10-09T13:52:53Z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